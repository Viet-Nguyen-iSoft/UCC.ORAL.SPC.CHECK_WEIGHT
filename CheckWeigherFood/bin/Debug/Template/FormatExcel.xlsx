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Project\Unilever\UCC\Food\UCC-Kawwa-CheckweightFood\src\CheckWeigherFood\bin\Debug\Template\"/>
    </mc:Choice>
  </mc:AlternateContent>
  <xr:revisionPtr revIDLastSave="0" documentId="13_ncr:1_{D8F9868A-2D1A-4C5B-A1CE-EC988B9EA68F}" xr6:coauthVersionLast="47" xr6:coauthVersionMax="47" xr10:uidLastSave="{00000000-0000-0000-0000-000000000000}"/>
  <bookViews>
    <workbookView xWindow="-120" yWindow="-120" windowWidth="29040" windowHeight="17520" activeTab="2" xr2:uid="{70070A5B-A491-4AF3-BC84-71C5139C360B}"/>
  </bookViews>
  <sheets>
    <sheet name="Shiftly summary" sheetId="3" r:id="rId1"/>
    <sheet name="Shiftly gói" sheetId="6" r:id="rId2"/>
    <sheet name="Shiftly thùng" sheetId="8" r:id="rId3"/>
    <sheet name="Data Kawa2" sheetId="2" r:id="rId4"/>
    <sheet name="Lọc data" sheetId="7" r:id="rId5"/>
    <sheet name="Formulation" sheetId="4" r:id="rId6"/>
  </sheets>
  <definedNames>
    <definedName name="_xlnm._FilterDatabase" localSheetId="3" hidden="1">'Data Kawa2'!$B$1:$K$1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2" l="1"/>
  <c r="H37" i="2"/>
  <c r="I37" i="2"/>
  <c r="H38" i="2"/>
  <c r="I38" i="2"/>
  <c r="H39" i="2"/>
  <c r="I39" i="2"/>
  <c r="H40" i="2"/>
  <c r="I40" i="2"/>
  <c r="H41" i="2"/>
  <c r="I41" i="2"/>
  <c r="H42" i="2"/>
  <c r="I42" i="2"/>
  <c r="H43" i="2"/>
  <c r="I43" i="2"/>
  <c r="H44" i="2"/>
  <c r="I44" i="2"/>
  <c r="H45" i="2"/>
  <c r="I45" i="2"/>
  <c r="H46" i="2"/>
  <c r="I46" i="2"/>
  <c r="H47" i="2"/>
  <c r="I47" i="2"/>
  <c r="H48" i="2"/>
  <c r="I48" i="2"/>
  <c r="H49" i="2"/>
  <c r="I49" i="2"/>
  <c r="H50" i="2"/>
  <c r="I50" i="2"/>
  <c r="H51" i="2"/>
  <c r="I51" i="2"/>
  <c r="H52" i="2"/>
  <c r="I52" i="2"/>
  <c r="H53" i="2"/>
  <c r="I53" i="2"/>
  <c r="H54" i="2"/>
  <c r="I54" i="2"/>
  <c r="H55" i="2"/>
  <c r="I55" i="2"/>
  <c r="H56" i="2"/>
  <c r="I56" i="2"/>
  <c r="H57" i="2"/>
  <c r="I57" i="2"/>
  <c r="H58" i="2"/>
  <c r="I58" i="2"/>
  <c r="H59" i="2"/>
  <c r="I59" i="2"/>
  <c r="H60" i="2"/>
  <c r="I6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2" i="2"/>
  <c r="H33" i="2"/>
  <c r="H34" i="2"/>
  <c r="H35" i="2"/>
  <c r="H36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4" i="2"/>
  <c r="K2" i="2" l="1"/>
  <c r="J2" i="2"/>
  <c r="K14" i="2"/>
  <c r="J14" i="2"/>
  <c r="K36" i="2"/>
  <c r="J36" i="2"/>
  <c r="J26" i="2"/>
  <c r="K26" i="2"/>
  <c r="J30" i="2"/>
  <c r="K30" i="2"/>
  <c r="K35" i="2" l="1"/>
  <c r="J35" i="2"/>
  <c r="K34" i="2"/>
  <c r="J34" i="2"/>
  <c r="K33" i="2"/>
  <c r="J33" i="2"/>
  <c r="K32" i="2"/>
  <c r="J32" i="2"/>
  <c r="K31" i="2"/>
  <c r="J31" i="2"/>
  <c r="K29" i="2"/>
  <c r="J29" i="2"/>
  <c r="K28" i="2"/>
  <c r="J28" i="2"/>
  <c r="K27" i="2"/>
  <c r="J27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7" i="2" l="1"/>
  <c r="J7" i="2"/>
  <c r="K6" i="2" l="1"/>
  <c r="J6" i="2"/>
  <c r="K5" i="2"/>
  <c r="J5" i="2"/>
  <c r="K4" i="2"/>
  <c r="J4" i="2"/>
  <c r="K3" i="2"/>
  <c r="J3" i="2"/>
  <c r="J9" i="2"/>
  <c r="K9" i="2"/>
  <c r="K10" i="2"/>
  <c r="J11" i="2"/>
  <c r="K11" i="2"/>
  <c r="J12" i="2"/>
  <c r="K12" i="2"/>
  <c r="J13" i="2"/>
  <c r="K13" i="2"/>
  <c r="K8" i="2"/>
  <c r="J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tc={D6995BDE-EAD5-4557-8F7D-B3110C31F3A1}</author>
    <author>tc={5D7B6E44-3186-4EDC-B11A-E5A4A7F4EE30}</author>
    <author>tc={A8AD0327-36F1-4848-ACE6-5B64144F91F4}</author>
  </authors>
  <commentList>
    <comment ref="B1" authorId="0" shapeId="0" xr:uid="{D6995BDE-EAD5-4557-8F7D-B3110C31F3A1}">
      <text>
        <t>[Threaded comment]
Your version of Excel allows you to read this threaded comment; however, any edits to it will get removed if the file is opened in a newer version of Excel. Learn more: https://go.microsoft.com/fwlink/?linkid=870924
Comment:
    Days start từ 6:00-5:59 hôm sau</t>
      </text>
    </comment>
    <comment ref="J1" authorId="1" shapeId="0" xr:uid="{5D7B6E44-3186-4EDC-B11A-E5A4A7F4EE30}">
      <text>
        <t>[Threaded comment]
Your version of Excel allows you to read this threaded comment; however, any edits to it will get removed if the file is opened in a newer version of Excel. Learn more: https://go.microsoft.com/fwlink/?linkid=870924
Comment:
    Tbinh gói accept, over, under</t>
      </text>
    </comment>
    <comment ref="O1" authorId="2" shapeId="0" xr:uid="{A8AD0327-36F1-4848-ACE6-5B64144F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Trung bình những gói accept, over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tc={584AFE33-6EB1-4A59-BC14-0478EB72D8A8}</author>
    <author>tc={129D62AF-9E0F-40FC-96F0-FB6739470035}</author>
  </authors>
  <commentList>
    <comment ref="C1" authorId="0" shapeId="0" xr:uid="{584AFE33-6EB1-4A59-BC14-0478EB72D8A8}">
      <text>
        <t>[Threaded comment]
Your version of Excel allows you to read this threaded comment; however, any edits to it will get removed if the file is opened in a newer version of Excel. Learn more: https://go.microsoft.com/fwlink/?linkid=870924
Comment:
    Days start từ 6:00-5:59 hôm sau</t>
      </text>
    </comment>
    <comment ref="O1" authorId="1" shapeId="0" xr:uid="{129D62AF-9E0F-40FC-96F0-FB673947003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Status gói lấy theo tín hiệu cân. Thêm status nhiễu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tc={F1300F82-3D7F-4AEE-B13B-BAAC8861B838}</author>
    <author>tc={296A6736-FB3B-4DE9-B8AF-ACBAF9FDCA0C}</author>
    <author>tc={6B0398A6-ED43-468B-82D4-FAAEE0AC5A00}</author>
  </authors>
  <commentList>
    <comment ref="B1" authorId="0" shapeId="0" xr:uid="{F1300F82-3D7F-4AEE-B13B-BAAC8861B838}">
      <text>
        <t>[Threaded comment]
Your version of Excel allows you to read this threaded comment; however, any edits to it will get removed if the file is opened in a newer version of Excel. Learn more: https://go.microsoft.com/fwlink/?linkid=870924
Comment:
    Lấy thùng date của gói cuối cùng trong thùng</t>
      </text>
    </comment>
    <comment ref="C1" authorId="1" shapeId="0" xr:uid="{296A6736-FB3B-4DE9-B8AF-ACBAF9FDCA0C}">
      <text>
        <t>[Threaded comment]
Your version of Excel allows you to read this threaded comment; however, any edits to it will get removed if the file is opened in a newer version of Excel. Learn more: https://go.microsoft.com/fwlink/?linkid=870924
Comment:
    Days start từ 6:00-5:59 hôm sau</t>
      </text>
    </comment>
    <comment ref="O1" authorId="2" shapeId="0" xr:uid="{6B0398A6-ED43-468B-82D4-FAAEE0AC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Status thùng lập trình theo logic điều kiện</t>
      </text>
    </comment>
  </commentList>
</comments>
</file>

<file path=xl/sharedStrings.xml><?xml version="1.0" encoding="utf-8"?>
<sst xmlns="http://schemas.openxmlformats.org/spreadsheetml/2006/main" count="247" uniqueCount="105">
  <si>
    <t>SKU</t>
  </si>
  <si>
    <t>Fgs Code</t>
  </si>
  <si>
    <t>Fgs Name</t>
  </si>
  <si>
    <t>Target (g)</t>
  </si>
  <si>
    <t>Lower control (g)</t>
  </si>
  <si>
    <t>Uper control (g)</t>
  </si>
  <si>
    <t>Min (g)</t>
  </si>
  <si>
    <t>Max (g)</t>
  </si>
  <si>
    <t xml:space="preserve">Shift </t>
  </si>
  <si>
    <t>OP</t>
  </si>
  <si>
    <t xml:space="preserve">QC </t>
  </si>
  <si>
    <t>TC</t>
  </si>
  <si>
    <t xml:space="preserve">Descriptions </t>
  </si>
  <si>
    <t>Cpk</t>
  </si>
  <si>
    <t xml:space="preserve">Cp </t>
  </si>
  <si>
    <t>T (Lượng thiếu cho phép)</t>
  </si>
  <si>
    <t xml:space="preserve">%OW </t>
  </si>
  <si>
    <t xml:space="preserve">(Average (data đạt qua cân)-Target)/Target </t>
  </si>
  <si>
    <t>Weight result</t>
  </si>
  <si>
    <t xml:space="preserve">MIN </t>
  </si>
  <si>
    <t xml:space="preserve">MAX </t>
  </si>
  <si>
    <t xml:space="preserve">Cpk </t>
  </si>
  <si>
    <t>Min(data đạt qua cân)</t>
  </si>
  <si>
    <t>Max(data đạt qua cân)</t>
  </si>
  <si>
    <t>min[(TLmax-Xtb)/3*stdev(data đạt qua cân),(Xtb-Tlmin)/3*stdev(data đạt qua cân)]</t>
  </si>
  <si>
    <t>(TLmax - Tlmin)/6*stdev(data đạt qua cân)</t>
  </si>
  <si>
    <t xml:space="preserve">Total số mẫu đạt qua cân </t>
  </si>
  <si>
    <t>Samples</t>
  </si>
  <si>
    <t xml:space="preserve">Xtb&gt;=Target --&gt; PASS, ngược lại FAIL </t>
  </si>
  <si>
    <t xml:space="preserve"> Speed standard</t>
  </si>
  <si>
    <t>Line</t>
  </si>
  <si>
    <t>Mes 1</t>
  </si>
  <si>
    <t>KNORR BLN MEATY GRA_SAPA 96X50G</t>
  </si>
  <si>
    <t>KNORR BLN MEATY GRA SAMP 72X65G</t>
  </si>
  <si>
    <t>KNORR ORG MUSHROOM SHTK AW23 72X70G</t>
  </si>
  <si>
    <t>KNORR BLN MEATY GRA_SAPA SAMP 32X136G</t>
  </si>
  <si>
    <t>BESTFOODS BONE MARROW GRA SAMP 32X150G</t>
  </si>
  <si>
    <t>KNORR BLN MEATY GRA_SAPA 32X170G</t>
  </si>
  <si>
    <t>KNORR ORG MUSHROOM SHTK AW23 38X170G</t>
  </si>
  <si>
    <t>KNORR ORG MUSHROOM SHTK AW23 16X380G</t>
  </si>
  <si>
    <t>KNORR ORG MUSHROOM SHTK PD TET25 16X380G</t>
  </si>
  <si>
    <t>KNORR ORG MSHRM TEMP (KMS 136G) 20X380G</t>
  </si>
  <si>
    <t>KNORR ORG MHRM SHIITAKE AW23 SAM 100X45G</t>
  </si>
  <si>
    <t>KNORR ORG MHRM SHIITAKE SAMP 38X136G</t>
  </si>
  <si>
    <t>Mes 2</t>
  </si>
  <si>
    <t>Mes 3</t>
  </si>
  <si>
    <t>KNORR LIME POWDER BTF 12X400G</t>
  </si>
  <si>
    <t>KNORR LIME POWDER BTF 40X100G</t>
  </si>
  <si>
    <t>KNORR ORGANIC MUSHROOM SHTK AW23 8X800G</t>
  </si>
  <si>
    <t>KNORR ORG MSHRM TEMP (KMS 136G) 10X800G</t>
  </si>
  <si>
    <t>KNORR BLN MEATY GRA_SAPA 16X400G</t>
  </si>
  <si>
    <t>KNORR MEATY GRA TEMP (KMG 136G) 20X400G</t>
  </si>
  <si>
    <t>KNORR MEATY GRA_3 TEMP (MHR 45G) 18X400G</t>
  </si>
  <si>
    <t>KNORR TSM TEM(CHILI EX.HOT 200G) 24X400G</t>
  </si>
  <si>
    <t>KNORR BLN MEATY GRA_SAPA 8X900G</t>
  </si>
  <si>
    <t>KNORR MEATY GRA TEMP (KMG 136G) 10X900G</t>
  </si>
  <si>
    <t>KNORR MEATY GRA_SAPA LUCKY DRAW24 8X900G</t>
  </si>
  <si>
    <t>KNORR BLN MEATY GRA_SAPA 6X1.2KG</t>
  </si>
  <si>
    <t>KNORR BLN MEATY GRA_SAPA BAG 5X1.8KG</t>
  </si>
  <si>
    <t>KNORR BLN MEATY GRA_SAPA 6X1.8KG</t>
  </si>
  <si>
    <t>KNORR BLN MEATY GRA_SAPA FS BAG 5X1.8KG</t>
  </si>
  <si>
    <t>KNORR BLN MEATY GRA_SAPA FS 6X1.8KG</t>
  </si>
  <si>
    <t>Số pcs/thùng</t>
  </si>
  <si>
    <t>Tính mean</t>
  </si>
  <si>
    <t>Tính CP, CPK</t>
  </si>
  <si>
    <t>Accept</t>
  </si>
  <si>
    <t>Over</t>
  </si>
  <si>
    <t>Under</t>
  </si>
  <si>
    <t>Abrnomal</t>
  </si>
  <si>
    <t>Y</t>
  </si>
  <si>
    <t>N</t>
  </si>
  <si>
    <t>Data nhiễu</t>
  </si>
  <si>
    <t>Mục</t>
  </si>
  <si>
    <t>Reject 1 Count</t>
  </si>
  <si>
    <t>Reject 2 count</t>
  </si>
  <si>
    <t>Tính điểm trong chart trung bình</t>
  </si>
  <si>
    <t>Tính Accept Avg, OW, Pass/Fail</t>
  </si>
  <si>
    <t>No</t>
  </si>
  <si>
    <t>DateTime</t>
  </si>
  <si>
    <t>FGsCode</t>
  </si>
  <si>
    <t>HiLimit</t>
  </si>
  <si>
    <t>Target</t>
  </si>
  <si>
    <t>LoLimit</t>
  </si>
  <si>
    <t>Weight</t>
  </si>
  <si>
    <t>Status</t>
  </si>
  <si>
    <t>Day</t>
  </si>
  <si>
    <t>Mean</t>
  </si>
  <si>
    <t>Accept Avg</t>
  </si>
  <si>
    <t xml:space="preserve">Result </t>
  </si>
  <si>
    <t>Pass</t>
  </si>
  <si>
    <t>Fail</t>
  </si>
  <si>
    <t>Min thùng</t>
  </si>
  <si>
    <t>Max thùng</t>
  </si>
  <si>
    <t xml:space="preserve">Mean thùng </t>
  </si>
  <si>
    <t>Cp thùng</t>
  </si>
  <si>
    <t>Cpk thùng</t>
  </si>
  <si>
    <t>Thùng &lt;target</t>
  </si>
  <si>
    <t>Status (over, accept, under, &lt;target)</t>
  </si>
  <si>
    <t>Xuất report gói</t>
  </si>
  <si>
    <t>mean</t>
  </si>
  <si>
    <t xml:space="preserve">Min </t>
  </si>
  <si>
    <t>Max</t>
  </si>
  <si>
    <t>Kawa 1</t>
  </si>
  <si>
    <t>Kawa 2</t>
  </si>
  <si>
    <t>Kawa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</si>
</sst>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63"/>
      <scheme val="minor"/>
    </font>
    <font>
      <b/>
      <sz val="11"/>
      <name val="Calibri"/>
      <scheme val="minor"/>
    </font>
    <font>
      <b/>
      <sz val="11"/>
      <name val="Calibri"/>
      <family val="2"/>
      <scheme val="minor"/>
    </font>
    <font>
      <sz val="8"/>
      <name val="Calibri"/>
      <family val="2"/>
      <charset val="163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8" tint="0.59999389629810485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188678</xdr:colOff>
      <xdr:row>0</xdr:row>
      <xdr:rowOff>237379</xdr:rowOff>
    </xdr:from>
    <xdr:to>
      <xdr:col>23</xdr:col>
      <xdr:colOff>388606</xdr:colOff>
      <xdr:row>14</xdr:row>
      <xdr:rowOff>15252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77E332-8810-2AFC-BB2C-64CF7D86F5D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1364" b="-1"/>
        <a:stretch/>
      </xdr:blipFill>
      <xdr:spPr>
        <a:xfrm>
          <a:off x="12571178" y="237379"/>
          <a:ext cx="5655156" cy="315491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inh, Tr-Quang" id="{3B4685FD-65FB-47AB-B48D-D9E7733F28F3}" userId="S::Tr-Quang.Minh@unilever.com::273c3206-71ac-45d5-8b6e-789ca9ed008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6675CC-01A8-44C5-A368-F4A64ACDD645}" name="Table1" displayName="Table1" ref="A1:F8" totalsRowShown="0">
  <autoFilter ref="A1:F8" xr:uid="{266675CC-01A8-44C5-A368-F4A64ACDD645}"/>
  <tableColumns count="6">
    <tableColumn id="1" xr3:uid="{0AE89D4D-D776-4747-91EE-F80B3A5C9B5D}" name="Mục"/>
    <tableColumn id="2" xr3:uid="{EAD18B3D-F555-4DBE-BEC5-67FF489C287B}" name="Accept"/>
    <tableColumn id="3" xr3:uid="{2924EF79-A7C1-48AD-A19A-1CC37A20D30C}" name="Over"/>
    <tableColumn id="4" xr3:uid="{00A72070-DD6C-4C49-A510-937D49023AB0}" name="Under"/>
    <tableColumn id="5" xr3:uid="{593A795E-70A4-4D27-A079-3C175ED4A371}" name="Abrnomal"/>
    <tableColumn id="6" xr3:uid="{AC22A24B-923A-49F0-B982-B4C93A3646BC}" name="Data nhiễu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8T04:41:20.09" personId="{3B4685FD-65FB-47AB-B48D-D9E7733F28F3}" id="{D6995BDE-EAD5-4557-8F7D-B3110C31F3A1}">
    <text>Days start từ 6:00-5:59 hôm sau</text>
  </threadedComment>
  <threadedComment ref="J1" dT="2025-05-28T08:45:04.57" personId="{3B4685FD-65FB-47AB-B48D-D9E7733F28F3}" id="{5D7B6E44-3186-4EDC-B11A-E5A4A7F4EE30}">
    <text>Tbinh gói accept, over, under</text>
  </threadedComment>
  <threadedComment ref="O1" dT="2025-05-28T08:44:20.79" personId="{3B4685FD-65FB-47AB-B48D-D9E7733F28F3}" id="{A8AD0327-36F1-4848-ACE6-5B64144F91F4}">
    <text>Trung bình những gói accept, over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" dT="2025-05-28T04:41:20.09" personId="{3B4685FD-65FB-47AB-B48D-D9E7733F28F3}" id="{584AFE33-6EB1-4A59-BC14-0478EB72D8A8}">
    <text>Days start từ 6:00-5:59 hôm sau</text>
  </threadedComment>
  <threadedComment ref="O1" dT="2025-05-28T08:41:35.03" personId="{3B4685FD-65FB-47AB-B48D-D9E7733F28F3}" id="{129D62AF-9E0F-40FC-96F0-FB6739470035}">
    <text>Status gói lấy theo tín hiệu cân. Thêm status nhiễu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" dT="2025-05-28T08:38:56.56" personId="{3B4685FD-65FB-47AB-B48D-D9E7733F28F3}" id="{F1300F82-3D7F-4AEE-B13B-BAAC8861B838}">
    <text>Lấy thùng date của gói cuối cùng trong thùng</text>
  </threadedComment>
  <threadedComment ref="C1" dT="2025-05-28T04:41:20.09" personId="{3B4685FD-65FB-47AB-B48D-D9E7733F28F3}" id="{296A6736-FB3B-4DE9-B8AF-ACBAF9FDCA0C}">
    <text>Days start từ 6:00-5:59 hôm sau</text>
  </threadedComment>
  <threadedComment ref="O1" dT="2025-05-28T08:41:16.24" personId="{3B4685FD-65FB-47AB-B48D-D9E7733F28F3}" id="{6B0398A6-ED43-468B-82D4-FAAEE0AC5A00}">
    <text>Status thùng lập trình theo logic điều kiện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3F90-9D67-4E75-A645-6B53CDC24AEF}">
  <dimension ref="A1:V18"/>
  <sheetViews>
    <sheetView topLeftCell="I1" zoomScale="85" zoomScaleNormal="85" workbookViewId="0">
      <selection activeCell="S21" sqref="S21"/>
    </sheetView>
  </sheetViews>
  <sheetFormatPr defaultRowHeight="15" x14ac:dyDescent="0.25"/>
  <cols>
    <col min="2" max="2" width="23.7109375" customWidth="1"/>
    <col min="4" max="6" width="22.28515625" customWidth="1"/>
    <col min="7" max="7" width="10.5703125" customWidth="1"/>
    <col min="8" max="8" width="13.7109375" style="5" customWidth="1"/>
    <col min="9" max="9" width="41.140625" style="5" customWidth="1"/>
    <col min="10" max="16" width="14.5703125" style="5" customWidth="1"/>
    <col min="17" max="21" width="14.5703125" customWidth="1"/>
    <col min="22" max="22" width="18.85546875" customWidth="1"/>
  </cols>
  <sheetData>
    <row r="1" spans="1:22" s="2" customFormat="1" ht="24.75" customHeight="1" x14ac:dyDescent="0.25">
      <c r="A1" s="29" t="s">
        <v>77</v>
      </c>
      <c r="B1" s="29" t="s">
        <v>85</v>
      </c>
      <c r="C1" s="29" t="s">
        <v>8</v>
      </c>
      <c r="D1" s="29" t="s">
        <v>9</v>
      </c>
      <c r="E1" s="29" t="s">
        <v>10</v>
      </c>
      <c r="F1" s="29" t="s">
        <v>11</v>
      </c>
      <c r="G1" s="29" t="s">
        <v>30</v>
      </c>
      <c r="H1" s="29" t="s">
        <v>79</v>
      </c>
      <c r="I1" s="29" t="s">
        <v>12</v>
      </c>
      <c r="J1" s="30" t="s">
        <v>86</v>
      </c>
      <c r="K1" s="30" t="s">
        <v>14</v>
      </c>
      <c r="L1" s="30" t="s">
        <v>13</v>
      </c>
      <c r="M1" s="30" t="s">
        <v>100</v>
      </c>
      <c r="N1" s="30" t="s">
        <v>101</v>
      </c>
      <c r="O1" s="29" t="s">
        <v>87</v>
      </c>
      <c r="P1" s="29" t="s">
        <v>88</v>
      </c>
      <c r="Q1" s="29" t="s">
        <v>93</v>
      </c>
      <c r="R1" s="29" t="s">
        <v>94</v>
      </c>
      <c r="S1" s="29" t="s">
        <v>95</v>
      </c>
      <c r="T1" s="29" t="s">
        <v>91</v>
      </c>
      <c r="U1" s="29" t="s">
        <v>92</v>
      </c>
      <c r="V1" s="30" t="s">
        <v>96</v>
      </c>
    </row>
    <row r="2" spans="1:22" ht="24.75" customHeight="1" x14ac:dyDescent="0.25">
      <c r="A2" s="8"/>
      <c r="B2" s="8"/>
      <c r="C2" s="8"/>
      <c r="D2" s="8"/>
      <c r="E2" s="8"/>
      <c r="F2" s="8"/>
      <c r="G2" s="8"/>
      <c r="H2" s="9"/>
      <c r="I2" s="9"/>
      <c r="J2" s="9"/>
      <c r="K2" s="9"/>
      <c r="L2" s="9"/>
      <c r="M2" s="9"/>
      <c r="N2" s="9"/>
      <c r="O2" s="9"/>
      <c r="P2" s="9" t="s">
        <v>89</v>
      </c>
      <c r="Q2" s="8"/>
      <c r="R2" s="8"/>
      <c r="S2" s="8"/>
      <c r="T2" s="8"/>
      <c r="U2" s="8"/>
      <c r="V2" s="8"/>
    </row>
    <row r="3" spans="1:22" ht="24.75" customHeight="1" x14ac:dyDescent="0.25">
      <c r="A3" s="8"/>
      <c r="B3" s="8"/>
      <c r="C3" s="8"/>
      <c r="D3" s="8"/>
      <c r="E3" s="8"/>
      <c r="F3" s="8"/>
      <c r="G3" s="8"/>
      <c r="H3" s="9"/>
      <c r="I3" s="9"/>
      <c r="J3" s="9"/>
      <c r="K3" s="9"/>
      <c r="L3" s="9"/>
      <c r="M3" s="9"/>
      <c r="N3" s="9"/>
      <c r="O3" s="9"/>
      <c r="P3" s="9" t="s">
        <v>90</v>
      </c>
      <c r="Q3" s="8"/>
      <c r="R3" s="8"/>
      <c r="S3" s="8"/>
      <c r="T3" s="8"/>
      <c r="U3" s="8"/>
      <c r="V3" s="8"/>
    </row>
    <row r="4" spans="1:22" ht="24.75" customHeight="1" x14ac:dyDescent="0.25">
      <c r="A4" s="8"/>
      <c r="B4" s="8"/>
      <c r="C4" s="8"/>
      <c r="D4" s="8"/>
      <c r="E4" s="8"/>
      <c r="F4" s="8"/>
      <c r="G4" s="8"/>
      <c r="H4" s="9"/>
      <c r="I4" s="9"/>
      <c r="J4" s="9"/>
      <c r="K4" s="9"/>
      <c r="L4" s="9"/>
      <c r="M4" s="9"/>
      <c r="N4" s="9"/>
      <c r="O4" s="9"/>
      <c r="P4" s="9"/>
      <c r="Q4" s="8"/>
      <c r="R4" s="8"/>
      <c r="S4" s="8"/>
      <c r="T4" s="8"/>
      <c r="U4" s="8"/>
      <c r="V4" s="8"/>
    </row>
    <row r="5" spans="1:22" ht="24.75" customHeight="1" x14ac:dyDescent="0.25">
      <c r="A5" s="8"/>
      <c r="B5" s="8"/>
      <c r="C5" s="8"/>
      <c r="D5" s="8"/>
      <c r="E5" s="8"/>
      <c r="F5" s="8"/>
      <c r="G5" s="8"/>
      <c r="H5" s="9"/>
      <c r="I5" s="9"/>
      <c r="J5" s="9"/>
      <c r="K5" s="9"/>
      <c r="L5" s="9"/>
      <c r="M5" s="9"/>
      <c r="N5" s="9"/>
      <c r="O5" s="9"/>
      <c r="P5" s="9"/>
      <c r="Q5" s="8"/>
      <c r="R5" s="8"/>
      <c r="S5" s="8"/>
      <c r="T5" s="8"/>
      <c r="U5" s="8"/>
      <c r="V5" s="8"/>
    </row>
    <row r="6" spans="1:22" ht="24.75" customHeight="1" x14ac:dyDescent="0.25">
      <c r="A6" s="8"/>
      <c r="B6" s="8"/>
      <c r="C6" s="8"/>
      <c r="D6" s="8"/>
      <c r="E6" s="8"/>
      <c r="F6" s="8"/>
      <c r="G6" s="8"/>
      <c r="H6" s="9"/>
      <c r="I6" s="9"/>
      <c r="J6" s="9"/>
      <c r="K6" s="9"/>
      <c r="L6" s="9"/>
      <c r="M6" s="9"/>
      <c r="N6" s="9"/>
      <c r="O6" s="9"/>
      <c r="P6" s="9"/>
      <c r="Q6" s="8"/>
      <c r="R6" s="8"/>
      <c r="S6" s="8"/>
      <c r="T6" s="8"/>
      <c r="U6" s="8"/>
      <c r="V6" s="8"/>
    </row>
    <row r="7" spans="1:22" ht="24.75" customHeight="1" x14ac:dyDescent="0.25">
      <c r="A7" s="8"/>
      <c r="B7" s="8"/>
      <c r="C7" s="8"/>
      <c r="D7" s="8"/>
      <c r="E7" s="8"/>
      <c r="F7" s="8"/>
      <c r="G7" s="8"/>
      <c r="H7" s="9"/>
      <c r="I7" s="9"/>
      <c r="J7" s="9"/>
      <c r="K7" s="9"/>
      <c r="L7" s="9"/>
      <c r="M7" s="9"/>
      <c r="N7" s="9"/>
      <c r="O7" s="9"/>
      <c r="P7" s="9"/>
      <c r="Q7" s="8"/>
      <c r="R7" s="8"/>
      <c r="S7" s="8"/>
      <c r="T7" s="8"/>
      <c r="U7" s="8"/>
      <c r="V7" s="8"/>
    </row>
    <row r="8" spans="1:22" ht="24.75" customHeight="1" x14ac:dyDescent="0.25">
      <c r="A8" s="8"/>
      <c r="B8" s="8"/>
      <c r="C8" s="8"/>
      <c r="D8" s="8"/>
      <c r="E8" s="8"/>
      <c r="F8" s="8"/>
      <c r="G8" s="8"/>
      <c r="H8" s="9"/>
      <c r="I8" s="9"/>
      <c r="J8" s="9"/>
      <c r="K8" s="9"/>
      <c r="L8" s="9"/>
      <c r="M8" s="9"/>
      <c r="N8" s="9"/>
      <c r="O8" s="9"/>
      <c r="P8" s="9"/>
      <c r="Q8" s="8"/>
      <c r="R8" s="8"/>
      <c r="S8" s="8"/>
      <c r="T8" s="8"/>
      <c r="U8" s="8"/>
      <c r="V8" s="8"/>
    </row>
    <row r="9" spans="1:22" ht="24.75" customHeight="1" x14ac:dyDescent="0.25">
      <c r="A9" s="8"/>
      <c r="B9" s="8"/>
      <c r="C9" s="8"/>
      <c r="D9" s="8"/>
      <c r="E9" s="8"/>
      <c r="F9" s="8"/>
      <c r="G9" s="8"/>
      <c r="H9" s="9"/>
      <c r="I9" s="9"/>
      <c r="J9" s="9"/>
      <c r="K9" s="9"/>
      <c r="L9" s="9"/>
      <c r="M9" s="9"/>
      <c r="N9" s="9"/>
      <c r="O9" s="9"/>
      <c r="P9" s="9"/>
      <c r="Q9" s="8"/>
      <c r="R9" s="8"/>
      <c r="S9" s="8"/>
      <c r="T9" s="8"/>
      <c r="U9" s="8"/>
      <c r="V9" s="8"/>
    </row>
    <row r="10" spans="1:22" ht="24.75" customHeight="1" x14ac:dyDescent="0.25">
      <c r="A10" s="8"/>
      <c r="B10" s="8"/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N10" s="9"/>
      <c r="O10" s="9"/>
      <c r="P10" s="9"/>
      <c r="Q10" s="8"/>
      <c r="R10" s="8"/>
      <c r="S10" s="8"/>
      <c r="T10" s="8"/>
      <c r="U10" s="8"/>
      <c r="V10" s="8"/>
    </row>
    <row r="11" spans="1:22" ht="24.75" customHeight="1" x14ac:dyDescent="0.25">
      <c r="A11" s="8"/>
      <c r="B11" s="8"/>
      <c r="C11" s="8"/>
      <c r="D11" s="8"/>
      <c r="E11" s="8"/>
      <c r="F11" s="8"/>
      <c r="G11" s="8"/>
      <c r="H11" s="9"/>
      <c r="I11" s="9"/>
      <c r="J11" s="9"/>
      <c r="K11" s="9"/>
      <c r="L11" s="9"/>
      <c r="M11" s="9"/>
      <c r="N11" s="9"/>
      <c r="O11" s="9"/>
      <c r="P11" s="9"/>
      <c r="Q11" s="8"/>
      <c r="R11" s="8"/>
      <c r="S11" s="8"/>
      <c r="T11" s="8"/>
      <c r="U11" s="8"/>
      <c r="V11" s="8"/>
    </row>
    <row r="12" spans="1:22" ht="24.75" customHeight="1" x14ac:dyDescent="0.25">
      <c r="A12" s="8"/>
      <c r="B12" s="8"/>
      <c r="C12" s="8"/>
      <c r="D12" s="8"/>
      <c r="E12" s="8"/>
      <c r="F12" s="8"/>
      <c r="G12" s="8"/>
      <c r="H12" s="9"/>
      <c r="I12" s="9"/>
      <c r="J12" s="9"/>
      <c r="K12" s="9"/>
      <c r="L12" s="9"/>
      <c r="M12" s="9"/>
      <c r="N12" s="9"/>
      <c r="O12" s="9"/>
      <c r="P12" s="9"/>
      <c r="Q12" s="8"/>
      <c r="R12" s="8"/>
      <c r="S12" s="8"/>
      <c r="T12" s="8"/>
      <c r="U12" s="8"/>
      <c r="V12" s="8"/>
    </row>
    <row r="13" spans="1:22" ht="24.75" customHeight="1" x14ac:dyDescent="0.25">
      <c r="A13" s="8"/>
      <c r="B13" s="8"/>
      <c r="C13" s="8"/>
      <c r="D13" s="8"/>
      <c r="E13" s="8"/>
      <c r="F13" s="8"/>
      <c r="G13" s="8"/>
      <c r="H13" s="9"/>
      <c r="I13" s="9"/>
      <c r="J13" s="9"/>
      <c r="K13" s="9"/>
      <c r="L13" s="9"/>
      <c r="M13" s="9"/>
      <c r="N13" s="9"/>
      <c r="O13" s="9"/>
      <c r="P13" s="9"/>
      <c r="Q13" s="8"/>
      <c r="R13" s="8"/>
      <c r="S13" s="8"/>
      <c r="T13" s="8"/>
      <c r="U13" s="8"/>
      <c r="V13" s="8"/>
    </row>
    <row r="14" spans="1:22" ht="24.75" customHeight="1" x14ac:dyDescent="0.25">
      <c r="A14" s="8"/>
      <c r="B14" s="8"/>
      <c r="C14" s="8"/>
      <c r="D14" s="8"/>
      <c r="E14" s="8"/>
      <c r="F14" s="8"/>
      <c r="G14" s="8"/>
      <c r="H14" s="9"/>
      <c r="I14" s="9"/>
      <c r="J14" s="9"/>
      <c r="K14" s="9"/>
      <c r="L14" s="9"/>
      <c r="M14" s="9"/>
      <c r="N14" s="9"/>
      <c r="O14" s="9"/>
      <c r="P14" s="9"/>
      <c r="Q14" s="8"/>
      <c r="R14" s="8"/>
      <c r="S14" s="8"/>
      <c r="T14" s="8"/>
      <c r="U14" s="8"/>
      <c r="V14" s="8"/>
    </row>
    <row r="15" spans="1:22" ht="24.75" customHeight="1" x14ac:dyDescent="0.25">
      <c r="A15" s="8"/>
      <c r="B15" s="8"/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  <c r="N15" s="9"/>
      <c r="O15" s="9"/>
      <c r="P15" s="9"/>
      <c r="Q15" s="8"/>
      <c r="R15" s="8"/>
      <c r="S15" s="8"/>
      <c r="T15" s="8"/>
      <c r="U15" s="8"/>
      <c r="V15" s="8"/>
    </row>
    <row r="16" spans="1:22" ht="24.75" customHeight="1" x14ac:dyDescent="0.25">
      <c r="A16" s="8"/>
      <c r="B16" s="8"/>
      <c r="C16" s="8"/>
      <c r="D16" s="8"/>
      <c r="E16" s="8"/>
      <c r="F16" s="8"/>
      <c r="G16" s="8"/>
      <c r="H16" s="9"/>
      <c r="I16" s="9"/>
      <c r="J16" s="9"/>
      <c r="K16" s="9"/>
      <c r="L16" s="9"/>
      <c r="M16" s="9"/>
      <c r="N16" s="9"/>
      <c r="O16" s="9"/>
      <c r="P16" s="9"/>
      <c r="Q16" s="8"/>
      <c r="R16" s="8"/>
      <c r="S16" s="8"/>
      <c r="T16" s="8"/>
      <c r="U16" s="8"/>
      <c r="V16" s="8"/>
    </row>
    <row r="17" spans="1:22" ht="24.75" customHeight="1" x14ac:dyDescent="0.25">
      <c r="A17" s="8"/>
      <c r="B17" s="8"/>
      <c r="C17" s="8"/>
      <c r="D17" s="8"/>
      <c r="E17" s="8"/>
      <c r="F17" s="8"/>
      <c r="G17" s="8"/>
      <c r="H17" s="9"/>
      <c r="I17" s="9"/>
      <c r="J17" s="9"/>
      <c r="K17" s="9"/>
      <c r="L17" s="9"/>
      <c r="M17" s="9"/>
      <c r="N17" s="9"/>
      <c r="O17" s="9"/>
      <c r="P17" s="9"/>
      <c r="Q17" s="8"/>
      <c r="R17" s="8"/>
      <c r="S17" s="8"/>
      <c r="T17" s="8"/>
      <c r="U17" s="8"/>
      <c r="V17" s="8"/>
    </row>
    <row r="18" spans="1:22" ht="24.75" customHeight="1" x14ac:dyDescent="0.25">
      <c r="A18" s="8"/>
      <c r="B18" s="8"/>
      <c r="C18" s="8"/>
      <c r="D18" s="8"/>
      <c r="E18" s="8"/>
      <c r="F18" s="8"/>
      <c r="G18" s="8"/>
      <c r="H18" s="9"/>
      <c r="I18" s="9"/>
      <c r="J18" s="9"/>
      <c r="K18" s="9"/>
      <c r="L18" s="9"/>
      <c r="M18" s="9"/>
      <c r="N18" s="9"/>
      <c r="O18" s="9"/>
      <c r="P18" s="9"/>
      <c r="Q18" s="8"/>
      <c r="R18" s="8"/>
      <c r="S18" s="8"/>
      <c r="T18" s="8"/>
      <c r="U18" s="8"/>
      <c r="V18" s="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7D11E-58A0-4C2A-8FF4-AB0D00747811}">
  <dimension ref="A1:O1"/>
  <sheetViews>
    <sheetView zoomScale="115" zoomScaleNormal="115" workbookViewId="0">
      <selection activeCell="A2" sqref="A2"/>
    </sheetView>
  </sheetViews>
  <sheetFormatPr defaultRowHeight="15" x14ac:dyDescent="0.25"/>
  <cols>
    <col min="2" max="2" width="28.42578125" customWidth="1"/>
    <col min="3" max="3" width="12.5703125" customWidth="1"/>
    <col min="4" max="4" width="10.5703125" customWidth="1"/>
    <col min="5" max="7" width="17.7109375" customWidth="1"/>
    <col min="8" max="8" width="9.7109375" style="5" customWidth="1"/>
    <col min="9" max="9" width="18.5703125" style="5" customWidth="1"/>
    <col min="10" max="10" width="57.28515625" customWidth="1"/>
    <col min="11" max="15" width="11.28515625" customWidth="1"/>
  </cols>
  <sheetData>
    <row r="1" spans="1:15" ht="17.25" customHeight="1" x14ac:dyDescent="0.25">
      <c r="A1" s="31" t="s">
        <v>77</v>
      </c>
      <c r="B1" s="31" t="s">
        <v>78</v>
      </c>
      <c r="C1" s="31" t="s">
        <v>85</v>
      </c>
      <c r="D1" s="31" t="s">
        <v>8</v>
      </c>
      <c r="E1" s="31" t="s">
        <v>9</v>
      </c>
      <c r="F1" s="31" t="s">
        <v>10</v>
      </c>
      <c r="G1" s="31" t="s">
        <v>11</v>
      </c>
      <c r="H1" s="31" t="s">
        <v>30</v>
      </c>
      <c r="I1" s="31" t="s">
        <v>79</v>
      </c>
      <c r="J1" s="31" t="s">
        <v>12</v>
      </c>
      <c r="K1" s="31" t="s">
        <v>80</v>
      </c>
      <c r="L1" s="31" t="s">
        <v>81</v>
      </c>
      <c r="M1" s="31" t="s">
        <v>82</v>
      </c>
      <c r="N1" s="31" t="s">
        <v>83</v>
      </c>
      <c r="O1" s="31" t="s">
        <v>84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1DA5-F223-447F-B409-D802E8ACC609}">
  <dimension ref="A1:O1"/>
  <sheetViews>
    <sheetView tabSelected="1" zoomScale="70" zoomScaleNormal="70" workbookViewId="0">
      <selection activeCell="O1" sqref="O1"/>
    </sheetView>
  </sheetViews>
  <sheetFormatPr defaultRowHeight="15" x14ac:dyDescent="0.25"/>
  <cols>
    <col min="2" max="2" width="21.5703125" customWidth="1"/>
    <col min="3" max="3" width="11.7109375" customWidth="1"/>
    <col min="4" max="4" width="13.42578125" customWidth="1"/>
    <col min="5" max="7" width="22.28515625" customWidth="1"/>
    <col min="8" max="8" width="9.7109375" style="5" customWidth="1"/>
    <col min="9" max="9" width="18.42578125" style="5" customWidth="1"/>
    <col min="10" max="10" width="53.5703125" customWidth="1"/>
    <col min="11" max="14" width="13.85546875" customWidth="1"/>
    <col min="15" max="15" width="33.28515625" customWidth="1"/>
  </cols>
  <sheetData>
    <row r="1" spans="1:15" s="2" customFormat="1" ht="17.25" customHeight="1" x14ac:dyDescent="0.25">
      <c r="A1" s="29" t="s">
        <v>77</v>
      </c>
      <c r="B1" s="29" t="s">
        <v>78</v>
      </c>
      <c r="C1" s="29" t="s">
        <v>85</v>
      </c>
      <c r="D1" s="29" t="s">
        <v>8</v>
      </c>
      <c r="E1" s="29" t="s">
        <v>9</v>
      </c>
      <c r="F1" s="29" t="s">
        <v>10</v>
      </c>
      <c r="G1" s="29" t="s">
        <v>11</v>
      </c>
      <c r="H1" s="29" t="s">
        <v>30</v>
      </c>
      <c r="I1" s="29" t="s">
        <v>79</v>
      </c>
      <c r="J1" s="29" t="s">
        <v>12</v>
      </c>
      <c r="K1" s="29" t="s">
        <v>80</v>
      </c>
      <c r="L1" s="29" t="s">
        <v>81</v>
      </c>
      <c r="M1" s="29" t="s">
        <v>82</v>
      </c>
      <c r="N1" s="29" t="s">
        <v>83</v>
      </c>
      <c r="O1" s="32" t="s">
        <v>97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4C3-53F6-46F2-B5E0-EE72EA66EEBF}">
  <dimension ref="A1:L60"/>
  <sheetViews>
    <sheetView topLeftCell="A28" zoomScale="110" zoomScaleNormal="55" workbookViewId="0">
      <selection activeCell="J10" sqref="J10"/>
    </sheetView>
  </sheetViews>
  <sheetFormatPr defaultRowHeight="15" x14ac:dyDescent="0.25"/>
  <cols>
    <col min="2" max="2" width="9.140625" style="5"/>
    <col min="3" max="3" width="14.28515625" style="5" customWidth="1"/>
    <col min="4" max="4" width="44.7109375" style="28" bestFit="1" customWidth="1"/>
    <col min="5" max="5" width="10.5703125" style="5" customWidth="1"/>
    <col min="6" max="6" width="13.5703125" style="5" customWidth="1"/>
    <col min="7" max="7" width="16.42578125" style="5" customWidth="1"/>
    <col min="8" max="11" width="10.5703125" style="5" customWidth="1"/>
    <col min="12" max="12" width="16.7109375" style="5" customWidth="1"/>
  </cols>
  <sheetData>
    <row r="1" spans="1:12" s="2" customFormat="1" ht="44.65" customHeight="1" x14ac:dyDescent="0.25">
      <c r="A1" s="1" t="s">
        <v>30</v>
      </c>
      <c r="B1" s="3" t="s">
        <v>0</v>
      </c>
      <c r="C1" s="3" t="s">
        <v>1</v>
      </c>
      <c r="D1" s="22" t="s">
        <v>2</v>
      </c>
      <c r="E1" s="3" t="s">
        <v>3</v>
      </c>
      <c r="F1" s="6" t="s">
        <v>62</v>
      </c>
      <c r="G1" s="6" t="s">
        <v>15</v>
      </c>
      <c r="H1" s="6" t="s">
        <v>4</v>
      </c>
      <c r="I1" s="6" t="s">
        <v>5</v>
      </c>
      <c r="J1" s="6" t="s">
        <v>6</v>
      </c>
      <c r="K1" s="6" t="s">
        <v>7</v>
      </c>
      <c r="L1" s="3" t="s">
        <v>29</v>
      </c>
    </row>
    <row r="2" spans="1:12" ht="17.25" customHeight="1" x14ac:dyDescent="0.25">
      <c r="A2" s="7" t="s">
        <v>31</v>
      </c>
      <c r="B2" s="10">
        <v>45</v>
      </c>
      <c r="C2" s="10">
        <v>69968610</v>
      </c>
      <c r="D2" s="23" t="s">
        <v>42</v>
      </c>
      <c r="E2" s="10">
        <v>45</v>
      </c>
      <c r="F2" s="10">
        <v>100</v>
      </c>
      <c r="G2" s="10">
        <v>4.5</v>
      </c>
      <c r="H2" s="10">
        <v>20</v>
      </c>
      <c r="I2" s="10">
        <f>IF(E2&lt;100, E2*2, E2*1.5)</f>
        <v>90</v>
      </c>
      <c r="J2" s="10">
        <f t="shared" ref="J2" si="0">E2-G2</f>
        <v>40.5</v>
      </c>
      <c r="K2" s="10">
        <f t="shared" ref="K2" si="1">E2+G2</f>
        <v>49.5</v>
      </c>
      <c r="L2" s="10">
        <v>35</v>
      </c>
    </row>
    <row r="3" spans="1:12" ht="17.25" customHeight="1" x14ac:dyDescent="0.25">
      <c r="A3" s="7" t="s">
        <v>31</v>
      </c>
      <c r="B3" s="10">
        <v>50</v>
      </c>
      <c r="C3" s="4">
        <v>64354184</v>
      </c>
      <c r="D3" s="24" t="s">
        <v>32</v>
      </c>
      <c r="E3" s="10">
        <v>50</v>
      </c>
      <c r="F3" s="10">
        <v>96</v>
      </c>
      <c r="G3" s="10">
        <v>4.5</v>
      </c>
      <c r="H3" s="4">
        <v>20</v>
      </c>
      <c r="I3" s="10">
        <f t="shared" ref="I3:I36" si="2">IF(E3&lt;100, E3*2, E3*1.5)</f>
        <v>100</v>
      </c>
      <c r="J3" s="10">
        <f t="shared" ref="J3:J6" si="3">E3-G3</f>
        <v>45.5</v>
      </c>
      <c r="K3" s="10">
        <f t="shared" ref="K3:K6" si="4">E3+G3</f>
        <v>54.5</v>
      </c>
      <c r="L3" s="10">
        <v>58</v>
      </c>
    </row>
    <row r="4" spans="1:12" ht="17.25" customHeight="1" x14ac:dyDescent="0.25">
      <c r="A4" s="7" t="s">
        <v>31</v>
      </c>
      <c r="B4" s="10">
        <v>65</v>
      </c>
      <c r="C4" s="4">
        <v>64829017</v>
      </c>
      <c r="D4" s="24" t="s">
        <v>33</v>
      </c>
      <c r="E4" s="10">
        <v>65</v>
      </c>
      <c r="F4" s="10">
        <v>72</v>
      </c>
      <c r="G4" s="10">
        <v>4.5</v>
      </c>
      <c r="H4" s="4">
        <f>E4*0.4</f>
        <v>26</v>
      </c>
      <c r="I4" s="10">
        <f t="shared" si="2"/>
        <v>130</v>
      </c>
      <c r="J4" s="10">
        <f t="shared" si="3"/>
        <v>60.5</v>
      </c>
      <c r="K4" s="10">
        <f t="shared" si="4"/>
        <v>69.5</v>
      </c>
      <c r="L4" s="10">
        <v>58</v>
      </c>
    </row>
    <row r="5" spans="1:12" ht="17.25" customHeight="1" x14ac:dyDescent="0.25">
      <c r="A5" s="7" t="s">
        <v>31</v>
      </c>
      <c r="B5" s="10">
        <v>70</v>
      </c>
      <c r="C5" s="4">
        <v>64365455</v>
      </c>
      <c r="D5" s="24" t="s">
        <v>34</v>
      </c>
      <c r="E5" s="10">
        <v>70</v>
      </c>
      <c r="F5" s="10">
        <v>72</v>
      </c>
      <c r="G5" s="10">
        <v>6.3</v>
      </c>
      <c r="H5" s="4">
        <f t="shared" ref="H5:H32" si="5">E5*0.4</f>
        <v>28</v>
      </c>
      <c r="I5" s="10">
        <f t="shared" si="2"/>
        <v>140</v>
      </c>
      <c r="J5" s="10">
        <f t="shared" si="3"/>
        <v>63.7</v>
      </c>
      <c r="K5" s="10">
        <f t="shared" si="4"/>
        <v>76.3</v>
      </c>
      <c r="L5" s="10">
        <v>55</v>
      </c>
    </row>
    <row r="6" spans="1:12" ht="17.25" customHeight="1" x14ac:dyDescent="0.25">
      <c r="A6" s="7" t="s">
        <v>31</v>
      </c>
      <c r="B6" s="10">
        <v>136</v>
      </c>
      <c r="C6" s="4">
        <v>64354185</v>
      </c>
      <c r="D6" s="24" t="s">
        <v>35</v>
      </c>
      <c r="E6" s="10">
        <v>136</v>
      </c>
      <c r="F6" s="10">
        <v>32</v>
      </c>
      <c r="G6" s="10">
        <v>6.12</v>
      </c>
      <c r="H6" s="4">
        <f t="shared" si="5"/>
        <v>54.400000000000006</v>
      </c>
      <c r="I6" s="10">
        <f t="shared" si="2"/>
        <v>204</v>
      </c>
      <c r="J6" s="10">
        <f t="shared" si="3"/>
        <v>129.88</v>
      </c>
      <c r="K6" s="10">
        <f t="shared" si="4"/>
        <v>142.12</v>
      </c>
      <c r="L6" s="10">
        <v>52</v>
      </c>
    </row>
    <row r="7" spans="1:12" ht="17.25" customHeight="1" x14ac:dyDescent="0.25">
      <c r="A7" s="7" t="s">
        <v>31</v>
      </c>
      <c r="B7" s="10">
        <v>136</v>
      </c>
      <c r="C7" s="10">
        <v>64334712</v>
      </c>
      <c r="D7" s="23" t="s">
        <v>43</v>
      </c>
      <c r="E7" s="10">
        <v>136</v>
      </c>
      <c r="F7" s="10">
        <v>38</v>
      </c>
      <c r="G7" s="10">
        <v>6.12</v>
      </c>
      <c r="H7" s="4">
        <f t="shared" si="5"/>
        <v>54.400000000000006</v>
      </c>
      <c r="I7" s="10">
        <f t="shared" si="2"/>
        <v>204</v>
      </c>
      <c r="J7" s="10">
        <f t="shared" ref="J7" si="6">E7-G7</f>
        <v>129.88</v>
      </c>
      <c r="K7" s="10">
        <f t="shared" ref="K7" si="7">E7+G7</f>
        <v>142.12</v>
      </c>
      <c r="L7" s="10">
        <v>52</v>
      </c>
    </row>
    <row r="8" spans="1:12" ht="17.25" customHeight="1" x14ac:dyDescent="0.25">
      <c r="A8" s="7" t="s">
        <v>31</v>
      </c>
      <c r="B8" s="10">
        <v>150</v>
      </c>
      <c r="C8" s="4">
        <v>64869327</v>
      </c>
      <c r="D8" s="24" t="s">
        <v>36</v>
      </c>
      <c r="E8" s="10">
        <v>150</v>
      </c>
      <c r="F8" s="10">
        <v>32</v>
      </c>
      <c r="G8" s="10">
        <v>6.75</v>
      </c>
      <c r="H8" s="4">
        <f t="shared" si="5"/>
        <v>60</v>
      </c>
      <c r="I8" s="10">
        <f t="shared" si="2"/>
        <v>225</v>
      </c>
      <c r="J8" s="10">
        <f>E8-G8</f>
        <v>143.25</v>
      </c>
      <c r="K8" s="10">
        <f>E8+G8</f>
        <v>156.75</v>
      </c>
      <c r="L8" s="10">
        <v>52</v>
      </c>
    </row>
    <row r="9" spans="1:12" ht="17.25" customHeight="1" x14ac:dyDescent="0.25">
      <c r="A9" s="7" t="s">
        <v>31</v>
      </c>
      <c r="B9" s="10">
        <v>170</v>
      </c>
      <c r="C9" s="4">
        <v>64354187</v>
      </c>
      <c r="D9" s="24" t="s">
        <v>37</v>
      </c>
      <c r="E9" s="10">
        <v>170</v>
      </c>
      <c r="F9" s="10">
        <v>32</v>
      </c>
      <c r="G9" s="10">
        <v>7.65</v>
      </c>
      <c r="H9" s="4">
        <f t="shared" si="5"/>
        <v>68</v>
      </c>
      <c r="I9" s="10">
        <f t="shared" si="2"/>
        <v>255</v>
      </c>
      <c r="J9" s="10">
        <f t="shared" ref="J9:J14" si="8">E9-G9</f>
        <v>162.35</v>
      </c>
      <c r="K9" s="10">
        <f t="shared" ref="K9:K14" si="9">E9+G9</f>
        <v>177.65</v>
      </c>
      <c r="L9" s="10">
        <v>52</v>
      </c>
    </row>
    <row r="10" spans="1:12" ht="17.25" customHeight="1" x14ac:dyDescent="0.25">
      <c r="A10" s="7" t="s">
        <v>31</v>
      </c>
      <c r="B10" s="10">
        <v>170</v>
      </c>
      <c r="C10" s="4">
        <v>69968608</v>
      </c>
      <c r="D10" s="24" t="s">
        <v>38</v>
      </c>
      <c r="E10" s="10">
        <v>170</v>
      </c>
      <c r="F10" s="10">
        <v>38</v>
      </c>
      <c r="G10" s="10">
        <v>7.65</v>
      </c>
      <c r="H10" s="4">
        <f t="shared" si="5"/>
        <v>68</v>
      </c>
      <c r="I10" s="10">
        <f t="shared" si="2"/>
        <v>255</v>
      </c>
      <c r="J10" s="10" t="b">
        <f>C50=E10-G10</f>
        <v>0</v>
      </c>
      <c r="K10" s="10">
        <f t="shared" si="9"/>
        <v>177.65</v>
      </c>
      <c r="L10" s="10">
        <v>50</v>
      </c>
    </row>
    <row r="11" spans="1:12" ht="17.25" customHeight="1" x14ac:dyDescent="0.25">
      <c r="A11" s="7" t="s">
        <v>31</v>
      </c>
      <c r="B11" s="4">
        <v>380</v>
      </c>
      <c r="C11" s="4">
        <v>69968606</v>
      </c>
      <c r="D11" s="24" t="s">
        <v>39</v>
      </c>
      <c r="E11" s="4">
        <v>380</v>
      </c>
      <c r="F11" s="4">
        <v>16</v>
      </c>
      <c r="G11" s="4">
        <v>11.4</v>
      </c>
      <c r="H11" s="4">
        <f t="shared" si="5"/>
        <v>152</v>
      </c>
      <c r="I11" s="10">
        <f t="shared" si="2"/>
        <v>570</v>
      </c>
      <c r="J11" s="10">
        <f t="shared" si="8"/>
        <v>368.6</v>
      </c>
      <c r="K11" s="10">
        <f t="shared" si="9"/>
        <v>391.4</v>
      </c>
      <c r="L11" s="4">
        <v>40</v>
      </c>
    </row>
    <row r="12" spans="1:12" ht="17.25" customHeight="1" x14ac:dyDescent="0.25">
      <c r="A12" s="7" t="s">
        <v>31</v>
      </c>
      <c r="B12" s="4">
        <v>380</v>
      </c>
      <c r="C12" s="4">
        <v>64829023</v>
      </c>
      <c r="D12" s="24" t="s">
        <v>40</v>
      </c>
      <c r="E12" s="4">
        <v>380</v>
      </c>
      <c r="F12" s="4">
        <v>16</v>
      </c>
      <c r="G12" s="4">
        <v>11.4</v>
      </c>
      <c r="H12" s="4">
        <f t="shared" si="5"/>
        <v>152</v>
      </c>
      <c r="I12" s="10">
        <f t="shared" si="2"/>
        <v>570</v>
      </c>
      <c r="J12" s="10">
        <f t="shared" si="8"/>
        <v>368.6</v>
      </c>
      <c r="K12" s="10">
        <f t="shared" si="9"/>
        <v>391.4</v>
      </c>
      <c r="L12" s="4">
        <v>40</v>
      </c>
    </row>
    <row r="13" spans="1:12" ht="17.25" customHeight="1" x14ac:dyDescent="0.25">
      <c r="A13" s="7" t="s">
        <v>31</v>
      </c>
      <c r="B13" s="4">
        <v>380</v>
      </c>
      <c r="C13" s="4">
        <v>64411516</v>
      </c>
      <c r="D13" s="24" t="s">
        <v>41</v>
      </c>
      <c r="E13" s="4">
        <v>380</v>
      </c>
      <c r="F13" s="4">
        <v>20</v>
      </c>
      <c r="G13" s="4">
        <v>11.4</v>
      </c>
      <c r="H13" s="4">
        <f t="shared" si="5"/>
        <v>152</v>
      </c>
      <c r="I13" s="10">
        <f t="shared" si="2"/>
        <v>570</v>
      </c>
      <c r="J13" s="10">
        <f t="shared" si="8"/>
        <v>368.6</v>
      </c>
      <c r="K13" s="10">
        <f t="shared" si="9"/>
        <v>391.4</v>
      </c>
      <c r="L13" s="4">
        <v>40</v>
      </c>
    </row>
    <row r="14" spans="1:12" ht="17.25" customHeight="1" x14ac:dyDescent="0.25">
      <c r="A14" s="11" t="s">
        <v>44</v>
      </c>
      <c r="B14" s="12">
        <v>45</v>
      </c>
      <c r="C14" s="12">
        <v>69968610</v>
      </c>
      <c r="D14" s="25" t="s">
        <v>42</v>
      </c>
      <c r="E14" s="12">
        <v>45</v>
      </c>
      <c r="F14" s="12">
        <v>100</v>
      </c>
      <c r="G14" s="12">
        <v>4.5</v>
      </c>
      <c r="H14" s="13">
        <f t="shared" si="5"/>
        <v>18</v>
      </c>
      <c r="I14" s="12">
        <f t="shared" si="2"/>
        <v>90</v>
      </c>
      <c r="J14" s="12">
        <f t="shared" si="8"/>
        <v>40.5</v>
      </c>
      <c r="K14" s="12">
        <f t="shared" si="9"/>
        <v>49.5</v>
      </c>
      <c r="L14" s="12">
        <v>35</v>
      </c>
    </row>
    <row r="15" spans="1:12" ht="17.25" customHeight="1" x14ac:dyDescent="0.25">
      <c r="A15" s="11" t="s">
        <v>44</v>
      </c>
      <c r="B15" s="12">
        <v>50</v>
      </c>
      <c r="C15" s="13">
        <v>64354184</v>
      </c>
      <c r="D15" s="26" t="s">
        <v>32</v>
      </c>
      <c r="E15" s="12">
        <v>50</v>
      </c>
      <c r="F15" s="12">
        <v>96</v>
      </c>
      <c r="G15" s="12">
        <v>4.5</v>
      </c>
      <c r="H15" s="13">
        <f t="shared" si="5"/>
        <v>20</v>
      </c>
      <c r="I15" s="12">
        <f t="shared" si="2"/>
        <v>100</v>
      </c>
      <c r="J15" s="12">
        <f t="shared" ref="J15:J19" si="10">E15-G15</f>
        <v>45.5</v>
      </c>
      <c r="K15" s="12">
        <f t="shared" ref="K15:K19" si="11">E15+G15</f>
        <v>54.5</v>
      </c>
      <c r="L15" s="12">
        <v>58</v>
      </c>
    </row>
    <row r="16" spans="1:12" ht="17.25" customHeight="1" x14ac:dyDescent="0.25">
      <c r="A16" s="11" t="s">
        <v>44</v>
      </c>
      <c r="B16" s="12">
        <v>65</v>
      </c>
      <c r="C16" s="13">
        <v>64829017</v>
      </c>
      <c r="D16" s="26" t="s">
        <v>33</v>
      </c>
      <c r="E16" s="12">
        <v>65</v>
      </c>
      <c r="F16" s="12">
        <v>72</v>
      </c>
      <c r="G16" s="12">
        <v>4.5</v>
      </c>
      <c r="H16" s="13">
        <f t="shared" si="5"/>
        <v>26</v>
      </c>
      <c r="I16" s="12">
        <f t="shared" si="2"/>
        <v>130</v>
      </c>
      <c r="J16" s="12">
        <f t="shared" si="10"/>
        <v>60.5</v>
      </c>
      <c r="K16" s="12">
        <f t="shared" si="11"/>
        <v>69.5</v>
      </c>
      <c r="L16" s="12">
        <v>58</v>
      </c>
    </row>
    <row r="17" spans="1:12" ht="17.25" customHeight="1" x14ac:dyDescent="0.25">
      <c r="A17" s="11" t="s">
        <v>44</v>
      </c>
      <c r="B17" s="12">
        <v>70</v>
      </c>
      <c r="C17" s="13">
        <v>64365455</v>
      </c>
      <c r="D17" s="26" t="s">
        <v>34</v>
      </c>
      <c r="E17" s="12">
        <v>70</v>
      </c>
      <c r="F17" s="12">
        <v>72</v>
      </c>
      <c r="G17" s="12">
        <v>6.3</v>
      </c>
      <c r="H17" s="13">
        <f t="shared" si="5"/>
        <v>28</v>
      </c>
      <c r="I17" s="12">
        <f t="shared" si="2"/>
        <v>140</v>
      </c>
      <c r="J17" s="12">
        <f t="shared" si="10"/>
        <v>63.7</v>
      </c>
      <c r="K17" s="12">
        <f t="shared" si="11"/>
        <v>76.3</v>
      </c>
      <c r="L17" s="12">
        <v>55</v>
      </c>
    </row>
    <row r="18" spans="1:12" ht="17.25" customHeight="1" x14ac:dyDescent="0.25">
      <c r="A18" s="11" t="s">
        <v>44</v>
      </c>
      <c r="B18" s="12">
        <v>136</v>
      </c>
      <c r="C18" s="13">
        <v>64354185</v>
      </c>
      <c r="D18" s="26" t="s">
        <v>35</v>
      </c>
      <c r="E18" s="12">
        <v>136</v>
      </c>
      <c r="F18" s="12">
        <v>32</v>
      </c>
      <c r="G18" s="12">
        <v>6.12</v>
      </c>
      <c r="H18" s="13">
        <f t="shared" si="5"/>
        <v>54.400000000000006</v>
      </c>
      <c r="I18" s="12">
        <f t="shared" si="2"/>
        <v>204</v>
      </c>
      <c r="J18" s="12">
        <f t="shared" si="10"/>
        <v>129.88</v>
      </c>
      <c r="K18" s="12">
        <f t="shared" si="11"/>
        <v>142.12</v>
      </c>
      <c r="L18" s="12">
        <v>52</v>
      </c>
    </row>
    <row r="19" spans="1:12" ht="17.25" customHeight="1" x14ac:dyDescent="0.25">
      <c r="A19" s="11" t="s">
        <v>44</v>
      </c>
      <c r="B19" s="12">
        <v>136</v>
      </c>
      <c r="C19" s="12">
        <v>64334712</v>
      </c>
      <c r="D19" s="25" t="s">
        <v>43</v>
      </c>
      <c r="E19" s="12">
        <v>136</v>
      </c>
      <c r="F19" s="12">
        <v>38</v>
      </c>
      <c r="G19" s="12">
        <v>6.12</v>
      </c>
      <c r="H19" s="13">
        <f t="shared" si="5"/>
        <v>54.400000000000006</v>
      </c>
      <c r="I19" s="12">
        <f t="shared" si="2"/>
        <v>204</v>
      </c>
      <c r="J19" s="12">
        <f t="shared" si="10"/>
        <v>129.88</v>
      </c>
      <c r="K19" s="12">
        <f t="shared" si="11"/>
        <v>142.12</v>
      </c>
      <c r="L19" s="12">
        <v>52</v>
      </c>
    </row>
    <row r="20" spans="1:12" ht="17.25" customHeight="1" x14ac:dyDescent="0.25">
      <c r="A20" s="11" t="s">
        <v>44</v>
      </c>
      <c r="B20" s="12">
        <v>150</v>
      </c>
      <c r="C20" s="13">
        <v>64869327</v>
      </c>
      <c r="D20" s="26" t="s">
        <v>36</v>
      </c>
      <c r="E20" s="12">
        <v>150</v>
      </c>
      <c r="F20" s="12">
        <v>32</v>
      </c>
      <c r="G20" s="12">
        <v>6.75</v>
      </c>
      <c r="H20" s="13">
        <f t="shared" si="5"/>
        <v>60</v>
      </c>
      <c r="I20" s="12">
        <f t="shared" si="2"/>
        <v>225</v>
      </c>
      <c r="J20" s="12">
        <f>E20-G20</f>
        <v>143.25</v>
      </c>
      <c r="K20" s="12">
        <f>E20+G20</f>
        <v>156.75</v>
      </c>
      <c r="L20" s="12">
        <v>52</v>
      </c>
    </row>
    <row r="21" spans="1:12" ht="17.25" customHeight="1" x14ac:dyDescent="0.25">
      <c r="A21" s="11" t="s">
        <v>44</v>
      </c>
      <c r="B21" s="12">
        <v>170</v>
      </c>
      <c r="C21" s="13">
        <v>64354187</v>
      </c>
      <c r="D21" s="26" t="s">
        <v>37</v>
      </c>
      <c r="E21" s="12">
        <v>170</v>
      </c>
      <c r="F21" s="12">
        <v>32</v>
      </c>
      <c r="G21" s="12">
        <v>7.65</v>
      </c>
      <c r="H21" s="13">
        <f t="shared" si="5"/>
        <v>68</v>
      </c>
      <c r="I21" s="12">
        <f t="shared" si="2"/>
        <v>255</v>
      </c>
      <c r="J21" s="12">
        <f t="shared" ref="J21:J26" si="12">E21-G21</f>
        <v>162.35</v>
      </c>
      <c r="K21" s="12">
        <f t="shared" ref="K21:K26" si="13">E21+G21</f>
        <v>177.65</v>
      </c>
      <c r="L21" s="12">
        <v>52</v>
      </c>
    </row>
    <row r="22" spans="1:12" ht="17.25" customHeight="1" x14ac:dyDescent="0.25">
      <c r="A22" s="11" t="s">
        <v>44</v>
      </c>
      <c r="B22" s="12">
        <v>170</v>
      </c>
      <c r="C22" s="13">
        <v>69968608</v>
      </c>
      <c r="D22" s="26" t="s">
        <v>38</v>
      </c>
      <c r="E22" s="12">
        <v>170</v>
      </c>
      <c r="F22" s="12">
        <v>38</v>
      </c>
      <c r="G22" s="12">
        <v>7.65</v>
      </c>
      <c r="H22" s="13">
        <f t="shared" si="5"/>
        <v>68</v>
      </c>
      <c r="I22" s="12">
        <f t="shared" si="2"/>
        <v>255</v>
      </c>
      <c r="J22" s="12">
        <f t="shared" si="12"/>
        <v>162.35</v>
      </c>
      <c r="K22" s="12">
        <f t="shared" si="13"/>
        <v>177.65</v>
      </c>
      <c r="L22" s="12">
        <v>50</v>
      </c>
    </row>
    <row r="23" spans="1:12" ht="17.25" customHeight="1" x14ac:dyDescent="0.25">
      <c r="A23" s="11" t="s">
        <v>44</v>
      </c>
      <c r="B23" s="13">
        <v>380</v>
      </c>
      <c r="C23" s="13">
        <v>69968606</v>
      </c>
      <c r="D23" s="26" t="s">
        <v>39</v>
      </c>
      <c r="E23" s="13">
        <v>380</v>
      </c>
      <c r="F23" s="13">
        <v>16</v>
      </c>
      <c r="G23" s="13">
        <v>11.4</v>
      </c>
      <c r="H23" s="13">
        <f t="shared" si="5"/>
        <v>152</v>
      </c>
      <c r="I23" s="12">
        <f t="shared" si="2"/>
        <v>570</v>
      </c>
      <c r="J23" s="12">
        <f t="shared" si="12"/>
        <v>368.6</v>
      </c>
      <c r="K23" s="12">
        <f t="shared" si="13"/>
        <v>391.4</v>
      </c>
      <c r="L23" s="13">
        <v>40</v>
      </c>
    </row>
    <row r="24" spans="1:12" ht="17.25" customHeight="1" x14ac:dyDescent="0.25">
      <c r="A24" s="11" t="s">
        <v>44</v>
      </c>
      <c r="B24" s="13">
        <v>380</v>
      </c>
      <c r="C24" s="13">
        <v>64829023</v>
      </c>
      <c r="D24" s="26" t="s">
        <v>40</v>
      </c>
      <c r="E24" s="13">
        <v>380</v>
      </c>
      <c r="F24" s="13">
        <v>16</v>
      </c>
      <c r="G24" s="13">
        <v>11.4</v>
      </c>
      <c r="H24" s="13">
        <f t="shared" si="5"/>
        <v>152</v>
      </c>
      <c r="I24" s="12">
        <f t="shared" si="2"/>
        <v>570</v>
      </c>
      <c r="J24" s="12">
        <f t="shared" si="12"/>
        <v>368.6</v>
      </c>
      <c r="K24" s="12">
        <f t="shared" si="13"/>
        <v>391.4</v>
      </c>
      <c r="L24" s="13">
        <v>40</v>
      </c>
    </row>
    <row r="25" spans="1:12" ht="17.25" customHeight="1" x14ac:dyDescent="0.25">
      <c r="A25" s="11" t="s">
        <v>44</v>
      </c>
      <c r="B25" s="13">
        <v>380</v>
      </c>
      <c r="C25" s="13">
        <v>64411516</v>
      </c>
      <c r="D25" s="26" t="s">
        <v>41</v>
      </c>
      <c r="E25" s="13">
        <v>380</v>
      </c>
      <c r="F25" s="13">
        <v>20</v>
      </c>
      <c r="G25" s="13">
        <v>11.4</v>
      </c>
      <c r="H25" s="13">
        <f t="shared" si="5"/>
        <v>152</v>
      </c>
      <c r="I25" s="12">
        <f t="shared" si="2"/>
        <v>570</v>
      </c>
      <c r="J25" s="12">
        <f t="shared" si="12"/>
        <v>368.6</v>
      </c>
      <c r="K25" s="12">
        <f t="shared" si="13"/>
        <v>391.4</v>
      </c>
      <c r="L25" s="13">
        <v>40</v>
      </c>
    </row>
    <row r="26" spans="1:12" ht="17.25" customHeight="1" x14ac:dyDescent="0.25">
      <c r="A26" s="15" t="s">
        <v>45</v>
      </c>
      <c r="B26" s="16">
        <v>45</v>
      </c>
      <c r="C26" s="16">
        <v>69968610</v>
      </c>
      <c r="D26" s="27" t="s">
        <v>42</v>
      </c>
      <c r="E26" s="16">
        <v>45</v>
      </c>
      <c r="F26" s="16">
        <v>100</v>
      </c>
      <c r="G26" s="16">
        <v>4.5</v>
      </c>
      <c r="H26" s="17">
        <f t="shared" si="5"/>
        <v>18</v>
      </c>
      <c r="I26" s="16">
        <f t="shared" si="2"/>
        <v>90</v>
      </c>
      <c r="J26" s="16">
        <f t="shared" si="12"/>
        <v>40.5</v>
      </c>
      <c r="K26" s="16">
        <f t="shared" si="13"/>
        <v>49.5</v>
      </c>
      <c r="L26" s="16">
        <v>60</v>
      </c>
    </row>
    <row r="27" spans="1:12" ht="17.25" customHeight="1" x14ac:dyDescent="0.25">
      <c r="A27" s="15" t="s">
        <v>45</v>
      </c>
      <c r="B27" s="16">
        <v>50</v>
      </c>
      <c r="C27" s="17">
        <v>64354184</v>
      </c>
      <c r="D27" s="21" t="s">
        <v>32</v>
      </c>
      <c r="E27" s="16">
        <v>50</v>
      </c>
      <c r="F27" s="16">
        <v>96</v>
      </c>
      <c r="G27" s="16">
        <v>4.5</v>
      </c>
      <c r="H27" s="17">
        <f t="shared" si="5"/>
        <v>20</v>
      </c>
      <c r="I27" s="16">
        <f t="shared" si="2"/>
        <v>100</v>
      </c>
      <c r="J27" s="16">
        <f t="shared" ref="J27:J30" si="14">E27-G27</f>
        <v>45.5</v>
      </c>
      <c r="K27" s="16">
        <f t="shared" ref="K27:K30" si="15">E27+G27</f>
        <v>54.5</v>
      </c>
      <c r="L27" s="16">
        <v>60</v>
      </c>
    </row>
    <row r="28" spans="1:12" ht="17.25" customHeight="1" x14ac:dyDescent="0.25">
      <c r="A28" s="15" t="s">
        <v>45</v>
      </c>
      <c r="B28" s="16">
        <v>65</v>
      </c>
      <c r="C28" s="17">
        <v>64829017</v>
      </c>
      <c r="D28" s="21" t="s">
        <v>33</v>
      </c>
      <c r="E28" s="16">
        <v>65</v>
      </c>
      <c r="F28" s="16">
        <v>72</v>
      </c>
      <c r="G28" s="16">
        <v>4.5</v>
      </c>
      <c r="H28" s="17">
        <f t="shared" si="5"/>
        <v>26</v>
      </c>
      <c r="I28" s="16">
        <f t="shared" si="2"/>
        <v>130</v>
      </c>
      <c r="J28" s="16">
        <f t="shared" si="14"/>
        <v>60.5</v>
      </c>
      <c r="K28" s="16">
        <f t="shared" si="15"/>
        <v>69.5</v>
      </c>
      <c r="L28" s="16">
        <v>58</v>
      </c>
    </row>
    <row r="29" spans="1:12" ht="17.25" customHeight="1" x14ac:dyDescent="0.25">
      <c r="A29" s="15" t="s">
        <v>45</v>
      </c>
      <c r="B29" s="16">
        <v>70</v>
      </c>
      <c r="C29" s="17">
        <v>64365455</v>
      </c>
      <c r="D29" s="21" t="s">
        <v>34</v>
      </c>
      <c r="E29" s="16">
        <v>70</v>
      </c>
      <c r="F29" s="16">
        <v>72</v>
      </c>
      <c r="G29" s="16">
        <v>6.3</v>
      </c>
      <c r="H29" s="17">
        <f t="shared" si="5"/>
        <v>28</v>
      </c>
      <c r="I29" s="16">
        <f t="shared" si="2"/>
        <v>140</v>
      </c>
      <c r="J29" s="16">
        <f t="shared" si="14"/>
        <v>63.7</v>
      </c>
      <c r="K29" s="16">
        <f t="shared" si="15"/>
        <v>76.3</v>
      </c>
      <c r="L29" s="16">
        <v>55</v>
      </c>
    </row>
    <row r="30" spans="1:12" ht="17.25" customHeight="1" x14ac:dyDescent="0.25">
      <c r="A30" s="15" t="s">
        <v>45</v>
      </c>
      <c r="B30" s="17">
        <v>100</v>
      </c>
      <c r="C30" s="19">
        <v>64333945</v>
      </c>
      <c r="D30" s="20" t="s">
        <v>47</v>
      </c>
      <c r="E30" s="17">
        <v>100</v>
      </c>
      <c r="F30" s="17">
        <v>400</v>
      </c>
      <c r="G30" s="17">
        <v>4.5</v>
      </c>
      <c r="H30" s="17">
        <f t="shared" si="5"/>
        <v>40</v>
      </c>
      <c r="I30" s="16">
        <f t="shared" si="2"/>
        <v>150</v>
      </c>
      <c r="J30" s="17">
        <f t="shared" si="14"/>
        <v>95.5</v>
      </c>
      <c r="K30" s="17">
        <f t="shared" si="15"/>
        <v>104.5</v>
      </c>
      <c r="L30" s="16">
        <v>35</v>
      </c>
    </row>
    <row r="31" spans="1:12" ht="17.25" customHeight="1" x14ac:dyDescent="0.25">
      <c r="A31" s="15" t="s">
        <v>45</v>
      </c>
      <c r="B31" s="16">
        <v>136</v>
      </c>
      <c r="C31" s="17">
        <v>64354185</v>
      </c>
      <c r="D31" s="21" t="s">
        <v>35</v>
      </c>
      <c r="E31" s="16">
        <v>136</v>
      </c>
      <c r="F31" s="16">
        <v>32</v>
      </c>
      <c r="G31" s="16">
        <v>6.12</v>
      </c>
      <c r="H31" s="17">
        <f t="shared" si="5"/>
        <v>54.400000000000006</v>
      </c>
      <c r="I31" s="16">
        <f t="shared" si="2"/>
        <v>204</v>
      </c>
      <c r="J31" s="16">
        <f>E31-G31</f>
        <v>129.88</v>
      </c>
      <c r="K31" s="16">
        <f>E31+G31</f>
        <v>142.12</v>
      </c>
      <c r="L31" s="16">
        <v>52</v>
      </c>
    </row>
    <row r="32" spans="1:12" ht="17.25" customHeight="1" x14ac:dyDescent="0.25">
      <c r="A32" s="15" t="s">
        <v>45</v>
      </c>
      <c r="B32" s="16">
        <v>136</v>
      </c>
      <c r="C32" s="16">
        <v>64334712</v>
      </c>
      <c r="D32" s="27" t="s">
        <v>43</v>
      </c>
      <c r="E32" s="16">
        <v>136</v>
      </c>
      <c r="F32" s="16">
        <v>38</v>
      </c>
      <c r="G32" s="16">
        <v>6.12</v>
      </c>
      <c r="H32" s="17">
        <f t="shared" si="5"/>
        <v>54.400000000000006</v>
      </c>
      <c r="I32" s="16">
        <f t="shared" si="2"/>
        <v>204</v>
      </c>
      <c r="J32" s="16">
        <f>E32-G32</f>
        <v>129.88</v>
      </c>
      <c r="K32" s="16">
        <f>E32+G32</f>
        <v>142.12</v>
      </c>
      <c r="L32" s="16">
        <v>52</v>
      </c>
    </row>
    <row r="33" spans="1:12" ht="17.25" customHeight="1" x14ac:dyDescent="0.25">
      <c r="A33" s="15" t="s">
        <v>45</v>
      </c>
      <c r="B33" s="16">
        <v>150</v>
      </c>
      <c r="C33" s="17">
        <v>64869327</v>
      </c>
      <c r="D33" s="21" t="s">
        <v>36</v>
      </c>
      <c r="E33" s="16">
        <v>150</v>
      </c>
      <c r="F33" s="16">
        <v>32</v>
      </c>
      <c r="G33" s="16">
        <v>6.75</v>
      </c>
      <c r="H33" s="17">
        <f>E33*0.4</f>
        <v>60</v>
      </c>
      <c r="I33" s="16">
        <f t="shared" si="2"/>
        <v>225</v>
      </c>
      <c r="J33" s="16">
        <f>E33-G33</f>
        <v>143.25</v>
      </c>
      <c r="K33" s="16">
        <f>E33+G33</f>
        <v>156.75</v>
      </c>
      <c r="L33" s="16">
        <v>52</v>
      </c>
    </row>
    <row r="34" spans="1:12" ht="17.25" customHeight="1" x14ac:dyDescent="0.25">
      <c r="A34" s="15" t="s">
        <v>45</v>
      </c>
      <c r="B34" s="16">
        <v>170</v>
      </c>
      <c r="C34" s="17">
        <v>64354187</v>
      </c>
      <c r="D34" s="21" t="s">
        <v>37</v>
      </c>
      <c r="E34" s="16">
        <v>170</v>
      </c>
      <c r="F34" s="16">
        <v>32</v>
      </c>
      <c r="G34" s="16">
        <v>7.65</v>
      </c>
      <c r="H34" s="17">
        <f t="shared" ref="H34:H36" si="16">E34*0.4</f>
        <v>68</v>
      </c>
      <c r="I34" s="16">
        <f t="shared" si="2"/>
        <v>255</v>
      </c>
      <c r="J34" s="16">
        <f>E34-G34</f>
        <v>162.35</v>
      </c>
      <c r="K34" s="16">
        <f>E34+G34</f>
        <v>177.65</v>
      </c>
      <c r="L34" s="16">
        <v>52</v>
      </c>
    </row>
    <row r="35" spans="1:12" ht="17.25" customHeight="1" x14ac:dyDescent="0.25">
      <c r="A35" s="15" t="s">
        <v>45</v>
      </c>
      <c r="B35" s="16">
        <v>170</v>
      </c>
      <c r="C35" s="17">
        <v>69968608</v>
      </c>
      <c r="D35" s="21" t="s">
        <v>38</v>
      </c>
      <c r="E35" s="16">
        <v>170</v>
      </c>
      <c r="F35" s="16">
        <v>38</v>
      </c>
      <c r="G35" s="16">
        <v>7.65</v>
      </c>
      <c r="H35" s="17">
        <f t="shared" si="16"/>
        <v>68</v>
      </c>
      <c r="I35" s="16">
        <f t="shared" si="2"/>
        <v>255</v>
      </c>
      <c r="J35" s="16">
        <f>E35-G35</f>
        <v>162.35</v>
      </c>
      <c r="K35" s="16">
        <f>E35+G35</f>
        <v>177.65</v>
      </c>
      <c r="L35" s="16">
        <v>50</v>
      </c>
    </row>
    <row r="36" spans="1:12" ht="17.25" customHeight="1" x14ac:dyDescent="0.25">
      <c r="A36" s="15" t="s">
        <v>45</v>
      </c>
      <c r="B36" s="17">
        <v>400</v>
      </c>
      <c r="C36" s="17">
        <v>68905286</v>
      </c>
      <c r="D36" s="21" t="s">
        <v>46</v>
      </c>
      <c r="E36" s="17">
        <v>400</v>
      </c>
      <c r="F36" s="17">
        <v>12</v>
      </c>
      <c r="G36" s="17">
        <v>12</v>
      </c>
      <c r="H36" s="17">
        <f t="shared" si="16"/>
        <v>160</v>
      </c>
      <c r="I36" s="16">
        <f t="shared" si="2"/>
        <v>600</v>
      </c>
      <c r="J36" s="16">
        <f>E36-F36</f>
        <v>388</v>
      </c>
      <c r="K36" s="16">
        <f>E36+F36</f>
        <v>412</v>
      </c>
      <c r="L36" s="17">
        <v>32</v>
      </c>
    </row>
    <row r="37" spans="1:12" ht="17.25" customHeight="1" x14ac:dyDescent="0.25">
      <c r="A37" s="14" t="s">
        <v>102</v>
      </c>
      <c r="B37" s="13">
        <v>800</v>
      </c>
      <c r="C37" s="13">
        <v>69968618</v>
      </c>
      <c r="D37" s="26" t="s">
        <v>48</v>
      </c>
      <c r="E37" s="13">
        <v>800</v>
      </c>
      <c r="F37" s="13">
        <v>8</v>
      </c>
      <c r="G37" s="13">
        <v>15</v>
      </c>
      <c r="H37" s="13">
        <f t="shared" ref="H37:H60" si="17">E37*0.4</f>
        <v>320</v>
      </c>
      <c r="I37" s="12">
        <f t="shared" ref="I37:I60" si="18">IF(E37&lt;100, E37*2, E37*1.5)</f>
        <v>1200</v>
      </c>
      <c r="J37" s="13">
        <v>785</v>
      </c>
      <c r="K37" s="13">
        <v>865</v>
      </c>
      <c r="L37" s="13">
        <v>40</v>
      </c>
    </row>
    <row r="38" spans="1:12" ht="17.25" customHeight="1" x14ac:dyDescent="0.25">
      <c r="A38" s="14" t="s">
        <v>102</v>
      </c>
      <c r="B38" s="13">
        <v>800</v>
      </c>
      <c r="C38" s="13">
        <v>64411518</v>
      </c>
      <c r="D38" s="26" t="s">
        <v>49</v>
      </c>
      <c r="E38" s="13">
        <v>800</v>
      </c>
      <c r="F38" s="13">
        <v>10</v>
      </c>
      <c r="G38" s="13">
        <v>15</v>
      </c>
      <c r="H38" s="13">
        <f t="shared" si="17"/>
        <v>320</v>
      </c>
      <c r="I38" s="12">
        <f t="shared" si="18"/>
        <v>1200</v>
      </c>
      <c r="J38" s="13">
        <v>785</v>
      </c>
      <c r="K38" s="13">
        <v>865</v>
      </c>
      <c r="L38" s="13">
        <v>40</v>
      </c>
    </row>
    <row r="39" spans="1:12" ht="17.25" customHeight="1" x14ac:dyDescent="0.25">
      <c r="A39" s="14" t="s">
        <v>102</v>
      </c>
      <c r="B39" s="13">
        <v>400</v>
      </c>
      <c r="C39" s="13">
        <v>64354188</v>
      </c>
      <c r="D39" s="26" t="s">
        <v>50</v>
      </c>
      <c r="E39" s="13">
        <v>400</v>
      </c>
      <c r="F39" s="13">
        <v>16</v>
      </c>
      <c r="G39" s="13">
        <v>12</v>
      </c>
      <c r="H39" s="13">
        <f t="shared" si="17"/>
        <v>160</v>
      </c>
      <c r="I39" s="12">
        <f t="shared" si="18"/>
        <v>600</v>
      </c>
      <c r="J39" s="13">
        <v>388</v>
      </c>
      <c r="K39" s="13">
        <v>426</v>
      </c>
      <c r="L39" s="13">
        <v>50</v>
      </c>
    </row>
    <row r="40" spans="1:12" ht="17.25" customHeight="1" x14ac:dyDescent="0.25">
      <c r="A40" s="14" t="s">
        <v>102</v>
      </c>
      <c r="B40" s="13">
        <v>400</v>
      </c>
      <c r="C40" s="13">
        <v>64400136</v>
      </c>
      <c r="D40" s="26" t="s">
        <v>51</v>
      </c>
      <c r="E40" s="13">
        <v>400</v>
      </c>
      <c r="F40" s="13">
        <v>20</v>
      </c>
      <c r="G40" s="13">
        <v>12</v>
      </c>
      <c r="H40" s="13">
        <f t="shared" si="17"/>
        <v>160</v>
      </c>
      <c r="I40" s="12">
        <f t="shared" si="18"/>
        <v>600</v>
      </c>
      <c r="J40" s="13">
        <v>388</v>
      </c>
      <c r="K40" s="13">
        <v>421</v>
      </c>
      <c r="L40" s="13">
        <v>50</v>
      </c>
    </row>
    <row r="41" spans="1:12" ht="17.25" customHeight="1" x14ac:dyDescent="0.25">
      <c r="A41" s="14" t="s">
        <v>102</v>
      </c>
      <c r="B41" s="13">
        <v>400</v>
      </c>
      <c r="C41" s="13">
        <v>62716663</v>
      </c>
      <c r="D41" s="26" t="s">
        <v>52</v>
      </c>
      <c r="E41" s="13">
        <v>400</v>
      </c>
      <c r="F41" s="13">
        <v>18</v>
      </c>
      <c r="G41" s="13">
        <v>12</v>
      </c>
      <c r="H41" s="13">
        <f t="shared" si="17"/>
        <v>160</v>
      </c>
      <c r="I41" s="12">
        <f t="shared" si="18"/>
        <v>600</v>
      </c>
      <c r="J41" s="13">
        <v>388</v>
      </c>
      <c r="K41" s="13">
        <v>421</v>
      </c>
      <c r="L41" s="13">
        <v>50</v>
      </c>
    </row>
    <row r="42" spans="1:12" ht="17.25" customHeight="1" x14ac:dyDescent="0.25">
      <c r="A42" s="14" t="s">
        <v>102</v>
      </c>
      <c r="B42" s="13">
        <v>400</v>
      </c>
      <c r="C42" s="13">
        <v>69642429</v>
      </c>
      <c r="D42" s="26" t="s">
        <v>53</v>
      </c>
      <c r="E42" s="13">
        <v>400</v>
      </c>
      <c r="F42" s="13">
        <v>24</v>
      </c>
      <c r="G42" s="13">
        <v>12</v>
      </c>
      <c r="H42" s="13">
        <f t="shared" si="17"/>
        <v>160</v>
      </c>
      <c r="I42" s="12">
        <f t="shared" si="18"/>
        <v>600</v>
      </c>
      <c r="J42" s="13">
        <v>388</v>
      </c>
      <c r="K42" s="13">
        <v>421</v>
      </c>
      <c r="L42" s="13">
        <v>50</v>
      </c>
    </row>
    <row r="43" spans="1:12" ht="17.25" customHeight="1" x14ac:dyDescent="0.25">
      <c r="A43" s="14" t="s">
        <v>102</v>
      </c>
      <c r="B43" s="13">
        <v>900</v>
      </c>
      <c r="C43" s="13">
        <v>64354189</v>
      </c>
      <c r="D43" s="26" t="s">
        <v>54</v>
      </c>
      <c r="E43" s="13">
        <v>900</v>
      </c>
      <c r="F43" s="13">
        <v>8</v>
      </c>
      <c r="G43" s="13">
        <v>15</v>
      </c>
      <c r="H43" s="13">
        <f t="shared" si="17"/>
        <v>360</v>
      </c>
      <c r="I43" s="12">
        <f t="shared" si="18"/>
        <v>1350</v>
      </c>
      <c r="J43" s="13">
        <v>885</v>
      </c>
      <c r="K43" s="13">
        <v>965</v>
      </c>
      <c r="L43" s="13">
        <v>45</v>
      </c>
    </row>
    <row r="44" spans="1:12" ht="17.25" customHeight="1" x14ac:dyDescent="0.25">
      <c r="A44" s="14" t="s">
        <v>102</v>
      </c>
      <c r="B44" s="13">
        <v>900</v>
      </c>
      <c r="C44" s="13">
        <v>64400133</v>
      </c>
      <c r="D44" s="26" t="s">
        <v>55</v>
      </c>
      <c r="E44" s="13">
        <v>900</v>
      </c>
      <c r="F44" s="13">
        <v>10</v>
      </c>
      <c r="G44" s="13">
        <v>15</v>
      </c>
      <c r="H44" s="13">
        <f t="shared" si="17"/>
        <v>360</v>
      </c>
      <c r="I44" s="12">
        <f t="shared" si="18"/>
        <v>1350</v>
      </c>
      <c r="J44" s="13">
        <v>885</v>
      </c>
      <c r="K44" s="13">
        <v>965</v>
      </c>
      <c r="L44" s="13">
        <v>45</v>
      </c>
    </row>
    <row r="45" spans="1:12" ht="17.25" customHeight="1" x14ac:dyDescent="0.25">
      <c r="A45" s="14" t="s">
        <v>102</v>
      </c>
      <c r="B45" s="13">
        <v>900</v>
      </c>
      <c r="C45" s="13">
        <v>64410704</v>
      </c>
      <c r="D45" s="26" t="s">
        <v>56</v>
      </c>
      <c r="E45" s="13">
        <v>900</v>
      </c>
      <c r="F45" s="13">
        <v>8</v>
      </c>
      <c r="G45" s="13">
        <v>15</v>
      </c>
      <c r="H45" s="13">
        <f t="shared" si="17"/>
        <v>360</v>
      </c>
      <c r="I45" s="12">
        <f t="shared" si="18"/>
        <v>1350</v>
      </c>
      <c r="J45" s="13">
        <v>885</v>
      </c>
      <c r="K45" s="13">
        <v>965</v>
      </c>
      <c r="L45" s="13">
        <v>45</v>
      </c>
    </row>
    <row r="46" spans="1:12" ht="17.25" customHeight="1" x14ac:dyDescent="0.25">
      <c r="A46" s="18" t="s">
        <v>103</v>
      </c>
      <c r="B46" s="17">
        <v>400</v>
      </c>
      <c r="C46" s="17">
        <v>64354188</v>
      </c>
      <c r="D46" s="21" t="s">
        <v>50</v>
      </c>
      <c r="E46" s="17">
        <v>400</v>
      </c>
      <c r="F46" s="17">
        <v>16</v>
      </c>
      <c r="G46" s="17">
        <v>12</v>
      </c>
      <c r="H46" s="17">
        <f t="shared" si="17"/>
        <v>160</v>
      </c>
      <c r="I46" s="16">
        <f t="shared" si="18"/>
        <v>600</v>
      </c>
      <c r="J46" s="17">
        <v>388</v>
      </c>
      <c r="K46" s="17">
        <v>426</v>
      </c>
      <c r="L46" s="17">
        <v>50</v>
      </c>
    </row>
    <row r="47" spans="1:12" ht="17.25" customHeight="1" x14ac:dyDescent="0.25">
      <c r="A47" s="18" t="s">
        <v>103</v>
      </c>
      <c r="B47" s="17">
        <v>400</v>
      </c>
      <c r="C47" s="17">
        <v>64400136</v>
      </c>
      <c r="D47" s="21" t="s">
        <v>51</v>
      </c>
      <c r="E47" s="17">
        <v>400</v>
      </c>
      <c r="F47" s="17">
        <v>20</v>
      </c>
      <c r="G47" s="17">
        <v>12</v>
      </c>
      <c r="H47" s="17">
        <f t="shared" si="17"/>
        <v>160</v>
      </c>
      <c r="I47" s="16">
        <f t="shared" si="18"/>
        <v>600</v>
      </c>
      <c r="J47" s="17">
        <v>388</v>
      </c>
      <c r="K47" s="17">
        <v>421</v>
      </c>
      <c r="L47" s="17">
        <v>50</v>
      </c>
    </row>
    <row r="48" spans="1:12" ht="17.25" customHeight="1" x14ac:dyDescent="0.25">
      <c r="A48" s="18" t="s">
        <v>103</v>
      </c>
      <c r="B48" s="17">
        <v>400</v>
      </c>
      <c r="C48" s="17">
        <v>62716663</v>
      </c>
      <c r="D48" s="21" t="s">
        <v>52</v>
      </c>
      <c r="E48" s="17">
        <v>400</v>
      </c>
      <c r="F48" s="17">
        <v>18</v>
      </c>
      <c r="G48" s="17">
        <v>12</v>
      </c>
      <c r="H48" s="17">
        <f t="shared" si="17"/>
        <v>160</v>
      </c>
      <c r="I48" s="16">
        <f t="shared" si="18"/>
        <v>600</v>
      </c>
      <c r="J48" s="17">
        <v>388</v>
      </c>
      <c r="K48" s="17">
        <v>421</v>
      </c>
      <c r="L48" s="17">
        <v>50</v>
      </c>
    </row>
    <row r="49" spans="1:12" ht="17.25" customHeight="1" x14ac:dyDescent="0.25">
      <c r="A49" s="18" t="s">
        <v>103</v>
      </c>
      <c r="B49" s="17">
        <v>900</v>
      </c>
      <c r="C49" s="17">
        <v>69642429</v>
      </c>
      <c r="D49" s="21" t="s">
        <v>53</v>
      </c>
      <c r="E49" s="17">
        <v>900</v>
      </c>
      <c r="F49" s="17">
        <v>24</v>
      </c>
      <c r="G49" s="17">
        <v>15</v>
      </c>
      <c r="H49" s="17">
        <f t="shared" si="17"/>
        <v>360</v>
      </c>
      <c r="I49" s="16">
        <f t="shared" si="18"/>
        <v>1350</v>
      </c>
      <c r="J49" s="17">
        <v>885</v>
      </c>
      <c r="K49" s="17">
        <v>965</v>
      </c>
      <c r="L49" s="17">
        <v>45</v>
      </c>
    </row>
    <row r="50" spans="1:12" ht="17.25" customHeight="1" x14ac:dyDescent="0.25">
      <c r="A50" s="18" t="s">
        <v>103</v>
      </c>
      <c r="B50" s="17">
        <v>900</v>
      </c>
      <c r="C50" s="17">
        <v>64354189</v>
      </c>
      <c r="D50" s="21" t="s">
        <v>54</v>
      </c>
      <c r="E50" s="17">
        <v>900</v>
      </c>
      <c r="F50" s="17">
        <v>8</v>
      </c>
      <c r="G50" s="17">
        <v>15</v>
      </c>
      <c r="H50" s="17">
        <f t="shared" si="17"/>
        <v>360</v>
      </c>
      <c r="I50" s="16">
        <f t="shared" si="18"/>
        <v>1350</v>
      </c>
      <c r="J50" s="17">
        <v>885</v>
      </c>
      <c r="K50" s="17">
        <v>965</v>
      </c>
      <c r="L50" s="17">
        <v>45</v>
      </c>
    </row>
    <row r="51" spans="1:12" ht="17.25" customHeight="1" x14ac:dyDescent="0.25">
      <c r="A51" s="18" t="s">
        <v>103</v>
      </c>
      <c r="B51" s="17">
        <v>900</v>
      </c>
      <c r="C51" s="17">
        <v>64400133</v>
      </c>
      <c r="D51" s="21" t="s">
        <v>55</v>
      </c>
      <c r="E51" s="17">
        <v>900</v>
      </c>
      <c r="F51" s="17">
        <v>10</v>
      </c>
      <c r="G51" s="17">
        <v>15</v>
      </c>
      <c r="H51" s="17">
        <f t="shared" si="17"/>
        <v>360</v>
      </c>
      <c r="I51" s="16">
        <f t="shared" si="18"/>
        <v>1350</v>
      </c>
      <c r="J51" s="17">
        <v>885</v>
      </c>
      <c r="K51" s="17">
        <v>965</v>
      </c>
      <c r="L51" s="17">
        <v>45</v>
      </c>
    </row>
    <row r="52" spans="1:12" ht="17.25" customHeight="1" x14ac:dyDescent="0.25">
      <c r="A52" s="18" t="s">
        <v>103</v>
      </c>
      <c r="B52" s="17">
        <v>900</v>
      </c>
      <c r="C52" s="17">
        <v>64410704</v>
      </c>
      <c r="D52" s="21" t="s">
        <v>56</v>
      </c>
      <c r="E52" s="17">
        <v>900</v>
      </c>
      <c r="F52" s="17">
        <v>8</v>
      </c>
      <c r="G52" s="17">
        <v>15</v>
      </c>
      <c r="H52" s="17">
        <f t="shared" si="17"/>
        <v>360</v>
      </c>
      <c r="I52" s="16">
        <f t="shared" si="18"/>
        <v>1350</v>
      </c>
      <c r="J52" s="17">
        <v>885</v>
      </c>
      <c r="K52" s="17">
        <v>965</v>
      </c>
      <c r="L52" s="17">
        <v>45</v>
      </c>
    </row>
    <row r="53" spans="1:12" ht="17.25" customHeight="1" x14ac:dyDescent="0.25">
      <c r="A53" s="14" t="s">
        <v>104</v>
      </c>
      <c r="B53" s="13">
        <v>900</v>
      </c>
      <c r="C53" s="13">
        <v>64354189</v>
      </c>
      <c r="D53" s="26" t="s">
        <v>54</v>
      </c>
      <c r="E53" s="13">
        <v>900</v>
      </c>
      <c r="F53" s="13">
        <v>8</v>
      </c>
      <c r="G53" s="13">
        <v>15</v>
      </c>
      <c r="H53" s="13">
        <f t="shared" si="17"/>
        <v>360</v>
      </c>
      <c r="I53" s="12">
        <f t="shared" si="18"/>
        <v>1350</v>
      </c>
      <c r="J53" s="13">
        <v>885</v>
      </c>
      <c r="K53" s="13">
        <v>965</v>
      </c>
      <c r="L53" s="13">
        <v>45</v>
      </c>
    </row>
    <row r="54" spans="1:12" ht="17.25" customHeight="1" x14ac:dyDescent="0.25">
      <c r="A54" s="14" t="s">
        <v>104</v>
      </c>
      <c r="B54" s="13">
        <v>900</v>
      </c>
      <c r="C54" s="13">
        <v>64400133</v>
      </c>
      <c r="D54" s="26" t="s">
        <v>55</v>
      </c>
      <c r="E54" s="13">
        <v>900</v>
      </c>
      <c r="F54" s="13">
        <v>10</v>
      </c>
      <c r="G54" s="13">
        <v>15</v>
      </c>
      <c r="H54" s="13">
        <f t="shared" si="17"/>
        <v>360</v>
      </c>
      <c r="I54" s="12">
        <f t="shared" si="18"/>
        <v>1350</v>
      </c>
      <c r="J54" s="13">
        <v>885</v>
      </c>
      <c r="K54" s="13">
        <v>965</v>
      </c>
      <c r="L54" s="13">
        <v>45</v>
      </c>
    </row>
    <row r="55" spans="1:12" ht="17.25" customHeight="1" x14ac:dyDescent="0.25">
      <c r="A55" s="14" t="s">
        <v>104</v>
      </c>
      <c r="B55" s="13">
        <v>900</v>
      </c>
      <c r="C55" s="13">
        <v>64410704</v>
      </c>
      <c r="D55" s="26" t="s">
        <v>56</v>
      </c>
      <c r="E55" s="13">
        <v>900</v>
      </c>
      <c r="F55" s="13">
        <v>8</v>
      </c>
      <c r="G55" s="13">
        <v>15</v>
      </c>
      <c r="H55" s="13">
        <f t="shared" si="17"/>
        <v>360</v>
      </c>
      <c r="I55" s="12">
        <f t="shared" si="18"/>
        <v>1350</v>
      </c>
      <c r="J55" s="13">
        <v>885</v>
      </c>
      <c r="K55" s="13">
        <v>965</v>
      </c>
      <c r="L55" s="13">
        <v>38</v>
      </c>
    </row>
    <row r="56" spans="1:12" ht="17.25" customHeight="1" x14ac:dyDescent="0.25">
      <c r="A56" s="14" t="s">
        <v>104</v>
      </c>
      <c r="B56" s="13">
        <v>1200</v>
      </c>
      <c r="C56" s="13">
        <v>64354190</v>
      </c>
      <c r="D56" s="26" t="s">
        <v>57</v>
      </c>
      <c r="E56" s="13">
        <v>1200</v>
      </c>
      <c r="F56" s="13">
        <v>6</v>
      </c>
      <c r="G56" s="13">
        <v>18</v>
      </c>
      <c r="H56" s="13">
        <f t="shared" si="17"/>
        <v>480</v>
      </c>
      <c r="I56" s="12">
        <f t="shared" si="18"/>
        <v>1800</v>
      </c>
      <c r="J56" s="13">
        <v>1182</v>
      </c>
      <c r="K56" s="13">
        <v>1285</v>
      </c>
      <c r="L56" s="13">
        <v>35</v>
      </c>
    </row>
    <row r="57" spans="1:12" ht="17.25" customHeight="1" x14ac:dyDescent="0.25">
      <c r="A57" s="14" t="s">
        <v>104</v>
      </c>
      <c r="B57" s="13">
        <v>1800</v>
      </c>
      <c r="C57" s="13">
        <v>64354191</v>
      </c>
      <c r="D57" s="26" t="s">
        <v>58</v>
      </c>
      <c r="E57" s="13">
        <v>1800</v>
      </c>
      <c r="F57" s="13">
        <v>5</v>
      </c>
      <c r="G57" s="13">
        <v>27</v>
      </c>
      <c r="H57" s="13">
        <f t="shared" si="17"/>
        <v>720</v>
      </c>
      <c r="I57" s="12">
        <f t="shared" si="18"/>
        <v>2700</v>
      </c>
      <c r="J57" s="13">
        <v>1773</v>
      </c>
      <c r="K57" s="13">
        <v>1910</v>
      </c>
      <c r="L57" s="13">
        <v>16</v>
      </c>
    </row>
    <row r="58" spans="1:12" ht="17.25" customHeight="1" x14ac:dyDescent="0.25">
      <c r="A58" s="14" t="s">
        <v>104</v>
      </c>
      <c r="B58" s="13">
        <v>1800</v>
      </c>
      <c r="C58" s="13">
        <v>64354192</v>
      </c>
      <c r="D58" s="26" t="s">
        <v>59</v>
      </c>
      <c r="E58" s="13">
        <v>1800</v>
      </c>
      <c r="F58" s="13">
        <v>6</v>
      </c>
      <c r="G58" s="13">
        <v>27</v>
      </c>
      <c r="H58" s="13">
        <f t="shared" si="17"/>
        <v>720</v>
      </c>
      <c r="I58" s="12">
        <f t="shared" si="18"/>
        <v>2700</v>
      </c>
      <c r="J58" s="13">
        <v>1773</v>
      </c>
      <c r="K58" s="13">
        <v>1910</v>
      </c>
      <c r="L58" s="13">
        <v>16</v>
      </c>
    </row>
    <row r="59" spans="1:12" ht="17.25" customHeight="1" x14ac:dyDescent="0.25">
      <c r="A59" s="14" t="s">
        <v>104</v>
      </c>
      <c r="B59" s="13">
        <v>1800</v>
      </c>
      <c r="C59" s="13">
        <v>64354366</v>
      </c>
      <c r="D59" s="26" t="s">
        <v>60</v>
      </c>
      <c r="E59" s="13">
        <v>1800</v>
      </c>
      <c r="F59" s="13">
        <v>5</v>
      </c>
      <c r="G59" s="13">
        <v>27</v>
      </c>
      <c r="H59" s="13">
        <f t="shared" si="17"/>
        <v>720</v>
      </c>
      <c r="I59" s="12">
        <f t="shared" si="18"/>
        <v>2700</v>
      </c>
      <c r="J59" s="13">
        <v>1773</v>
      </c>
      <c r="K59" s="13">
        <v>1910</v>
      </c>
      <c r="L59" s="13">
        <v>16</v>
      </c>
    </row>
    <row r="60" spans="1:12" ht="17.25" customHeight="1" x14ac:dyDescent="0.25">
      <c r="A60" s="14" t="s">
        <v>104</v>
      </c>
      <c r="B60" s="13">
        <v>1800</v>
      </c>
      <c r="C60" s="13">
        <v>64354367</v>
      </c>
      <c r="D60" s="26" t="s">
        <v>61</v>
      </c>
      <c r="E60" s="13">
        <v>1800</v>
      </c>
      <c r="F60" s="13">
        <v>6</v>
      </c>
      <c r="G60" s="13">
        <v>27</v>
      </c>
      <c r="H60" s="13">
        <f t="shared" si="17"/>
        <v>720</v>
      </c>
      <c r="I60" s="12">
        <f t="shared" si="18"/>
        <v>2700</v>
      </c>
      <c r="J60" s="13">
        <v>1773</v>
      </c>
      <c r="K60" s="13">
        <v>1910</v>
      </c>
      <c r="L60" s="13">
        <v>16</v>
      </c>
    </row>
  </sheetData>
  <autoFilter ref="B1:K1" xr:uid="{385D74C3-53F6-46F2-B5E0-EE72EA66EEBF}"/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E6B58-B32D-46F8-9B0F-E2748F991C1A}">
  <dimension ref="A1:F8"/>
  <sheetViews>
    <sheetView zoomScale="160" zoomScaleNormal="160" workbookViewId="0">
      <selection activeCell="D13" sqref="D13"/>
    </sheetView>
  </sheetViews>
  <sheetFormatPr defaultRowHeight="15" x14ac:dyDescent="0.25"/>
  <cols>
    <col min="1" max="1" width="30.5703125" customWidth="1"/>
    <col min="5" max="5" width="10.7109375" customWidth="1"/>
    <col min="6" max="6" width="11.7109375" customWidth="1"/>
  </cols>
  <sheetData>
    <row r="1" spans="1:6" x14ac:dyDescent="0.25">
      <c r="A1" t="s">
        <v>72</v>
      </c>
      <c r="B1" t="s">
        <v>65</v>
      </c>
      <c r="C1" t="s">
        <v>66</v>
      </c>
      <c r="D1" t="s">
        <v>67</v>
      </c>
      <c r="E1" t="s">
        <v>68</v>
      </c>
      <c r="F1" t="s">
        <v>71</v>
      </c>
    </row>
    <row r="2" spans="1:6" x14ac:dyDescent="0.25">
      <c r="A2" t="s">
        <v>63</v>
      </c>
      <c r="B2" t="s">
        <v>69</v>
      </c>
      <c r="C2" t="s">
        <v>69</v>
      </c>
      <c r="D2" t="s">
        <v>69</v>
      </c>
      <c r="E2" t="s">
        <v>70</v>
      </c>
      <c r="F2" t="s">
        <v>70</v>
      </c>
    </row>
    <row r="3" spans="1:6" x14ac:dyDescent="0.25">
      <c r="A3" t="s">
        <v>64</v>
      </c>
      <c r="B3" t="s">
        <v>69</v>
      </c>
      <c r="C3" t="s">
        <v>69</v>
      </c>
      <c r="D3" t="s">
        <v>69</v>
      </c>
      <c r="E3" t="s">
        <v>70</v>
      </c>
      <c r="F3" t="s">
        <v>70</v>
      </c>
    </row>
    <row r="4" spans="1:6" x14ac:dyDescent="0.25">
      <c r="A4" t="s">
        <v>76</v>
      </c>
      <c r="B4" t="s">
        <v>69</v>
      </c>
      <c r="C4" t="s">
        <v>69</v>
      </c>
      <c r="D4" t="s">
        <v>70</v>
      </c>
      <c r="E4" t="s">
        <v>70</v>
      </c>
      <c r="F4" t="s">
        <v>70</v>
      </c>
    </row>
    <row r="5" spans="1:6" x14ac:dyDescent="0.25">
      <c r="A5" t="s">
        <v>75</v>
      </c>
      <c r="B5" t="s">
        <v>69</v>
      </c>
      <c r="C5" t="s">
        <v>69</v>
      </c>
      <c r="D5" t="s">
        <v>70</v>
      </c>
      <c r="E5" t="s">
        <v>70</v>
      </c>
      <c r="F5" t="s">
        <v>70</v>
      </c>
    </row>
    <row r="6" spans="1:6" x14ac:dyDescent="0.25">
      <c r="A6" t="s">
        <v>73</v>
      </c>
      <c r="B6" t="s">
        <v>70</v>
      </c>
      <c r="C6" t="s">
        <v>70</v>
      </c>
      <c r="D6" t="s">
        <v>69</v>
      </c>
      <c r="E6" t="s">
        <v>69</v>
      </c>
      <c r="F6" t="s">
        <v>70</v>
      </c>
    </row>
    <row r="7" spans="1:6" x14ac:dyDescent="0.25">
      <c r="A7" t="s">
        <v>74</v>
      </c>
      <c r="B7" t="s">
        <v>70</v>
      </c>
      <c r="C7" t="s">
        <v>69</v>
      </c>
      <c r="D7" t="s">
        <v>70</v>
      </c>
      <c r="E7" t="s">
        <v>70</v>
      </c>
      <c r="F7" t="s">
        <v>70</v>
      </c>
    </row>
    <row r="8" spans="1:6" x14ac:dyDescent="0.25">
      <c r="A8" t="s">
        <v>98</v>
      </c>
      <c r="B8" t="s">
        <v>69</v>
      </c>
      <c r="C8" t="s">
        <v>69</v>
      </c>
      <c r="D8" t="s">
        <v>69</v>
      </c>
      <c r="E8" t="s">
        <v>69</v>
      </c>
      <c r="F8" t="s">
        <v>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B958C-F2F0-46EC-A35C-721AB776897F}">
  <dimension ref="A2:B10"/>
  <sheetViews>
    <sheetView workbookViewId="0">
      <selection activeCell="A14" sqref="A14"/>
    </sheetView>
  </sheetViews>
  <sheetFormatPr defaultRowHeight="15" x14ac:dyDescent="0.25"/>
  <cols>
    <col min="1" max="1" width="13.5703125" customWidth="1"/>
    <col min="2" max="2" width="71" customWidth="1"/>
  </cols>
  <sheetData>
    <row r="2" spans="1:2" x14ac:dyDescent="0.25">
      <c r="A2" t="s">
        <v>16</v>
      </c>
      <c r="B2" t="s">
        <v>17</v>
      </c>
    </row>
    <row r="4" spans="1:2" x14ac:dyDescent="0.25">
      <c r="A4" t="s">
        <v>18</v>
      </c>
      <c r="B4" t="s">
        <v>28</v>
      </c>
    </row>
    <row r="5" spans="1:2" x14ac:dyDescent="0.25">
      <c r="A5" t="s">
        <v>27</v>
      </c>
      <c r="B5" t="s">
        <v>26</v>
      </c>
    </row>
    <row r="6" spans="1:2" x14ac:dyDescent="0.25">
      <c r="A6" t="s">
        <v>99</v>
      </c>
    </row>
    <row r="7" spans="1:2" x14ac:dyDescent="0.25">
      <c r="A7" t="s">
        <v>19</v>
      </c>
      <c r="B7" t="s">
        <v>22</v>
      </c>
    </row>
    <row r="8" spans="1:2" x14ac:dyDescent="0.25">
      <c r="A8" t="s">
        <v>20</v>
      </c>
      <c r="B8" t="s">
        <v>23</v>
      </c>
    </row>
    <row r="9" spans="1:2" x14ac:dyDescent="0.25">
      <c r="A9" t="s">
        <v>21</v>
      </c>
      <c r="B9" t="s">
        <v>24</v>
      </c>
    </row>
    <row r="10" spans="1:2" x14ac:dyDescent="0.25">
      <c r="A10" t="s">
        <v>14</v>
      </c>
      <c r="B10" t="s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9111f2b4-c723-4ea7-a79a-067c9b02325f">
      <UserInfo>
        <DisplayName>Hien, Phan-Thanh</DisplayName>
        <AccountId>10</AccountId>
        <AccountType/>
      </UserInfo>
      <UserInfo>
        <DisplayName>Han, Lam-Ba</DisplayName>
        <AccountId>20</AccountId>
        <AccountType/>
      </UserInfo>
    </SharedWithUsers>
    <_activity xmlns="bded958f-0855-4047-9b5e-1e0844a68de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36EC4B445195B438F24104D9393184B" ma:contentTypeVersion="15" ma:contentTypeDescription="Create a new document." ma:contentTypeScope="" ma:versionID="5adecc0cb0819bbece9b3331585bc142">
  <xsd:schema xmlns:xsd="http://www.w3.org/2001/XMLSchema" xmlns:xs="http://www.w3.org/2001/XMLSchema" xmlns:p="http://schemas.microsoft.com/office/2006/metadata/properties" xmlns:ns3="bded958f-0855-4047-9b5e-1e0844a68dea" xmlns:ns4="9111f2b4-c723-4ea7-a79a-067c9b02325f" targetNamespace="http://schemas.microsoft.com/office/2006/metadata/properties" ma:root="true" ma:fieldsID="263431b0803cb9d22ff88c0abb00d206" ns3:_="" ns4:_="">
    <xsd:import namespace="bded958f-0855-4047-9b5e-1e0844a68dea"/>
    <xsd:import namespace="9111f2b4-c723-4ea7-a79a-067c9b02325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d958f-0855-4047-9b5e-1e0844a68de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11f2b4-c723-4ea7-a79a-067c9b02325f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3D16C2-9F9D-4634-B365-776AC33577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A034E0-EB47-4925-82DA-655EB835327F}">
  <ds:schemaRefs>
    <ds:schemaRef ds:uri="bded958f-0855-4047-9b5e-1e0844a68dea"/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9111f2b4-c723-4ea7-a79a-067c9b02325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308AFE7-A103-45A4-BB92-3BB2048B82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d958f-0855-4047-9b5e-1e0844a68dea"/>
    <ds:schemaRef ds:uri="9111f2b4-c723-4ea7-a79a-067c9b0232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Shiftly summary</vt:lpstr>
      <vt:lpstr>Shiftly gói</vt:lpstr>
      <vt:lpstr>Shiftly thùng</vt:lpstr>
      <vt:lpstr>Data Kawa2</vt:lpstr>
      <vt:lpstr>Lọc data</vt:lpstr>
      <vt:lpstr>Formulation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Hien, Phan-Thanh</dc:creator>
  <cp:keywords/>
  <dc:description/>
  <cp:lastModifiedBy>Việt Nguyễn</cp:lastModifiedBy>
  <cp:revision/>
  <dcterms:created xsi:type="dcterms:W3CDTF">2023-10-20T07:09:37Z</dcterms:created>
  <dcterms:modified xsi:type="dcterms:W3CDTF">2025-05-30T05:05:04Z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0x010100436EC4B445195B438F24104D9393184B</vt:lpwstr>
  </property>
</Properties>
</file>