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lever.sharepoint.com/sites/Epro/Production Plant/01-Production/04. R2S 2025/R2S Cell 2/2. FI Oral/1. Project report/SPC_Checkweiger/"/>
    </mc:Choice>
  </mc:AlternateContent>
  <xr:revisionPtr revIDLastSave="0" documentId="8_{7EC7DEE1-4671-4050-BB13-B82D784EA0D2}" xr6:coauthVersionLast="47" xr6:coauthVersionMax="47" xr10:uidLastSave="{00000000-0000-0000-0000-000000000000}"/>
  <bookViews>
    <workbookView xWindow="-120" yWindow="-120" windowWidth="29040" windowHeight="15720" xr2:uid="{123B0E2D-F8ED-46FF-AB04-6522BAA76C1F}"/>
  </bookViews>
  <sheets>
    <sheet name="Thong tin chung" sheetId="1" r:id="rId1"/>
    <sheet name="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1" hidden="1">Data!$A$2:$P$3500</definedName>
    <definedName name="_Order1" hidden="1">255</definedName>
    <definedName name="_Order2" hidden="1">255</definedName>
    <definedName name="a">#REF!</definedName>
    <definedName name="b">#REF!</definedName>
    <definedName name="Bao_Cao">#REF!</definedName>
    <definedName name="BatchName_">[3]Critial!$C$6:$C$110</definedName>
    <definedName name="Data_">Data!#REF!</definedName>
    <definedName name="dotuoi">[4]Sheet2!$B$1:$B$3</definedName>
    <definedName name="gioitinh">[4]Sheet2!$D$1:$D$2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Master_">'[5]Master list'!$A$2:$B$540</definedName>
    <definedName name="ngan">#REF!</definedName>
    <definedName name="NGÂN">#REF!</definedName>
    <definedName name="Ngan1234">#REF!</definedName>
    <definedName name="PHAITHU">'[6]PHIEU GIAO HANG'!$Q$2:$Q$49999</definedName>
    <definedName name="_xlnm.Print_Area">#REF!</definedName>
    <definedName name="_xlnm.Print_Titles">#REF!</definedName>
    <definedName name="Product_Name">Data!#REF!</definedName>
    <definedName name="RoleNameAll">'[7]User to Role Assignment'!$R$7:$R$142</definedName>
    <definedName name="sfgtre">'[8]PHIEU GIAO HANG'!$C$2:$C$49999</definedName>
    <definedName name="Skus_">[9]Critial!$AG$2:$AG$36</definedName>
    <definedName name="son">#REF!</definedName>
    <definedName name="TENKH">'[6]PHIEU GIAO HANG'!$C$2:$C$49999</definedName>
    <definedName name="test">'[8]PHIEU GIAO HANG'!$Q$2:$Q$49999</definedName>
    <definedName name="Tự_túc">#REF!</definedName>
    <definedName name="Ty_Tro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00" i="2" l="1"/>
  <c r="M3500" i="2" s="1"/>
  <c r="M3498" i="2"/>
  <c r="H3498" i="2" s="1"/>
  <c r="J3498" i="2"/>
  <c r="I3498" i="2"/>
  <c r="G3498" i="2"/>
  <c r="M3496" i="2"/>
  <c r="J3496" i="2"/>
  <c r="I3496" i="2"/>
  <c r="M3495" i="2"/>
  <c r="I3495" i="2" s="1"/>
  <c r="M3494" i="2"/>
  <c r="J3494" i="2"/>
  <c r="I3494" i="2"/>
  <c r="H3494" i="2"/>
  <c r="G3494" i="2"/>
  <c r="M3493" i="2"/>
  <c r="J3493" i="2"/>
  <c r="I3493" i="2"/>
  <c r="H3493" i="2"/>
  <c r="G3493" i="2"/>
  <c r="M3492" i="2"/>
  <c r="J3492" i="2"/>
  <c r="M3491" i="2"/>
  <c r="J3491" i="2" s="1"/>
  <c r="I3491" i="2"/>
  <c r="H3491" i="2"/>
  <c r="G3491" i="2"/>
  <c r="M3490" i="2"/>
  <c r="M3489" i="2"/>
  <c r="G3489" i="2" s="1"/>
  <c r="J3489" i="2"/>
  <c r="I3489" i="2"/>
  <c r="H3489" i="2"/>
  <c r="M3488" i="2"/>
  <c r="M3487" i="2"/>
  <c r="I3487" i="2" s="1"/>
  <c r="J3487" i="2"/>
  <c r="H3487" i="2"/>
  <c r="G3487" i="2"/>
  <c r="M3486" i="2"/>
  <c r="J3486" i="2" s="1"/>
  <c r="M3485" i="2"/>
  <c r="J3485" i="2"/>
  <c r="I3485" i="2"/>
  <c r="H3485" i="2"/>
  <c r="G3485" i="2"/>
  <c r="M3484" i="2"/>
  <c r="H3484" i="2" s="1"/>
  <c r="I3484" i="2"/>
  <c r="G3484" i="2"/>
  <c r="M3483" i="2"/>
  <c r="M3482" i="2"/>
  <c r="J3482" i="2" s="1"/>
  <c r="I3482" i="2"/>
  <c r="H3482" i="2"/>
  <c r="G3482" i="2"/>
  <c r="M3481" i="2"/>
  <c r="M3480" i="2"/>
  <c r="J3480" i="2"/>
  <c r="I3480" i="2"/>
  <c r="H3480" i="2"/>
  <c r="G3480" i="2"/>
  <c r="M3479" i="2"/>
  <c r="I3479" i="2" s="1"/>
  <c r="M3478" i="2"/>
  <c r="J3478" i="2"/>
  <c r="I3478" i="2"/>
  <c r="H3478" i="2"/>
  <c r="G3478" i="2"/>
  <c r="M3477" i="2"/>
  <c r="J3477" i="2"/>
  <c r="I3477" i="2"/>
  <c r="H3477" i="2"/>
  <c r="G3477" i="2"/>
  <c r="M3476" i="2"/>
  <c r="J3476" i="2"/>
  <c r="M3475" i="2"/>
  <c r="J3475" i="2" s="1"/>
  <c r="I3475" i="2"/>
  <c r="H3475" i="2"/>
  <c r="G3475" i="2"/>
  <c r="M3474" i="2"/>
  <c r="M3473" i="2"/>
  <c r="G3473" i="2" s="1"/>
  <c r="J3473" i="2"/>
  <c r="I3473" i="2"/>
  <c r="H3473" i="2"/>
  <c r="M3472" i="2"/>
  <c r="M3471" i="2"/>
  <c r="I3471" i="2" s="1"/>
  <c r="J3471" i="2"/>
  <c r="H3471" i="2"/>
  <c r="G3471" i="2"/>
  <c r="M3470" i="2"/>
  <c r="J3470" i="2" s="1"/>
  <c r="M3469" i="2"/>
  <c r="J3469" i="2"/>
  <c r="I3469" i="2"/>
  <c r="H3469" i="2"/>
  <c r="G3469" i="2"/>
  <c r="M3468" i="2"/>
  <c r="H3468" i="2" s="1"/>
  <c r="I3468" i="2"/>
  <c r="G3468" i="2"/>
  <c r="M3467" i="2"/>
  <c r="M3466" i="2"/>
  <c r="J3466" i="2" s="1"/>
  <c r="I3466" i="2"/>
  <c r="H3466" i="2"/>
  <c r="G3466" i="2"/>
  <c r="M3465" i="2"/>
  <c r="M3464" i="2"/>
  <c r="J3464" i="2"/>
  <c r="I3464" i="2"/>
  <c r="H3464" i="2"/>
  <c r="G3464" i="2"/>
  <c r="M3463" i="2"/>
  <c r="I3463" i="2" s="1"/>
  <c r="M3462" i="2"/>
  <c r="J3462" i="2"/>
  <c r="I3462" i="2"/>
  <c r="H3462" i="2"/>
  <c r="G3462" i="2"/>
  <c r="M3461" i="2"/>
  <c r="J3461" i="2"/>
  <c r="I3461" i="2"/>
  <c r="H3461" i="2"/>
  <c r="G3461" i="2"/>
  <c r="M3460" i="2"/>
  <c r="J3460" i="2"/>
  <c r="M3459" i="2"/>
  <c r="J3459" i="2"/>
  <c r="I3459" i="2"/>
  <c r="H3459" i="2"/>
  <c r="G3459" i="2"/>
  <c r="M3458" i="2"/>
  <c r="M3457" i="2"/>
  <c r="G3457" i="2" s="1"/>
  <c r="J3457" i="2"/>
  <c r="I3457" i="2"/>
  <c r="H3457" i="2"/>
  <c r="M3456" i="2"/>
  <c r="M3455" i="2"/>
  <c r="I3455" i="2" s="1"/>
  <c r="J3455" i="2"/>
  <c r="H3455" i="2"/>
  <c r="G3455" i="2"/>
  <c r="M3454" i="2"/>
  <c r="J3454" i="2" s="1"/>
  <c r="M3453" i="2"/>
  <c r="J3453" i="2"/>
  <c r="I3453" i="2"/>
  <c r="H3453" i="2"/>
  <c r="G3453" i="2"/>
  <c r="M3452" i="2"/>
  <c r="H3452" i="2" s="1"/>
  <c r="J3452" i="2"/>
  <c r="I3452" i="2"/>
  <c r="G3452" i="2"/>
  <c r="M3451" i="2"/>
  <c r="M3450" i="2"/>
  <c r="J3450" i="2" s="1"/>
  <c r="I3450" i="2"/>
  <c r="H3450" i="2"/>
  <c r="G3450" i="2"/>
  <c r="M3449" i="2"/>
  <c r="M3448" i="2"/>
  <c r="J3448" i="2"/>
  <c r="I3448" i="2"/>
  <c r="H3448" i="2"/>
  <c r="G3448" i="2"/>
  <c r="M3447" i="2"/>
  <c r="I3447" i="2" s="1"/>
  <c r="M3446" i="2"/>
  <c r="J3446" i="2"/>
  <c r="I3446" i="2"/>
  <c r="H3446" i="2"/>
  <c r="G3446" i="2"/>
  <c r="M3445" i="2"/>
  <c r="J3445" i="2"/>
  <c r="I3445" i="2"/>
  <c r="H3445" i="2"/>
  <c r="G3445" i="2"/>
  <c r="M3444" i="2"/>
  <c r="J3444" i="2"/>
  <c r="I3444" i="2"/>
  <c r="M3443" i="2"/>
  <c r="J3443" i="2" s="1"/>
  <c r="I3443" i="2"/>
  <c r="H3443" i="2"/>
  <c r="G3443" i="2"/>
  <c r="M3442" i="2"/>
  <c r="M3441" i="2"/>
  <c r="G3441" i="2" s="1"/>
  <c r="J3441" i="2"/>
  <c r="I3441" i="2"/>
  <c r="H3441" i="2"/>
  <c r="M3440" i="2"/>
  <c r="M3439" i="2"/>
  <c r="I3439" i="2" s="1"/>
  <c r="J3439" i="2"/>
  <c r="H3439" i="2"/>
  <c r="G3439" i="2"/>
  <c r="M3438" i="2"/>
  <c r="M3437" i="2"/>
  <c r="J3437" i="2"/>
  <c r="I3437" i="2"/>
  <c r="H3437" i="2"/>
  <c r="G3437" i="2"/>
  <c r="M3436" i="2"/>
  <c r="H3436" i="2" s="1"/>
  <c r="I3436" i="2"/>
  <c r="G3436" i="2"/>
  <c r="M3435" i="2"/>
  <c r="I3435" i="2" s="1"/>
  <c r="M3434" i="2"/>
  <c r="J3434" i="2" s="1"/>
  <c r="I3434" i="2"/>
  <c r="H3434" i="2"/>
  <c r="G3434" i="2"/>
  <c r="M3433" i="2"/>
  <c r="J3433" i="2"/>
  <c r="M3432" i="2"/>
  <c r="J3432" i="2"/>
  <c r="I3432" i="2"/>
  <c r="H3432" i="2"/>
  <c r="G3432" i="2"/>
  <c r="M3431" i="2"/>
  <c r="M3430" i="2"/>
  <c r="J3430" i="2"/>
  <c r="I3430" i="2"/>
  <c r="H3430" i="2"/>
  <c r="G3430" i="2"/>
  <c r="M3429" i="2"/>
  <c r="J3429" i="2"/>
  <c r="I3429" i="2"/>
  <c r="H3429" i="2"/>
  <c r="G3429" i="2"/>
  <c r="M3428" i="2"/>
  <c r="I3428" i="2" s="1"/>
  <c r="J3428" i="2"/>
  <c r="M3427" i="2"/>
  <c r="J3427" i="2" s="1"/>
  <c r="I3427" i="2"/>
  <c r="H3427" i="2"/>
  <c r="G3427" i="2"/>
  <c r="M3426" i="2"/>
  <c r="M3425" i="2"/>
  <c r="G3425" i="2" s="1"/>
  <c r="J3425" i="2"/>
  <c r="I3425" i="2"/>
  <c r="H3425" i="2"/>
  <c r="M3424" i="2"/>
  <c r="M3423" i="2"/>
  <c r="M3422" i="2"/>
  <c r="G3422" i="2"/>
  <c r="M3421" i="2"/>
  <c r="J3421" i="2"/>
  <c r="I3421" i="2"/>
  <c r="H3421" i="2"/>
  <c r="G3421" i="2"/>
  <c r="M3420" i="2"/>
  <c r="H3420" i="2" s="1"/>
  <c r="I3420" i="2"/>
  <c r="G3420" i="2"/>
  <c r="M3419" i="2"/>
  <c r="I3419" i="2"/>
  <c r="M3418" i="2"/>
  <c r="J3418" i="2" s="1"/>
  <c r="I3418" i="2"/>
  <c r="H3418" i="2"/>
  <c r="G3418" i="2"/>
  <c r="M3417" i="2"/>
  <c r="J3417" i="2"/>
  <c r="M3416" i="2"/>
  <c r="J3416" i="2"/>
  <c r="I3416" i="2"/>
  <c r="H3416" i="2"/>
  <c r="G3416" i="2"/>
  <c r="M3415" i="2"/>
  <c r="M3414" i="2"/>
  <c r="H3414" i="2" s="1"/>
  <c r="J3414" i="2"/>
  <c r="M3413" i="2"/>
  <c r="J3413" i="2"/>
  <c r="I3413" i="2"/>
  <c r="H3413" i="2"/>
  <c r="G3413" i="2"/>
  <c r="M3412" i="2"/>
  <c r="J3412" i="2"/>
  <c r="I3412" i="2"/>
  <c r="M3411" i="2"/>
  <c r="J3411" i="2" s="1"/>
  <c r="I3411" i="2"/>
  <c r="H3411" i="2"/>
  <c r="G3411" i="2"/>
  <c r="M3410" i="2"/>
  <c r="M3409" i="2"/>
  <c r="G3409" i="2" s="1"/>
  <c r="J3409" i="2"/>
  <c r="I3409" i="2"/>
  <c r="H3409" i="2"/>
  <c r="M3408" i="2"/>
  <c r="M3407" i="2"/>
  <c r="H3407" i="2"/>
  <c r="M3406" i="2"/>
  <c r="M3405" i="2"/>
  <c r="J3405" i="2"/>
  <c r="I3405" i="2"/>
  <c r="H3405" i="2"/>
  <c r="G3405" i="2"/>
  <c r="M3404" i="2"/>
  <c r="H3404" i="2" s="1"/>
  <c r="I3404" i="2"/>
  <c r="G3404" i="2"/>
  <c r="M3403" i="2"/>
  <c r="M3402" i="2"/>
  <c r="J3402" i="2" s="1"/>
  <c r="I3402" i="2"/>
  <c r="H3402" i="2"/>
  <c r="G3402" i="2"/>
  <c r="M3401" i="2"/>
  <c r="J3401" i="2"/>
  <c r="M3400" i="2"/>
  <c r="J3400" i="2"/>
  <c r="I3400" i="2"/>
  <c r="H3400" i="2"/>
  <c r="G3400" i="2"/>
  <c r="M3399" i="2"/>
  <c r="M3398" i="2"/>
  <c r="G3398" i="2" s="1"/>
  <c r="J3398" i="2"/>
  <c r="I3398" i="2"/>
  <c r="H3398" i="2"/>
  <c r="M3397" i="2"/>
  <c r="J3397" i="2"/>
  <c r="I3397" i="2"/>
  <c r="H3397" i="2"/>
  <c r="G3397" i="2"/>
  <c r="M3396" i="2"/>
  <c r="M3395" i="2"/>
  <c r="J3395" i="2" s="1"/>
  <c r="I3395" i="2"/>
  <c r="H3395" i="2"/>
  <c r="G3395" i="2"/>
  <c r="M3394" i="2"/>
  <c r="M3393" i="2"/>
  <c r="G3393" i="2" s="1"/>
  <c r="J3393" i="2"/>
  <c r="I3393" i="2"/>
  <c r="H3393" i="2"/>
  <c r="M3392" i="2"/>
  <c r="M3391" i="2"/>
  <c r="J3391" i="2" s="1"/>
  <c r="M3390" i="2"/>
  <c r="M3389" i="2"/>
  <c r="J3389" i="2"/>
  <c r="I3389" i="2"/>
  <c r="H3389" i="2"/>
  <c r="G3389" i="2"/>
  <c r="M3388" i="2"/>
  <c r="H3388" i="2" s="1"/>
  <c r="I3388" i="2"/>
  <c r="G3388" i="2"/>
  <c r="M3387" i="2"/>
  <c r="I3387" i="2"/>
  <c r="M3386" i="2"/>
  <c r="J3386" i="2" s="1"/>
  <c r="I3386" i="2"/>
  <c r="H3386" i="2"/>
  <c r="G3386" i="2"/>
  <c r="M3385" i="2"/>
  <c r="J3385" i="2"/>
  <c r="M3384" i="2"/>
  <c r="J3384" i="2"/>
  <c r="I3384" i="2"/>
  <c r="H3384" i="2"/>
  <c r="G3384" i="2"/>
  <c r="M3383" i="2"/>
  <c r="M3382" i="2"/>
  <c r="I3382" i="2" s="1"/>
  <c r="J3382" i="2"/>
  <c r="H3382" i="2"/>
  <c r="G3382" i="2"/>
  <c r="M3381" i="2"/>
  <c r="J3381" i="2"/>
  <c r="I3381" i="2"/>
  <c r="H3381" i="2"/>
  <c r="G3381" i="2"/>
  <c r="M3380" i="2"/>
  <c r="J3380" i="2"/>
  <c r="I3380" i="2"/>
  <c r="M3379" i="2"/>
  <c r="J3379" i="2" s="1"/>
  <c r="I3379" i="2"/>
  <c r="H3379" i="2"/>
  <c r="G3379" i="2"/>
  <c r="M3378" i="2"/>
  <c r="M3377" i="2"/>
  <c r="G3377" i="2" s="1"/>
  <c r="J3377" i="2"/>
  <c r="I3377" i="2"/>
  <c r="H3377" i="2"/>
  <c r="M3376" i="2"/>
  <c r="M3375" i="2"/>
  <c r="H3375" i="2"/>
  <c r="M3374" i="2"/>
  <c r="M3373" i="2"/>
  <c r="J3373" i="2"/>
  <c r="I3373" i="2"/>
  <c r="H3373" i="2"/>
  <c r="G3373" i="2"/>
  <c r="M3372" i="2"/>
  <c r="H3372" i="2" s="1"/>
  <c r="I3372" i="2"/>
  <c r="G3372" i="2"/>
  <c r="M3371" i="2"/>
  <c r="I3371" i="2"/>
  <c r="M3370" i="2"/>
  <c r="J3370" i="2" s="1"/>
  <c r="I3370" i="2"/>
  <c r="H3370" i="2"/>
  <c r="G3370" i="2"/>
  <c r="M3369" i="2"/>
  <c r="J3369" i="2"/>
  <c r="M3368" i="2"/>
  <c r="J3368" i="2"/>
  <c r="I3368" i="2"/>
  <c r="H3368" i="2"/>
  <c r="G3368" i="2"/>
  <c r="M3367" i="2"/>
  <c r="M3366" i="2"/>
  <c r="J3366" i="2"/>
  <c r="I3366" i="2"/>
  <c r="H3366" i="2"/>
  <c r="G3366" i="2"/>
  <c r="M3365" i="2"/>
  <c r="J3365" i="2"/>
  <c r="I3365" i="2"/>
  <c r="H3365" i="2"/>
  <c r="G3365" i="2"/>
  <c r="M3364" i="2"/>
  <c r="I3364" i="2" s="1"/>
  <c r="J3364" i="2"/>
  <c r="M3363" i="2"/>
  <c r="J3363" i="2" s="1"/>
  <c r="I3363" i="2"/>
  <c r="H3363" i="2"/>
  <c r="G3363" i="2"/>
  <c r="M3362" i="2"/>
  <c r="M3361" i="2"/>
  <c r="G3361" i="2" s="1"/>
  <c r="J3361" i="2"/>
  <c r="I3361" i="2"/>
  <c r="H3361" i="2"/>
  <c r="M3360" i="2"/>
  <c r="M3359" i="2"/>
  <c r="H3359" i="2" s="1"/>
  <c r="M3358" i="2"/>
  <c r="G3358" i="2"/>
  <c r="M3357" i="2"/>
  <c r="J3357" i="2"/>
  <c r="I3357" i="2"/>
  <c r="H3357" i="2"/>
  <c r="G3357" i="2"/>
  <c r="M3356" i="2"/>
  <c r="H3356" i="2" s="1"/>
  <c r="I3356" i="2"/>
  <c r="G3356" i="2"/>
  <c r="M3355" i="2"/>
  <c r="I3355" i="2"/>
  <c r="M3354" i="2"/>
  <c r="J3354" i="2" s="1"/>
  <c r="I3354" i="2"/>
  <c r="H3354" i="2"/>
  <c r="G3354" i="2"/>
  <c r="M3353" i="2"/>
  <c r="J3353" i="2"/>
  <c r="M3352" i="2"/>
  <c r="J3352" i="2"/>
  <c r="I3352" i="2"/>
  <c r="H3352" i="2"/>
  <c r="G3352" i="2"/>
  <c r="M3351" i="2"/>
  <c r="M3350" i="2"/>
  <c r="H3350" i="2" s="1"/>
  <c r="J3350" i="2"/>
  <c r="M3349" i="2"/>
  <c r="J3349" i="2"/>
  <c r="I3349" i="2"/>
  <c r="H3349" i="2"/>
  <c r="G3349" i="2"/>
  <c r="M3348" i="2"/>
  <c r="J3348" i="2"/>
  <c r="I3348" i="2"/>
  <c r="M3347" i="2"/>
  <c r="J3347" i="2" s="1"/>
  <c r="I3347" i="2"/>
  <c r="H3347" i="2"/>
  <c r="G3347" i="2"/>
  <c r="M3346" i="2"/>
  <c r="M3345" i="2"/>
  <c r="G3345" i="2" s="1"/>
  <c r="J3345" i="2"/>
  <c r="I3345" i="2"/>
  <c r="H3345" i="2"/>
  <c r="M3344" i="2"/>
  <c r="J3344" i="2"/>
  <c r="M3343" i="2"/>
  <c r="M3342" i="2"/>
  <c r="M3341" i="2"/>
  <c r="J3341" i="2"/>
  <c r="I3341" i="2"/>
  <c r="H3341" i="2"/>
  <c r="G3341" i="2"/>
  <c r="M3340" i="2"/>
  <c r="H3340" i="2" s="1"/>
  <c r="I3340" i="2"/>
  <c r="G3340" i="2"/>
  <c r="M3339" i="2"/>
  <c r="M3338" i="2"/>
  <c r="J3338" i="2" s="1"/>
  <c r="I3338" i="2"/>
  <c r="H3338" i="2"/>
  <c r="G3338" i="2"/>
  <c r="M3337" i="2"/>
  <c r="J3337" i="2"/>
  <c r="M3336" i="2"/>
  <c r="J3336" i="2"/>
  <c r="I3336" i="2"/>
  <c r="H3336" i="2"/>
  <c r="G3336" i="2"/>
  <c r="M3335" i="2"/>
  <c r="M3334" i="2"/>
  <c r="G3334" i="2" s="1"/>
  <c r="J3334" i="2"/>
  <c r="I3334" i="2"/>
  <c r="H3334" i="2"/>
  <c r="M3333" i="2"/>
  <c r="J3333" i="2"/>
  <c r="I3333" i="2"/>
  <c r="H3333" i="2"/>
  <c r="G3333" i="2"/>
  <c r="M3332" i="2"/>
  <c r="M3331" i="2"/>
  <c r="J3331" i="2"/>
  <c r="I3331" i="2"/>
  <c r="H3331" i="2"/>
  <c r="G3331" i="2"/>
  <c r="M3330" i="2"/>
  <c r="I3330" i="2"/>
  <c r="M3329" i="2"/>
  <c r="G3329" i="2" s="1"/>
  <c r="J3329" i="2"/>
  <c r="I3329" i="2"/>
  <c r="H3329" i="2"/>
  <c r="M3328" i="2"/>
  <c r="J3328" i="2"/>
  <c r="M3327" i="2"/>
  <c r="H3327" i="2" s="1"/>
  <c r="J3327" i="2"/>
  <c r="M3326" i="2"/>
  <c r="J3326" i="2"/>
  <c r="I3326" i="2"/>
  <c r="H3326" i="2"/>
  <c r="G3326" i="2"/>
  <c r="M3325" i="2"/>
  <c r="J3325" i="2"/>
  <c r="I3325" i="2"/>
  <c r="M3324" i="2"/>
  <c r="J3324" i="2"/>
  <c r="I3324" i="2"/>
  <c r="H3324" i="2"/>
  <c r="G3324" i="2"/>
  <c r="M3323" i="2"/>
  <c r="G3323" i="2"/>
  <c r="M3322" i="2"/>
  <c r="G3322" i="2" s="1"/>
  <c r="J3322" i="2"/>
  <c r="H3322" i="2"/>
  <c r="M3321" i="2"/>
  <c r="J3321" i="2"/>
  <c r="I3321" i="2"/>
  <c r="H3321" i="2"/>
  <c r="G3321" i="2"/>
  <c r="M3320" i="2"/>
  <c r="M3319" i="2"/>
  <c r="H3319" i="2" s="1"/>
  <c r="J3319" i="2"/>
  <c r="I3319" i="2"/>
  <c r="G3319" i="2"/>
  <c r="M3318" i="2"/>
  <c r="J3318" i="2"/>
  <c r="I3318" i="2"/>
  <c r="H3318" i="2"/>
  <c r="G3318" i="2"/>
  <c r="M3317" i="2"/>
  <c r="I3317" i="2"/>
  <c r="M3316" i="2"/>
  <c r="J3316" i="2"/>
  <c r="I3316" i="2"/>
  <c r="H3316" i="2"/>
  <c r="G3316" i="2"/>
  <c r="M3315" i="2"/>
  <c r="M3314" i="2"/>
  <c r="I3314" i="2"/>
  <c r="M3313" i="2"/>
  <c r="J3313" i="2"/>
  <c r="I3313" i="2"/>
  <c r="H3313" i="2"/>
  <c r="G3313" i="2"/>
  <c r="M3312" i="2"/>
  <c r="J3312" i="2"/>
  <c r="M3311" i="2"/>
  <c r="J3311" i="2"/>
  <c r="I3311" i="2"/>
  <c r="H3311" i="2"/>
  <c r="G3311" i="2"/>
  <c r="M3310" i="2"/>
  <c r="J3310" i="2"/>
  <c r="I3310" i="2"/>
  <c r="H3310" i="2"/>
  <c r="G3310" i="2"/>
  <c r="M3309" i="2"/>
  <c r="M3308" i="2"/>
  <c r="M3307" i="2"/>
  <c r="I3307" i="2"/>
  <c r="M3306" i="2"/>
  <c r="G3306" i="2" s="1"/>
  <c r="J3306" i="2"/>
  <c r="H3306" i="2"/>
  <c r="M3305" i="2"/>
  <c r="J3305" i="2"/>
  <c r="H3305" i="2"/>
  <c r="M3304" i="2"/>
  <c r="M3303" i="2"/>
  <c r="G3303" i="2" s="1"/>
  <c r="J3303" i="2"/>
  <c r="I3303" i="2"/>
  <c r="H3303" i="2"/>
  <c r="M3302" i="2"/>
  <c r="J3302" i="2"/>
  <c r="M3301" i="2"/>
  <c r="I3301" i="2" s="1"/>
  <c r="J3301" i="2"/>
  <c r="H3301" i="2"/>
  <c r="G3301" i="2"/>
  <c r="M3300" i="2"/>
  <c r="I3300" i="2"/>
  <c r="G3300" i="2"/>
  <c r="M3299" i="2"/>
  <c r="J3299" i="2"/>
  <c r="I3299" i="2"/>
  <c r="H3299" i="2"/>
  <c r="G3299" i="2"/>
  <c r="M3298" i="2"/>
  <c r="I3298" i="2"/>
  <c r="G3298" i="2"/>
  <c r="M3297" i="2"/>
  <c r="H3297" i="2" s="1"/>
  <c r="J3297" i="2"/>
  <c r="M3296" i="2"/>
  <c r="J3296" i="2" s="1"/>
  <c r="I3296" i="2"/>
  <c r="H3296" i="2"/>
  <c r="G3296" i="2"/>
  <c r="M3295" i="2"/>
  <c r="G3295" i="2" s="1"/>
  <c r="J3295" i="2"/>
  <c r="I3295" i="2"/>
  <c r="H3295" i="2"/>
  <c r="M3294" i="2"/>
  <c r="H3294" i="2" s="1"/>
  <c r="J3294" i="2"/>
  <c r="I3294" i="2"/>
  <c r="G3294" i="2"/>
  <c r="M3293" i="2"/>
  <c r="I3293" i="2" s="1"/>
  <c r="J3293" i="2"/>
  <c r="H3293" i="2"/>
  <c r="G3293" i="2"/>
  <c r="M3292" i="2"/>
  <c r="I3292" i="2"/>
  <c r="G3292" i="2"/>
  <c r="M3291" i="2"/>
  <c r="G3291" i="2" s="1"/>
  <c r="J3291" i="2"/>
  <c r="I3291" i="2"/>
  <c r="H3291" i="2"/>
  <c r="M3290" i="2"/>
  <c r="I3290" i="2"/>
  <c r="G3290" i="2"/>
  <c r="M3289" i="2"/>
  <c r="M3288" i="2"/>
  <c r="J3288" i="2" s="1"/>
  <c r="I3288" i="2"/>
  <c r="M3287" i="2"/>
  <c r="G3287" i="2" s="1"/>
  <c r="J3287" i="2"/>
  <c r="I3287" i="2"/>
  <c r="H3287" i="2"/>
  <c r="M3286" i="2"/>
  <c r="H3286" i="2" s="1"/>
  <c r="J3286" i="2"/>
  <c r="M3285" i="2"/>
  <c r="I3285" i="2" s="1"/>
  <c r="J3285" i="2"/>
  <c r="H3285" i="2"/>
  <c r="G3285" i="2"/>
  <c r="M3284" i="2"/>
  <c r="G3284" i="2" s="1"/>
  <c r="I3284" i="2"/>
  <c r="M3283" i="2"/>
  <c r="J3283" i="2"/>
  <c r="I3283" i="2"/>
  <c r="H3283" i="2"/>
  <c r="G3283" i="2"/>
  <c r="M3282" i="2"/>
  <c r="G3282" i="2" s="1"/>
  <c r="I3282" i="2"/>
  <c r="M3281" i="2"/>
  <c r="J3281" i="2"/>
  <c r="H3281" i="2"/>
  <c r="M3280" i="2"/>
  <c r="M3279" i="2"/>
  <c r="G3279" i="2" s="1"/>
  <c r="J3279" i="2"/>
  <c r="I3279" i="2"/>
  <c r="H3279" i="2"/>
  <c r="M3278" i="2"/>
  <c r="J3278" i="2"/>
  <c r="M3277" i="2"/>
  <c r="I3277" i="2" s="1"/>
  <c r="J3277" i="2"/>
  <c r="H3277" i="2"/>
  <c r="G3277" i="2"/>
  <c r="M3276" i="2"/>
  <c r="I3276" i="2"/>
  <c r="M3275" i="2"/>
  <c r="J3275" i="2"/>
  <c r="I3275" i="2"/>
  <c r="H3275" i="2"/>
  <c r="G3275" i="2"/>
  <c r="M3274" i="2"/>
  <c r="M3273" i="2"/>
  <c r="M3272" i="2"/>
  <c r="M3271" i="2"/>
  <c r="G3271" i="2" s="1"/>
  <c r="J3271" i="2"/>
  <c r="I3271" i="2"/>
  <c r="H3271" i="2"/>
  <c r="M3270" i="2"/>
  <c r="M3269" i="2"/>
  <c r="I3269" i="2" s="1"/>
  <c r="J3269" i="2"/>
  <c r="H3269" i="2"/>
  <c r="G3269" i="2"/>
  <c r="M3268" i="2"/>
  <c r="M3267" i="2"/>
  <c r="J3267" i="2"/>
  <c r="I3267" i="2"/>
  <c r="H3267" i="2"/>
  <c r="G3267" i="2"/>
  <c r="M3266" i="2"/>
  <c r="M3265" i="2"/>
  <c r="H3265" i="2"/>
  <c r="M3264" i="2"/>
  <c r="J3264" i="2" s="1"/>
  <c r="I3264" i="2"/>
  <c r="H3264" i="2"/>
  <c r="G3264" i="2"/>
  <c r="M3263" i="2"/>
  <c r="J3263" i="2"/>
  <c r="I3263" i="2"/>
  <c r="H3263" i="2"/>
  <c r="G3263" i="2"/>
  <c r="M3262" i="2"/>
  <c r="H3262" i="2" s="1"/>
  <c r="J3262" i="2"/>
  <c r="I3262" i="2"/>
  <c r="G3262" i="2"/>
  <c r="M3261" i="2"/>
  <c r="I3261" i="2" s="1"/>
  <c r="J3261" i="2"/>
  <c r="H3261" i="2"/>
  <c r="G3261" i="2"/>
  <c r="M3260" i="2"/>
  <c r="I3260" i="2"/>
  <c r="G3260" i="2"/>
  <c r="M3259" i="2"/>
  <c r="G3259" i="2" s="1"/>
  <c r="J3259" i="2"/>
  <c r="I3259" i="2"/>
  <c r="H3259" i="2"/>
  <c r="M3258" i="2"/>
  <c r="I3258" i="2"/>
  <c r="G3258" i="2"/>
  <c r="M3257" i="2"/>
  <c r="M3256" i="2"/>
  <c r="J3256" i="2" s="1"/>
  <c r="I3256" i="2"/>
  <c r="M3255" i="2"/>
  <c r="J3255" i="2"/>
  <c r="I3255" i="2"/>
  <c r="H3255" i="2"/>
  <c r="G3255" i="2"/>
  <c r="M3254" i="2"/>
  <c r="G3254" i="2"/>
  <c r="M3253" i="2"/>
  <c r="I3253" i="2" s="1"/>
  <c r="J3253" i="2"/>
  <c r="H3253" i="2"/>
  <c r="G3253" i="2"/>
  <c r="M3252" i="2"/>
  <c r="M3251" i="2"/>
  <c r="G3251" i="2" s="1"/>
  <c r="J3251" i="2"/>
  <c r="I3251" i="2"/>
  <c r="H3251" i="2"/>
  <c r="M3250" i="2"/>
  <c r="G3250" i="2" s="1"/>
  <c r="I3250" i="2"/>
  <c r="M3249" i="2"/>
  <c r="J3249" i="2"/>
  <c r="H3249" i="2"/>
  <c r="M3248" i="2"/>
  <c r="I3248" i="2"/>
  <c r="G3248" i="2"/>
  <c r="M3247" i="2"/>
  <c r="J3247" i="2"/>
  <c r="I3247" i="2"/>
  <c r="H3247" i="2"/>
  <c r="G3247" i="2"/>
  <c r="M3246" i="2"/>
  <c r="I3246" i="2"/>
  <c r="M3245" i="2"/>
  <c r="I3245" i="2" s="1"/>
  <c r="J3245" i="2"/>
  <c r="H3245" i="2"/>
  <c r="G3245" i="2"/>
  <c r="M3244" i="2"/>
  <c r="M3243" i="2"/>
  <c r="G3243" i="2" s="1"/>
  <c r="J3243" i="2"/>
  <c r="I3243" i="2"/>
  <c r="H3243" i="2"/>
  <c r="M3242" i="2"/>
  <c r="I3242" i="2"/>
  <c r="M3241" i="2"/>
  <c r="M3240" i="2"/>
  <c r="J3240" i="2" s="1"/>
  <c r="I3240" i="2"/>
  <c r="H3240" i="2"/>
  <c r="G3240" i="2"/>
  <c r="M3239" i="2"/>
  <c r="J3239" i="2"/>
  <c r="I3239" i="2"/>
  <c r="H3239" i="2"/>
  <c r="G3239" i="2"/>
  <c r="M3238" i="2"/>
  <c r="J3238" i="2"/>
  <c r="I3238" i="2"/>
  <c r="M3237" i="2"/>
  <c r="I3237" i="2" s="1"/>
  <c r="J3237" i="2"/>
  <c r="H3237" i="2"/>
  <c r="G3237" i="2"/>
  <c r="M3236" i="2"/>
  <c r="I3236" i="2"/>
  <c r="G3236" i="2"/>
  <c r="M3235" i="2"/>
  <c r="G3235" i="2" s="1"/>
  <c r="J3235" i="2"/>
  <c r="I3235" i="2"/>
  <c r="H3235" i="2"/>
  <c r="M3234" i="2"/>
  <c r="M3233" i="2"/>
  <c r="H3233" i="2"/>
  <c r="M3232" i="2"/>
  <c r="J3232" i="2" s="1"/>
  <c r="I3232" i="2"/>
  <c r="H3232" i="2"/>
  <c r="G3232" i="2"/>
  <c r="M3231" i="2"/>
  <c r="J3231" i="2"/>
  <c r="I3231" i="2"/>
  <c r="H3231" i="2"/>
  <c r="G3231" i="2"/>
  <c r="M3230" i="2"/>
  <c r="H3230" i="2" s="1"/>
  <c r="J3230" i="2"/>
  <c r="I3230" i="2"/>
  <c r="G3230" i="2"/>
  <c r="M3229" i="2"/>
  <c r="I3229" i="2" s="1"/>
  <c r="J3229" i="2"/>
  <c r="H3229" i="2"/>
  <c r="G3229" i="2"/>
  <c r="M3228" i="2"/>
  <c r="I3228" i="2"/>
  <c r="G3228" i="2"/>
  <c r="M3227" i="2"/>
  <c r="G3227" i="2" s="1"/>
  <c r="J3227" i="2"/>
  <c r="I3227" i="2"/>
  <c r="H3227" i="2"/>
  <c r="M3226" i="2"/>
  <c r="I3226" i="2"/>
  <c r="G3226" i="2"/>
  <c r="M3225" i="2"/>
  <c r="M3224" i="2"/>
  <c r="G3224" i="2"/>
  <c r="M3223" i="2"/>
  <c r="J3223" i="2"/>
  <c r="I3223" i="2"/>
  <c r="H3223" i="2"/>
  <c r="G3223" i="2"/>
  <c r="M3222" i="2"/>
  <c r="H3222" i="2" s="1"/>
  <c r="J3222" i="2"/>
  <c r="I3222" i="2"/>
  <c r="G3222" i="2"/>
  <c r="M3221" i="2"/>
  <c r="J3221" i="2"/>
  <c r="G3221" i="2"/>
  <c r="M3220" i="2"/>
  <c r="J3220" i="2" s="1"/>
  <c r="I3220" i="2"/>
  <c r="H3220" i="2"/>
  <c r="G3220" i="2"/>
  <c r="M3219" i="2"/>
  <c r="G3219" i="2" s="1"/>
  <c r="J3219" i="2"/>
  <c r="I3219" i="2"/>
  <c r="H3219" i="2"/>
  <c r="M3218" i="2"/>
  <c r="H3218" i="2" s="1"/>
  <c r="J3218" i="2"/>
  <c r="I3218" i="2"/>
  <c r="G3218" i="2"/>
  <c r="M3217" i="2"/>
  <c r="M3216" i="2"/>
  <c r="J3216" i="2" s="1"/>
  <c r="I3216" i="2"/>
  <c r="H3216" i="2"/>
  <c r="G3216" i="2"/>
  <c r="M3215" i="2"/>
  <c r="J3215" i="2"/>
  <c r="I3215" i="2"/>
  <c r="H3215" i="2"/>
  <c r="G3215" i="2"/>
  <c r="M3214" i="2"/>
  <c r="H3214" i="2" s="1"/>
  <c r="J3214" i="2"/>
  <c r="I3214" i="2"/>
  <c r="G3214" i="2"/>
  <c r="M3213" i="2"/>
  <c r="M3212" i="2"/>
  <c r="J3212" i="2" s="1"/>
  <c r="I3212" i="2"/>
  <c r="H3212" i="2"/>
  <c r="G3212" i="2"/>
  <c r="M3211" i="2"/>
  <c r="G3211" i="2" s="1"/>
  <c r="J3211" i="2"/>
  <c r="I3211" i="2"/>
  <c r="H3211" i="2"/>
  <c r="M3210" i="2"/>
  <c r="H3210" i="2" s="1"/>
  <c r="J3210" i="2"/>
  <c r="I3210" i="2"/>
  <c r="G3210" i="2"/>
  <c r="M3209" i="2"/>
  <c r="J3209" i="2"/>
  <c r="H3209" i="2"/>
  <c r="M3208" i="2"/>
  <c r="J3208" i="2" s="1"/>
  <c r="I3208" i="2"/>
  <c r="H3208" i="2"/>
  <c r="G3208" i="2"/>
  <c r="M3207" i="2"/>
  <c r="J3207" i="2"/>
  <c r="I3207" i="2"/>
  <c r="H3207" i="2"/>
  <c r="G3207" i="2"/>
  <c r="M3206" i="2"/>
  <c r="H3206" i="2" s="1"/>
  <c r="J3206" i="2"/>
  <c r="M3205" i="2"/>
  <c r="J3205" i="2"/>
  <c r="M3204" i="2"/>
  <c r="M3203" i="2"/>
  <c r="G3203" i="2" s="1"/>
  <c r="J3203" i="2"/>
  <c r="I3203" i="2"/>
  <c r="H3203" i="2"/>
  <c r="M3202" i="2"/>
  <c r="G3202" i="2"/>
  <c r="M3201" i="2"/>
  <c r="J3201" i="2"/>
  <c r="M3200" i="2"/>
  <c r="J3200" i="2" s="1"/>
  <c r="I3200" i="2"/>
  <c r="H3200" i="2"/>
  <c r="G3200" i="2"/>
  <c r="M3199" i="2"/>
  <c r="J3199" i="2"/>
  <c r="I3199" i="2"/>
  <c r="H3199" i="2"/>
  <c r="G3199" i="2"/>
  <c r="M3198" i="2"/>
  <c r="H3198" i="2" s="1"/>
  <c r="J3198" i="2"/>
  <c r="I3198" i="2"/>
  <c r="G3198" i="2"/>
  <c r="M3197" i="2"/>
  <c r="M3196" i="2"/>
  <c r="J3196" i="2" s="1"/>
  <c r="I3196" i="2"/>
  <c r="H3196" i="2"/>
  <c r="G3196" i="2"/>
  <c r="M3195" i="2"/>
  <c r="G3195" i="2" s="1"/>
  <c r="J3195" i="2"/>
  <c r="I3195" i="2"/>
  <c r="H3195" i="2"/>
  <c r="M3194" i="2"/>
  <c r="H3194" i="2" s="1"/>
  <c r="J3194" i="2"/>
  <c r="I3194" i="2"/>
  <c r="G3194" i="2"/>
  <c r="M3193" i="2"/>
  <c r="G3193" i="2"/>
  <c r="M3192" i="2"/>
  <c r="M3191" i="2"/>
  <c r="J3191" i="2"/>
  <c r="I3191" i="2"/>
  <c r="H3191" i="2"/>
  <c r="G3191" i="2"/>
  <c r="M3190" i="2"/>
  <c r="H3190" i="2" s="1"/>
  <c r="J3190" i="2"/>
  <c r="I3190" i="2"/>
  <c r="G3190" i="2"/>
  <c r="M3189" i="2"/>
  <c r="I3189" i="2" s="1"/>
  <c r="J3189" i="2"/>
  <c r="H3189" i="2"/>
  <c r="G3189" i="2"/>
  <c r="M3188" i="2"/>
  <c r="J3188" i="2" s="1"/>
  <c r="I3188" i="2"/>
  <c r="H3188" i="2"/>
  <c r="G3188" i="2"/>
  <c r="M3187" i="2"/>
  <c r="G3187" i="2" s="1"/>
  <c r="J3187" i="2"/>
  <c r="I3187" i="2"/>
  <c r="H3187" i="2"/>
  <c r="M3186" i="2"/>
  <c r="H3186" i="2" s="1"/>
  <c r="I3186" i="2"/>
  <c r="G3186" i="2"/>
  <c r="M3185" i="2"/>
  <c r="I3185" i="2" s="1"/>
  <c r="J3185" i="2"/>
  <c r="H3185" i="2"/>
  <c r="G3185" i="2"/>
  <c r="M3184" i="2"/>
  <c r="J3184" i="2" s="1"/>
  <c r="H3184" i="2"/>
  <c r="G3184" i="2"/>
  <c r="M3183" i="2"/>
  <c r="J3183" i="2"/>
  <c r="I3183" i="2"/>
  <c r="H3183" i="2"/>
  <c r="G3183" i="2"/>
  <c r="M3182" i="2"/>
  <c r="J3182" i="2"/>
  <c r="I3182" i="2"/>
  <c r="M3181" i="2"/>
  <c r="I3181" i="2" s="1"/>
  <c r="J3181" i="2"/>
  <c r="H3181" i="2"/>
  <c r="G3181" i="2"/>
  <c r="M3180" i="2"/>
  <c r="I3180" i="2" s="1"/>
  <c r="H3180" i="2"/>
  <c r="M3179" i="2"/>
  <c r="G3179" i="2" s="1"/>
  <c r="J3179" i="2"/>
  <c r="I3179" i="2"/>
  <c r="H3179" i="2"/>
  <c r="M3178" i="2"/>
  <c r="M3177" i="2"/>
  <c r="I3177" i="2" s="1"/>
  <c r="J3177" i="2"/>
  <c r="H3177" i="2"/>
  <c r="G3177" i="2"/>
  <c r="M3176" i="2"/>
  <c r="I3176" i="2"/>
  <c r="M3175" i="2"/>
  <c r="J3175" i="2"/>
  <c r="I3175" i="2"/>
  <c r="H3175" i="2"/>
  <c r="G3175" i="2"/>
  <c r="M3174" i="2"/>
  <c r="J3174" i="2"/>
  <c r="M3173" i="2"/>
  <c r="I3173" i="2" s="1"/>
  <c r="H3173" i="2"/>
  <c r="G3173" i="2"/>
  <c r="M3172" i="2"/>
  <c r="M3171" i="2"/>
  <c r="G3171" i="2" s="1"/>
  <c r="J3171" i="2"/>
  <c r="I3171" i="2"/>
  <c r="H3171" i="2"/>
  <c r="M3170" i="2"/>
  <c r="J3170" i="2"/>
  <c r="M3169" i="2"/>
  <c r="M3168" i="2"/>
  <c r="I3168" i="2" s="1"/>
  <c r="M3167" i="2"/>
  <c r="J3167" i="2"/>
  <c r="I3167" i="2"/>
  <c r="H3167" i="2"/>
  <c r="G3167" i="2"/>
  <c r="M3166" i="2"/>
  <c r="M3165" i="2"/>
  <c r="I3165" i="2" s="1"/>
  <c r="J3165" i="2"/>
  <c r="H3165" i="2"/>
  <c r="G3165" i="2"/>
  <c r="M3164" i="2"/>
  <c r="G3164" i="2"/>
  <c r="M3163" i="2"/>
  <c r="G3163" i="2" s="1"/>
  <c r="J3163" i="2"/>
  <c r="I3163" i="2"/>
  <c r="H3163" i="2"/>
  <c r="M3162" i="2"/>
  <c r="G3162" i="2"/>
  <c r="M3161" i="2"/>
  <c r="I3161" i="2" s="1"/>
  <c r="J3161" i="2"/>
  <c r="H3161" i="2"/>
  <c r="M3160" i="2"/>
  <c r="G3160" i="2"/>
  <c r="M3159" i="2"/>
  <c r="J3159" i="2"/>
  <c r="I3159" i="2"/>
  <c r="H3159" i="2"/>
  <c r="G3159" i="2"/>
  <c r="M3158" i="2"/>
  <c r="H3158" i="2" s="1"/>
  <c r="J3158" i="2"/>
  <c r="I3158" i="2"/>
  <c r="G3158" i="2"/>
  <c r="M3157" i="2"/>
  <c r="G3157" i="2"/>
  <c r="M3156" i="2"/>
  <c r="J3156" i="2" s="1"/>
  <c r="I3156" i="2"/>
  <c r="H3156" i="2"/>
  <c r="G3156" i="2"/>
  <c r="M3155" i="2"/>
  <c r="G3155" i="2" s="1"/>
  <c r="J3155" i="2"/>
  <c r="I3155" i="2"/>
  <c r="H3155" i="2"/>
  <c r="M3154" i="2"/>
  <c r="H3154" i="2" s="1"/>
  <c r="J3154" i="2"/>
  <c r="I3154" i="2"/>
  <c r="G3154" i="2"/>
  <c r="M3153" i="2"/>
  <c r="G3153" i="2"/>
  <c r="M3152" i="2"/>
  <c r="J3152" i="2" s="1"/>
  <c r="I3152" i="2"/>
  <c r="H3152" i="2"/>
  <c r="G3152" i="2"/>
  <c r="M3151" i="2"/>
  <c r="J3151" i="2"/>
  <c r="I3151" i="2"/>
  <c r="H3151" i="2"/>
  <c r="G3151" i="2"/>
  <c r="M3150" i="2"/>
  <c r="H3150" i="2" s="1"/>
  <c r="J3150" i="2"/>
  <c r="I3150" i="2"/>
  <c r="G3150" i="2"/>
  <c r="M3149" i="2"/>
  <c r="J3149" i="2"/>
  <c r="H3149" i="2"/>
  <c r="M3148" i="2"/>
  <c r="J3148" i="2" s="1"/>
  <c r="I3148" i="2"/>
  <c r="H3148" i="2"/>
  <c r="G3148" i="2"/>
  <c r="M3147" i="2"/>
  <c r="M3146" i="2"/>
  <c r="J3146" i="2"/>
  <c r="I3146" i="2"/>
  <c r="H3146" i="2"/>
  <c r="G3146" i="2"/>
  <c r="M3145" i="2"/>
  <c r="M3144" i="2"/>
  <c r="I3144" i="2" s="1"/>
  <c r="J3144" i="2"/>
  <c r="M3143" i="2"/>
  <c r="H3143" i="2"/>
  <c r="G3143" i="2"/>
  <c r="M3142" i="2"/>
  <c r="G3142" i="2" s="1"/>
  <c r="J3142" i="2"/>
  <c r="M3141" i="2"/>
  <c r="J3141" i="2"/>
  <c r="I3141" i="2"/>
  <c r="H3141" i="2"/>
  <c r="G3141" i="2"/>
  <c r="M3140" i="2"/>
  <c r="M3139" i="2"/>
  <c r="J3139" i="2"/>
  <c r="I3139" i="2"/>
  <c r="H3139" i="2"/>
  <c r="G3139" i="2"/>
  <c r="M3138" i="2"/>
  <c r="J3138" i="2"/>
  <c r="I3138" i="2"/>
  <c r="H3138" i="2"/>
  <c r="G3138" i="2"/>
  <c r="M3137" i="2"/>
  <c r="M3136" i="2"/>
  <c r="M3135" i="2"/>
  <c r="M3134" i="2"/>
  <c r="M3133" i="2"/>
  <c r="J3133" i="2"/>
  <c r="I3133" i="2"/>
  <c r="H3133" i="2"/>
  <c r="G3133" i="2"/>
  <c r="M3132" i="2"/>
  <c r="J3132" i="2"/>
  <c r="G3132" i="2"/>
  <c r="M3131" i="2"/>
  <c r="J3131" i="2"/>
  <c r="I3131" i="2"/>
  <c r="H3131" i="2"/>
  <c r="G3131" i="2"/>
  <c r="M3130" i="2"/>
  <c r="J3130" i="2"/>
  <c r="I3130" i="2"/>
  <c r="H3130" i="2"/>
  <c r="G3130" i="2"/>
  <c r="M3129" i="2"/>
  <c r="J3129" i="2"/>
  <c r="I3129" i="2"/>
  <c r="M3128" i="2"/>
  <c r="J3128" i="2" s="1"/>
  <c r="I3128" i="2"/>
  <c r="H3128" i="2"/>
  <c r="G3128" i="2"/>
  <c r="M3127" i="2"/>
  <c r="H3127" i="2"/>
  <c r="G3127" i="2"/>
  <c r="M3126" i="2"/>
  <c r="G3126" i="2" s="1"/>
  <c r="I3126" i="2"/>
  <c r="H3126" i="2"/>
  <c r="M3125" i="2"/>
  <c r="J3125" i="2"/>
  <c r="I3125" i="2"/>
  <c r="H3125" i="2"/>
  <c r="G3125" i="2"/>
  <c r="M3124" i="2"/>
  <c r="J3124" i="2"/>
  <c r="G3124" i="2"/>
  <c r="M3123" i="2"/>
  <c r="M3122" i="2"/>
  <c r="J3122" i="2"/>
  <c r="I3122" i="2"/>
  <c r="H3122" i="2"/>
  <c r="G3122" i="2"/>
  <c r="M3121" i="2"/>
  <c r="J3121" i="2"/>
  <c r="M3120" i="2"/>
  <c r="J3120" i="2"/>
  <c r="I3120" i="2"/>
  <c r="H3120" i="2"/>
  <c r="G3120" i="2"/>
  <c r="M3119" i="2"/>
  <c r="H3119" i="2"/>
  <c r="M3118" i="2"/>
  <c r="G3118" i="2" s="1"/>
  <c r="J3118" i="2"/>
  <c r="I3118" i="2"/>
  <c r="H3118" i="2"/>
  <c r="M3117" i="2"/>
  <c r="J3117" i="2"/>
  <c r="I3117" i="2"/>
  <c r="H3117" i="2"/>
  <c r="G3117" i="2"/>
  <c r="M3116" i="2"/>
  <c r="J3116" i="2"/>
  <c r="G3116" i="2"/>
  <c r="M3115" i="2"/>
  <c r="H3115" i="2" s="1"/>
  <c r="J3115" i="2"/>
  <c r="I3115" i="2"/>
  <c r="M3114" i="2"/>
  <c r="J3114" i="2" s="1"/>
  <c r="I3114" i="2"/>
  <c r="H3114" i="2"/>
  <c r="G3114" i="2"/>
  <c r="M3113" i="2"/>
  <c r="J3113" i="2"/>
  <c r="M3112" i="2"/>
  <c r="J3112" i="2"/>
  <c r="I3112" i="2"/>
  <c r="H3112" i="2"/>
  <c r="G3112" i="2"/>
  <c r="M3111" i="2"/>
  <c r="H3111" i="2" s="1"/>
  <c r="M3110" i="2"/>
  <c r="G3110" i="2" s="1"/>
  <c r="J3110" i="2"/>
  <c r="I3110" i="2"/>
  <c r="H3110" i="2"/>
  <c r="M3109" i="2"/>
  <c r="J3109" i="2"/>
  <c r="I3109" i="2"/>
  <c r="H3109" i="2"/>
  <c r="G3109" i="2"/>
  <c r="M3108" i="2"/>
  <c r="J3108" i="2"/>
  <c r="G3108" i="2"/>
  <c r="M3107" i="2"/>
  <c r="H3107" i="2" s="1"/>
  <c r="J3107" i="2"/>
  <c r="I3107" i="2"/>
  <c r="M3106" i="2"/>
  <c r="J3106" i="2" s="1"/>
  <c r="I3106" i="2"/>
  <c r="H3106" i="2"/>
  <c r="G3106" i="2"/>
  <c r="M3105" i="2"/>
  <c r="J3105" i="2" s="1"/>
  <c r="M3104" i="2"/>
  <c r="J3104" i="2"/>
  <c r="I3104" i="2"/>
  <c r="H3104" i="2"/>
  <c r="G3104" i="2"/>
  <c r="M3103" i="2"/>
  <c r="H3103" i="2"/>
  <c r="M3102" i="2"/>
  <c r="G3102" i="2" s="1"/>
  <c r="J3102" i="2"/>
  <c r="I3102" i="2"/>
  <c r="H3102" i="2"/>
  <c r="M3101" i="2"/>
  <c r="J3101" i="2"/>
  <c r="I3101" i="2"/>
  <c r="H3101" i="2"/>
  <c r="G3101" i="2"/>
  <c r="M3100" i="2"/>
  <c r="J3100" i="2"/>
  <c r="G3100" i="2"/>
  <c r="M3099" i="2"/>
  <c r="H3099" i="2" s="1"/>
  <c r="J3099" i="2"/>
  <c r="I3099" i="2"/>
  <c r="M3098" i="2"/>
  <c r="J3098" i="2" s="1"/>
  <c r="I3098" i="2"/>
  <c r="H3098" i="2"/>
  <c r="G3098" i="2"/>
  <c r="M3097" i="2"/>
  <c r="J3097" i="2"/>
  <c r="M3096" i="2"/>
  <c r="J3096" i="2"/>
  <c r="I3096" i="2"/>
  <c r="H3096" i="2"/>
  <c r="G3096" i="2"/>
  <c r="M3095" i="2"/>
  <c r="H3095" i="2" s="1"/>
  <c r="M3094" i="2"/>
  <c r="G3094" i="2" s="1"/>
  <c r="J3094" i="2"/>
  <c r="I3094" i="2"/>
  <c r="H3094" i="2"/>
  <c r="M3093" i="2"/>
  <c r="J3093" i="2"/>
  <c r="I3093" i="2"/>
  <c r="H3093" i="2"/>
  <c r="G3093" i="2"/>
  <c r="M3092" i="2"/>
  <c r="J3092" i="2"/>
  <c r="G3092" i="2"/>
  <c r="M3091" i="2"/>
  <c r="H3091" i="2" s="1"/>
  <c r="J3091" i="2"/>
  <c r="I3091" i="2"/>
  <c r="M3090" i="2"/>
  <c r="J3090" i="2" s="1"/>
  <c r="I3090" i="2"/>
  <c r="H3090" i="2"/>
  <c r="G3090" i="2"/>
  <c r="M3089" i="2"/>
  <c r="J3089" i="2"/>
  <c r="M3088" i="2"/>
  <c r="J3088" i="2"/>
  <c r="I3088" i="2"/>
  <c r="H3088" i="2"/>
  <c r="G3088" i="2"/>
  <c r="M3087" i="2"/>
  <c r="H3087" i="2"/>
  <c r="M3086" i="2"/>
  <c r="G3086" i="2" s="1"/>
  <c r="J3086" i="2"/>
  <c r="I3086" i="2"/>
  <c r="H3086" i="2"/>
  <c r="M3085" i="2"/>
  <c r="J3085" i="2"/>
  <c r="I3085" i="2"/>
  <c r="H3085" i="2"/>
  <c r="G3085" i="2"/>
  <c r="M3084" i="2"/>
  <c r="J3084" i="2"/>
  <c r="G3084" i="2"/>
  <c r="M3083" i="2"/>
  <c r="H3083" i="2" s="1"/>
  <c r="J3083" i="2"/>
  <c r="I3083" i="2"/>
  <c r="M3082" i="2"/>
  <c r="J3082" i="2" s="1"/>
  <c r="I3082" i="2"/>
  <c r="H3082" i="2"/>
  <c r="G3082" i="2"/>
  <c r="M3081" i="2"/>
  <c r="J3081" i="2"/>
  <c r="M3080" i="2"/>
  <c r="J3080" i="2"/>
  <c r="I3080" i="2"/>
  <c r="H3080" i="2"/>
  <c r="G3080" i="2"/>
  <c r="M3079" i="2"/>
  <c r="H3079" i="2" s="1"/>
  <c r="M3078" i="2"/>
  <c r="G3078" i="2" s="1"/>
  <c r="J3078" i="2"/>
  <c r="I3078" i="2"/>
  <c r="H3078" i="2"/>
  <c r="M3077" i="2"/>
  <c r="J3077" i="2"/>
  <c r="I3077" i="2"/>
  <c r="H3077" i="2"/>
  <c r="G3077" i="2"/>
  <c r="M3076" i="2"/>
  <c r="J3076" i="2"/>
  <c r="G3076" i="2"/>
  <c r="M3075" i="2"/>
  <c r="H3075" i="2" s="1"/>
  <c r="J3075" i="2"/>
  <c r="I3075" i="2"/>
  <c r="M3074" i="2"/>
  <c r="J3074" i="2" s="1"/>
  <c r="I3074" i="2"/>
  <c r="H3074" i="2"/>
  <c r="G3074" i="2"/>
  <c r="M3073" i="2"/>
  <c r="J3073" i="2"/>
  <c r="M3072" i="2"/>
  <c r="J3072" i="2"/>
  <c r="I3072" i="2"/>
  <c r="H3072" i="2"/>
  <c r="G3072" i="2"/>
  <c r="M3071" i="2"/>
  <c r="H3071" i="2"/>
  <c r="M3070" i="2"/>
  <c r="G3070" i="2" s="1"/>
  <c r="J3070" i="2"/>
  <c r="I3070" i="2"/>
  <c r="H3070" i="2"/>
  <c r="M3069" i="2"/>
  <c r="J3069" i="2"/>
  <c r="I3069" i="2"/>
  <c r="H3069" i="2"/>
  <c r="G3069" i="2"/>
  <c r="M3068" i="2"/>
  <c r="J3068" i="2"/>
  <c r="G3068" i="2"/>
  <c r="M3067" i="2"/>
  <c r="H3067" i="2" s="1"/>
  <c r="J3067" i="2"/>
  <c r="I3067" i="2"/>
  <c r="M3066" i="2"/>
  <c r="J3066" i="2" s="1"/>
  <c r="I3066" i="2"/>
  <c r="H3066" i="2"/>
  <c r="G3066" i="2"/>
  <c r="M3065" i="2"/>
  <c r="J3065" i="2"/>
  <c r="M3064" i="2"/>
  <c r="J3064" i="2"/>
  <c r="I3064" i="2"/>
  <c r="H3064" i="2"/>
  <c r="G3064" i="2"/>
  <c r="M3063" i="2"/>
  <c r="H3063" i="2" s="1"/>
  <c r="M3062" i="2"/>
  <c r="G3062" i="2" s="1"/>
  <c r="J3062" i="2"/>
  <c r="I3062" i="2"/>
  <c r="H3062" i="2"/>
  <c r="M3061" i="2"/>
  <c r="J3061" i="2"/>
  <c r="I3061" i="2"/>
  <c r="H3061" i="2"/>
  <c r="G3061" i="2"/>
  <c r="M3060" i="2"/>
  <c r="J3060" i="2"/>
  <c r="G3060" i="2"/>
  <c r="M3059" i="2"/>
  <c r="H3059" i="2" s="1"/>
  <c r="J3059" i="2"/>
  <c r="I3059" i="2"/>
  <c r="M3058" i="2"/>
  <c r="J3058" i="2" s="1"/>
  <c r="I3058" i="2"/>
  <c r="H3058" i="2"/>
  <c r="G3058" i="2"/>
  <c r="M3057" i="2"/>
  <c r="M3056" i="2"/>
  <c r="J3056" i="2"/>
  <c r="I3056" i="2"/>
  <c r="H3056" i="2"/>
  <c r="G3056" i="2"/>
  <c r="M3055" i="2"/>
  <c r="H3055" i="2"/>
  <c r="M3054" i="2"/>
  <c r="G3054" i="2" s="1"/>
  <c r="J3054" i="2"/>
  <c r="I3054" i="2"/>
  <c r="H3054" i="2"/>
  <c r="M3053" i="2"/>
  <c r="J3053" i="2"/>
  <c r="I3053" i="2"/>
  <c r="H3053" i="2"/>
  <c r="G3053" i="2"/>
  <c r="M3052" i="2"/>
  <c r="J3052" i="2"/>
  <c r="G3052" i="2"/>
  <c r="M3051" i="2"/>
  <c r="H3051" i="2" s="1"/>
  <c r="J3051" i="2"/>
  <c r="I3051" i="2"/>
  <c r="M3050" i="2"/>
  <c r="J3050" i="2" s="1"/>
  <c r="I3050" i="2"/>
  <c r="H3050" i="2"/>
  <c r="G3050" i="2"/>
  <c r="M3049" i="2"/>
  <c r="J3049" i="2"/>
  <c r="M3048" i="2"/>
  <c r="J3048" i="2"/>
  <c r="I3048" i="2"/>
  <c r="H3048" i="2"/>
  <c r="G3048" i="2"/>
  <c r="M3047" i="2"/>
  <c r="H3047" i="2" s="1"/>
  <c r="M3046" i="2"/>
  <c r="G3046" i="2" s="1"/>
  <c r="J3046" i="2"/>
  <c r="I3046" i="2"/>
  <c r="H3046" i="2"/>
  <c r="M3045" i="2"/>
  <c r="J3045" i="2"/>
  <c r="I3045" i="2"/>
  <c r="H3045" i="2"/>
  <c r="G3045" i="2"/>
  <c r="M3044" i="2"/>
  <c r="J3044" i="2"/>
  <c r="G3044" i="2"/>
  <c r="M3043" i="2"/>
  <c r="H3043" i="2" s="1"/>
  <c r="J3043" i="2"/>
  <c r="I3043" i="2"/>
  <c r="M3042" i="2"/>
  <c r="J3042" i="2" s="1"/>
  <c r="I3042" i="2"/>
  <c r="H3042" i="2"/>
  <c r="G3042" i="2"/>
  <c r="M3041" i="2"/>
  <c r="J3041" i="2"/>
  <c r="M3040" i="2"/>
  <c r="J3040" i="2"/>
  <c r="I3040" i="2"/>
  <c r="H3040" i="2"/>
  <c r="G3040" i="2"/>
  <c r="M3039" i="2"/>
  <c r="H3039" i="2"/>
  <c r="M3038" i="2"/>
  <c r="G3038" i="2" s="1"/>
  <c r="J3038" i="2"/>
  <c r="I3038" i="2"/>
  <c r="H3038" i="2"/>
  <c r="M3037" i="2"/>
  <c r="J3037" i="2"/>
  <c r="I3037" i="2"/>
  <c r="H3037" i="2"/>
  <c r="G3037" i="2"/>
  <c r="M3036" i="2"/>
  <c r="J3036" i="2"/>
  <c r="G3036" i="2"/>
  <c r="M3035" i="2"/>
  <c r="H3035" i="2" s="1"/>
  <c r="J3035" i="2"/>
  <c r="I3035" i="2"/>
  <c r="M3034" i="2"/>
  <c r="J3034" i="2" s="1"/>
  <c r="I3034" i="2"/>
  <c r="H3034" i="2"/>
  <c r="G3034" i="2"/>
  <c r="M3033" i="2"/>
  <c r="J3033" i="2"/>
  <c r="M3032" i="2"/>
  <c r="J3032" i="2"/>
  <c r="I3032" i="2"/>
  <c r="H3032" i="2"/>
  <c r="G3032" i="2"/>
  <c r="M3031" i="2"/>
  <c r="H3031" i="2" s="1"/>
  <c r="M3030" i="2"/>
  <c r="G3030" i="2" s="1"/>
  <c r="J3030" i="2"/>
  <c r="I3030" i="2"/>
  <c r="H3030" i="2"/>
  <c r="M3029" i="2"/>
  <c r="J3029" i="2"/>
  <c r="I3029" i="2"/>
  <c r="H3029" i="2"/>
  <c r="G3029" i="2"/>
  <c r="M3028" i="2"/>
  <c r="J3028" i="2"/>
  <c r="G3028" i="2"/>
  <c r="M3027" i="2"/>
  <c r="H3027" i="2" s="1"/>
  <c r="J3027" i="2"/>
  <c r="I3027" i="2"/>
  <c r="M3026" i="2"/>
  <c r="J3026" i="2" s="1"/>
  <c r="I3026" i="2"/>
  <c r="H3026" i="2"/>
  <c r="G3026" i="2"/>
  <c r="M3025" i="2"/>
  <c r="J3025" i="2" s="1"/>
  <c r="M3024" i="2"/>
  <c r="J3024" i="2" s="1"/>
  <c r="I3024" i="2"/>
  <c r="H3024" i="2"/>
  <c r="G3024" i="2"/>
  <c r="M3023" i="2"/>
  <c r="H3023" i="2" s="1"/>
  <c r="M3022" i="2"/>
  <c r="G3022" i="2" s="1"/>
  <c r="I3022" i="2"/>
  <c r="H3022" i="2"/>
  <c r="M3021" i="2"/>
  <c r="H3021" i="2" s="1"/>
  <c r="J3021" i="2"/>
  <c r="I3021" i="2"/>
  <c r="M3020" i="2"/>
  <c r="J3020" i="2"/>
  <c r="I3020" i="2"/>
  <c r="H3020" i="2"/>
  <c r="G3020" i="2"/>
  <c r="M3019" i="2"/>
  <c r="M3018" i="2"/>
  <c r="I3018" i="2"/>
  <c r="H3018" i="2"/>
  <c r="M3017" i="2"/>
  <c r="J3017" i="2" s="1"/>
  <c r="I3017" i="2"/>
  <c r="H3017" i="2"/>
  <c r="G3017" i="2"/>
  <c r="M3016" i="2"/>
  <c r="J3016" i="2" s="1"/>
  <c r="M3015" i="2"/>
  <c r="J3015" i="2"/>
  <c r="I3015" i="2"/>
  <c r="H3015" i="2"/>
  <c r="G3015" i="2"/>
  <c r="M3014" i="2"/>
  <c r="J3014" i="2"/>
  <c r="I3014" i="2"/>
  <c r="H3014" i="2"/>
  <c r="G3014" i="2"/>
  <c r="M3013" i="2"/>
  <c r="J3013" i="2"/>
  <c r="I3013" i="2"/>
  <c r="M3012" i="2"/>
  <c r="J3012" i="2"/>
  <c r="I3012" i="2"/>
  <c r="H3012" i="2"/>
  <c r="G3012" i="2"/>
  <c r="M3011" i="2"/>
  <c r="M3010" i="2"/>
  <c r="J3010" i="2"/>
  <c r="M3009" i="2"/>
  <c r="J3009" i="2" s="1"/>
  <c r="I3009" i="2"/>
  <c r="H3009" i="2"/>
  <c r="G3009" i="2"/>
  <c r="M3008" i="2"/>
  <c r="J3008" i="2"/>
  <c r="M3007" i="2"/>
  <c r="J3007" i="2"/>
  <c r="I3007" i="2"/>
  <c r="H3007" i="2"/>
  <c r="G3007" i="2"/>
  <c r="M3006" i="2"/>
  <c r="J3006" i="2"/>
  <c r="I3006" i="2"/>
  <c r="H3006" i="2"/>
  <c r="G3006" i="2"/>
  <c r="M3005" i="2"/>
  <c r="J3005" i="2"/>
  <c r="I3005" i="2"/>
  <c r="M3004" i="2"/>
  <c r="J3004" i="2"/>
  <c r="I3004" i="2"/>
  <c r="H3004" i="2"/>
  <c r="G3004" i="2"/>
  <c r="M3003" i="2"/>
  <c r="G3003" i="2"/>
  <c r="M3002" i="2"/>
  <c r="G3002" i="2" s="1"/>
  <c r="I3002" i="2"/>
  <c r="H3002" i="2"/>
  <c r="M3001" i="2"/>
  <c r="J3001" i="2"/>
  <c r="I3001" i="2"/>
  <c r="H3001" i="2"/>
  <c r="G3001" i="2"/>
  <c r="M3000" i="2"/>
  <c r="J3000" i="2"/>
  <c r="M2999" i="2"/>
  <c r="M2998" i="2"/>
  <c r="J2998" i="2"/>
  <c r="I2998" i="2"/>
  <c r="H2998" i="2"/>
  <c r="G2998" i="2"/>
  <c r="M2997" i="2"/>
  <c r="J2997" i="2" s="1"/>
  <c r="I2997" i="2"/>
  <c r="M2996" i="2"/>
  <c r="J2996" i="2"/>
  <c r="I2996" i="2"/>
  <c r="H2996" i="2"/>
  <c r="G2996" i="2"/>
  <c r="M2995" i="2"/>
  <c r="H2995" i="2" s="1"/>
  <c r="G2995" i="2"/>
  <c r="M2994" i="2"/>
  <c r="G2994" i="2" s="1"/>
  <c r="I2994" i="2"/>
  <c r="H2994" i="2"/>
  <c r="M2993" i="2"/>
  <c r="J2993" i="2"/>
  <c r="I2993" i="2"/>
  <c r="H2993" i="2"/>
  <c r="G2993" i="2"/>
  <c r="M2992" i="2"/>
  <c r="J2992" i="2"/>
  <c r="I2992" i="2"/>
  <c r="H2992" i="2"/>
  <c r="G2992" i="2"/>
  <c r="M2991" i="2"/>
  <c r="H2991" i="2" s="1"/>
  <c r="J2991" i="2"/>
  <c r="I2991" i="2"/>
  <c r="G2991" i="2"/>
  <c r="M2990" i="2"/>
  <c r="M2989" i="2"/>
  <c r="G2989" i="2" s="1"/>
  <c r="I2989" i="2"/>
  <c r="H2989" i="2"/>
  <c r="M2988" i="2"/>
  <c r="J2988" i="2" s="1"/>
  <c r="I2988" i="2"/>
  <c r="M2987" i="2"/>
  <c r="M2986" i="2"/>
  <c r="J2986" i="2" s="1"/>
  <c r="H2986" i="2"/>
  <c r="G2986" i="2"/>
  <c r="M2985" i="2"/>
  <c r="J2985" i="2"/>
  <c r="I2985" i="2"/>
  <c r="H2985" i="2"/>
  <c r="G2985" i="2"/>
  <c r="M2984" i="2"/>
  <c r="H2984" i="2" s="1"/>
  <c r="J2984" i="2"/>
  <c r="I2984" i="2"/>
  <c r="G2984" i="2"/>
  <c r="M2983" i="2"/>
  <c r="H2983" i="2" s="1"/>
  <c r="J2983" i="2"/>
  <c r="I2983" i="2"/>
  <c r="G2983" i="2"/>
  <c r="M2982" i="2"/>
  <c r="M2981" i="2"/>
  <c r="G2981" i="2" s="1"/>
  <c r="I2981" i="2"/>
  <c r="H2981" i="2"/>
  <c r="M2980" i="2"/>
  <c r="J2980" i="2" s="1"/>
  <c r="I2980" i="2"/>
  <c r="M2979" i="2"/>
  <c r="M2978" i="2"/>
  <c r="J2978" i="2" s="1"/>
  <c r="H2978" i="2"/>
  <c r="G2978" i="2"/>
  <c r="M2977" i="2"/>
  <c r="J2977" i="2"/>
  <c r="I2977" i="2"/>
  <c r="H2977" i="2"/>
  <c r="G2977" i="2"/>
  <c r="M2976" i="2"/>
  <c r="H2976" i="2" s="1"/>
  <c r="J2976" i="2"/>
  <c r="I2976" i="2"/>
  <c r="G2976" i="2"/>
  <c r="M2975" i="2"/>
  <c r="H2975" i="2" s="1"/>
  <c r="J2975" i="2"/>
  <c r="I2975" i="2"/>
  <c r="G2975" i="2"/>
  <c r="M2974" i="2"/>
  <c r="M2973" i="2"/>
  <c r="G2973" i="2" s="1"/>
  <c r="I2973" i="2"/>
  <c r="H2973" i="2"/>
  <c r="M2972" i="2"/>
  <c r="J2972" i="2" s="1"/>
  <c r="I2972" i="2"/>
  <c r="M2971" i="2"/>
  <c r="M2970" i="2"/>
  <c r="J2970" i="2" s="1"/>
  <c r="H2970" i="2"/>
  <c r="G2970" i="2"/>
  <c r="M2969" i="2"/>
  <c r="J2969" i="2"/>
  <c r="I2969" i="2"/>
  <c r="H2969" i="2"/>
  <c r="G2969" i="2"/>
  <c r="M2968" i="2"/>
  <c r="H2968" i="2" s="1"/>
  <c r="J2968" i="2"/>
  <c r="I2968" i="2"/>
  <c r="G2968" i="2"/>
  <c r="M2967" i="2"/>
  <c r="H2967" i="2" s="1"/>
  <c r="J2967" i="2"/>
  <c r="I2967" i="2"/>
  <c r="G2967" i="2"/>
  <c r="M2966" i="2"/>
  <c r="M2965" i="2"/>
  <c r="G2965" i="2" s="1"/>
  <c r="I2965" i="2"/>
  <c r="H2965" i="2"/>
  <c r="M2964" i="2"/>
  <c r="J2964" i="2" s="1"/>
  <c r="M2963" i="2"/>
  <c r="J2963" i="2"/>
  <c r="M2962" i="2"/>
  <c r="J2962" i="2" s="1"/>
  <c r="H2962" i="2"/>
  <c r="G2962" i="2"/>
  <c r="M2961" i="2"/>
  <c r="J2961" i="2"/>
  <c r="I2961" i="2"/>
  <c r="H2961" i="2"/>
  <c r="G2961" i="2"/>
  <c r="M2960" i="2"/>
  <c r="H2960" i="2" s="1"/>
  <c r="J2960" i="2"/>
  <c r="I2960" i="2"/>
  <c r="G2960" i="2"/>
  <c r="M2959" i="2"/>
  <c r="H2959" i="2" s="1"/>
  <c r="J2959" i="2"/>
  <c r="I2959" i="2"/>
  <c r="G2959" i="2"/>
  <c r="M2958" i="2"/>
  <c r="M2957" i="2"/>
  <c r="G2957" i="2" s="1"/>
  <c r="I2957" i="2"/>
  <c r="H2957" i="2"/>
  <c r="M2956" i="2"/>
  <c r="J2956" i="2" s="1"/>
  <c r="M2955" i="2"/>
  <c r="J2955" i="2" s="1"/>
  <c r="M2954" i="2"/>
  <c r="J2954" i="2" s="1"/>
  <c r="H2954" i="2"/>
  <c r="G2954" i="2"/>
  <c r="M2953" i="2"/>
  <c r="J2953" i="2"/>
  <c r="I2953" i="2"/>
  <c r="H2953" i="2"/>
  <c r="G2953" i="2"/>
  <c r="M2952" i="2"/>
  <c r="H2952" i="2" s="1"/>
  <c r="J2952" i="2"/>
  <c r="I2952" i="2"/>
  <c r="G2952" i="2"/>
  <c r="M2951" i="2"/>
  <c r="H2951" i="2" s="1"/>
  <c r="J2951" i="2"/>
  <c r="I2951" i="2"/>
  <c r="G2951" i="2"/>
  <c r="M2950" i="2"/>
  <c r="M2949" i="2"/>
  <c r="G2949" i="2" s="1"/>
  <c r="I2949" i="2"/>
  <c r="H2949" i="2"/>
  <c r="M2948" i="2"/>
  <c r="J2948" i="2" s="1"/>
  <c r="M2947" i="2"/>
  <c r="J2947" i="2"/>
  <c r="M2946" i="2"/>
  <c r="J2946" i="2" s="1"/>
  <c r="H2946" i="2"/>
  <c r="G2946" i="2"/>
  <c r="M2945" i="2"/>
  <c r="I2945" i="2" s="1"/>
  <c r="J2945" i="2"/>
  <c r="H2945" i="2"/>
  <c r="G2945" i="2"/>
  <c r="M2944" i="2"/>
  <c r="J2944" i="2"/>
  <c r="I2944" i="2"/>
  <c r="H2944" i="2"/>
  <c r="G2944" i="2"/>
  <c r="M2943" i="2"/>
  <c r="J2943" i="2"/>
  <c r="I2943" i="2"/>
  <c r="H2943" i="2"/>
  <c r="G2943" i="2"/>
  <c r="M2942" i="2"/>
  <c r="M2941" i="2"/>
  <c r="G2941" i="2" s="1"/>
  <c r="I2941" i="2"/>
  <c r="H2941" i="2"/>
  <c r="M2940" i="2"/>
  <c r="J2940" i="2" s="1"/>
  <c r="M2939" i="2"/>
  <c r="J2939" i="2"/>
  <c r="M2938" i="2"/>
  <c r="J2938" i="2" s="1"/>
  <c r="H2938" i="2"/>
  <c r="G2938" i="2"/>
  <c r="M2937" i="2"/>
  <c r="I2937" i="2" s="1"/>
  <c r="J2937" i="2"/>
  <c r="H2937" i="2"/>
  <c r="G2937" i="2"/>
  <c r="M2936" i="2"/>
  <c r="H2936" i="2" s="1"/>
  <c r="J2936" i="2"/>
  <c r="I2936" i="2"/>
  <c r="G2936" i="2"/>
  <c r="M2935" i="2"/>
  <c r="I2935" i="2" s="1"/>
  <c r="J2935" i="2"/>
  <c r="H2935" i="2"/>
  <c r="G2935" i="2"/>
  <c r="M2934" i="2"/>
  <c r="M2933" i="2"/>
  <c r="G2933" i="2" s="1"/>
  <c r="J2933" i="2"/>
  <c r="I2933" i="2"/>
  <c r="H2933" i="2"/>
  <c r="M2932" i="2"/>
  <c r="J2932" i="2" s="1"/>
  <c r="I2932" i="2"/>
  <c r="M2931" i="2"/>
  <c r="J2931" i="2"/>
  <c r="M2930" i="2"/>
  <c r="J2930" i="2" s="1"/>
  <c r="H2930" i="2"/>
  <c r="G2930" i="2"/>
  <c r="M2929" i="2"/>
  <c r="J2929" i="2"/>
  <c r="I2929" i="2"/>
  <c r="H2929" i="2"/>
  <c r="G2929" i="2"/>
  <c r="M2928" i="2"/>
  <c r="H2928" i="2" s="1"/>
  <c r="J2928" i="2"/>
  <c r="I2928" i="2"/>
  <c r="G2928" i="2"/>
  <c r="M2927" i="2"/>
  <c r="I2927" i="2" s="1"/>
  <c r="J2927" i="2"/>
  <c r="H2927" i="2"/>
  <c r="G2927" i="2"/>
  <c r="M2926" i="2"/>
  <c r="M2925" i="2"/>
  <c r="J2925" i="2"/>
  <c r="I2925" i="2"/>
  <c r="H2925" i="2"/>
  <c r="G2925" i="2"/>
  <c r="M2924" i="2"/>
  <c r="J2924" i="2" s="1"/>
  <c r="M2923" i="2"/>
  <c r="J2923" i="2" s="1"/>
  <c r="M2922" i="2"/>
  <c r="J2922" i="2" s="1"/>
  <c r="H2922" i="2"/>
  <c r="G2922" i="2"/>
  <c r="M2921" i="2"/>
  <c r="G2921" i="2" s="1"/>
  <c r="J2921" i="2"/>
  <c r="I2921" i="2"/>
  <c r="H2921" i="2"/>
  <c r="M2920" i="2"/>
  <c r="H2920" i="2" s="1"/>
  <c r="J2920" i="2"/>
  <c r="I2920" i="2"/>
  <c r="G2920" i="2"/>
  <c r="M2919" i="2"/>
  <c r="I2919" i="2" s="1"/>
  <c r="J2919" i="2"/>
  <c r="H2919" i="2"/>
  <c r="G2919" i="2"/>
  <c r="M2918" i="2"/>
  <c r="M2917" i="2"/>
  <c r="J2917" i="2"/>
  <c r="I2917" i="2"/>
  <c r="H2917" i="2"/>
  <c r="G2917" i="2"/>
  <c r="M2916" i="2"/>
  <c r="J2916" i="2" s="1"/>
  <c r="M2915" i="2"/>
  <c r="J2915" i="2" s="1"/>
  <c r="M2914" i="2"/>
  <c r="J2914" i="2" s="1"/>
  <c r="H2914" i="2"/>
  <c r="G2914" i="2"/>
  <c r="M2913" i="2"/>
  <c r="G2913" i="2" s="1"/>
  <c r="J2913" i="2"/>
  <c r="I2913" i="2"/>
  <c r="H2913" i="2"/>
  <c r="M2912" i="2"/>
  <c r="H2912" i="2" s="1"/>
  <c r="J2912" i="2"/>
  <c r="I2912" i="2"/>
  <c r="G2912" i="2"/>
  <c r="M2911" i="2"/>
  <c r="I2911" i="2" s="1"/>
  <c r="J2911" i="2"/>
  <c r="H2911" i="2"/>
  <c r="G2911" i="2"/>
  <c r="M2910" i="2"/>
  <c r="M2909" i="2"/>
  <c r="J2909" i="2"/>
  <c r="I2909" i="2"/>
  <c r="H2909" i="2"/>
  <c r="G2909" i="2"/>
  <c r="M2908" i="2"/>
  <c r="J2908" i="2" s="1"/>
  <c r="M2907" i="2"/>
  <c r="J2907" i="2" s="1"/>
  <c r="M2906" i="2"/>
  <c r="J2906" i="2" s="1"/>
  <c r="H2906" i="2"/>
  <c r="G2906" i="2"/>
  <c r="M2905" i="2"/>
  <c r="J2905" i="2"/>
  <c r="I2905" i="2"/>
  <c r="H2905" i="2"/>
  <c r="G2905" i="2"/>
  <c r="M2904" i="2"/>
  <c r="H2904" i="2" s="1"/>
  <c r="J2904" i="2"/>
  <c r="I2904" i="2"/>
  <c r="G2904" i="2"/>
  <c r="M2903" i="2"/>
  <c r="I2903" i="2" s="1"/>
  <c r="J2903" i="2"/>
  <c r="H2903" i="2"/>
  <c r="G2903" i="2"/>
  <c r="M2902" i="2"/>
  <c r="M2901" i="2"/>
  <c r="J2901" i="2"/>
  <c r="I2901" i="2"/>
  <c r="H2901" i="2"/>
  <c r="G2901" i="2"/>
  <c r="M2900" i="2"/>
  <c r="J2900" i="2" s="1"/>
  <c r="M2899" i="2"/>
  <c r="J2899" i="2"/>
  <c r="M2898" i="2"/>
  <c r="J2898" i="2" s="1"/>
  <c r="H2898" i="2"/>
  <c r="G2898" i="2"/>
  <c r="M2897" i="2"/>
  <c r="G2897" i="2" s="1"/>
  <c r="J2897" i="2"/>
  <c r="I2897" i="2"/>
  <c r="H2897" i="2"/>
  <c r="M2896" i="2"/>
  <c r="H2896" i="2" s="1"/>
  <c r="J2896" i="2"/>
  <c r="I2896" i="2"/>
  <c r="G2896" i="2"/>
  <c r="M2895" i="2"/>
  <c r="I2895" i="2" s="1"/>
  <c r="J2895" i="2"/>
  <c r="H2895" i="2"/>
  <c r="G2895" i="2"/>
  <c r="M2894" i="2"/>
  <c r="M2893" i="2"/>
  <c r="J2893" i="2" s="1"/>
  <c r="I2893" i="2"/>
  <c r="H2893" i="2"/>
  <c r="G2893" i="2"/>
  <c r="M2892" i="2"/>
  <c r="J2892" i="2" s="1"/>
  <c r="M2891" i="2"/>
  <c r="J2891" i="2" s="1"/>
  <c r="M2890" i="2"/>
  <c r="J2890" i="2" s="1"/>
  <c r="H2890" i="2"/>
  <c r="G2890" i="2"/>
  <c r="M2889" i="2"/>
  <c r="J2889" i="2"/>
  <c r="I2889" i="2"/>
  <c r="H2889" i="2"/>
  <c r="G2889" i="2"/>
  <c r="M2888" i="2"/>
  <c r="H2888" i="2" s="1"/>
  <c r="J2888" i="2"/>
  <c r="I2888" i="2"/>
  <c r="G2888" i="2"/>
  <c r="M2887" i="2"/>
  <c r="I2887" i="2" s="1"/>
  <c r="J2887" i="2"/>
  <c r="H2887" i="2"/>
  <c r="G2887" i="2"/>
  <c r="M2886" i="2"/>
  <c r="M2885" i="2"/>
  <c r="J2885" i="2"/>
  <c r="I2885" i="2"/>
  <c r="H2885" i="2"/>
  <c r="G2885" i="2"/>
  <c r="M2884" i="2"/>
  <c r="J2884" i="2" s="1"/>
  <c r="I2884" i="2"/>
  <c r="G2884" i="2"/>
  <c r="M2883" i="2"/>
  <c r="J2883" i="2"/>
  <c r="M2882" i="2"/>
  <c r="J2882" i="2" s="1"/>
  <c r="H2882" i="2"/>
  <c r="G2882" i="2"/>
  <c r="M2881" i="2"/>
  <c r="J2881" i="2"/>
  <c r="I2881" i="2"/>
  <c r="H2881" i="2"/>
  <c r="G2881" i="2"/>
  <c r="M2880" i="2"/>
  <c r="H2880" i="2" s="1"/>
  <c r="J2880" i="2"/>
  <c r="I2880" i="2"/>
  <c r="M2879" i="2"/>
  <c r="J2879" i="2" s="1"/>
  <c r="I2879" i="2"/>
  <c r="H2879" i="2"/>
  <c r="G2879" i="2"/>
  <c r="M2878" i="2"/>
  <c r="M2877" i="2"/>
  <c r="G2877" i="2" s="1"/>
  <c r="J2877" i="2"/>
  <c r="I2877" i="2"/>
  <c r="H2877" i="2"/>
  <c r="M2876" i="2"/>
  <c r="J2876" i="2"/>
  <c r="I2876" i="2"/>
  <c r="H2876" i="2"/>
  <c r="G2876" i="2"/>
  <c r="M2875" i="2"/>
  <c r="J2875" i="2"/>
  <c r="M2874" i="2"/>
  <c r="J2874" i="2" s="1"/>
  <c r="I2874" i="2"/>
  <c r="H2874" i="2"/>
  <c r="G2874" i="2"/>
  <c r="M2873" i="2"/>
  <c r="J2873" i="2" s="1"/>
  <c r="I2873" i="2"/>
  <c r="H2873" i="2"/>
  <c r="G2873" i="2"/>
  <c r="M2872" i="2"/>
  <c r="H2872" i="2" s="1"/>
  <c r="J2872" i="2"/>
  <c r="I2872" i="2"/>
  <c r="M2871" i="2"/>
  <c r="J2871" i="2" s="1"/>
  <c r="H2871" i="2"/>
  <c r="G2871" i="2"/>
  <c r="M2870" i="2"/>
  <c r="M2869" i="2"/>
  <c r="G2869" i="2" s="1"/>
  <c r="I2869" i="2"/>
  <c r="H2869" i="2"/>
  <c r="M2868" i="2"/>
  <c r="J2868" i="2" s="1"/>
  <c r="H2868" i="2"/>
  <c r="G2868" i="2"/>
  <c r="M2867" i="2"/>
  <c r="J2867" i="2" s="1"/>
  <c r="M2866" i="2"/>
  <c r="J2866" i="2" s="1"/>
  <c r="I2866" i="2"/>
  <c r="H2866" i="2"/>
  <c r="G2866" i="2"/>
  <c r="M2865" i="2"/>
  <c r="J2865" i="2" s="1"/>
  <c r="I2865" i="2"/>
  <c r="H2865" i="2"/>
  <c r="G2865" i="2"/>
  <c r="M2864" i="2"/>
  <c r="H2864" i="2" s="1"/>
  <c r="J2864" i="2"/>
  <c r="I2864" i="2"/>
  <c r="M2863" i="2"/>
  <c r="J2863" i="2" s="1"/>
  <c r="H2863" i="2"/>
  <c r="G2863" i="2"/>
  <c r="M2862" i="2"/>
  <c r="M2861" i="2"/>
  <c r="G2861" i="2" s="1"/>
  <c r="J2861" i="2"/>
  <c r="I2861" i="2"/>
  <c r="H2861" i="2"/>
  <c r="M2860" i="2"/>
  <c r="J2860" i="2" s="1"/>
  <c r="H2860" i="2"/>
  <c r="G2860" i="2"/>
  <c r="M2859" i="2"/>
  <c r="J2859" i="2" s="1"/>
  <c r="M2858" i="2"/>
  <c r="J2858" i="2" s="1"/>
  <c r="I2858" i="2"/>
  <c r="H2858" i="2"/>
  <c r="G2858" i="2"/>
  <c r="M2857" i="2"/>
  <c r="J2857" i="2" s="1"/>
  <c r="I2857" i="2"/>
  <c r="H2857" i="2"/>
  <c r="G2857" i="2"/>
  <c r="M2856" i="2"/>
  <c r="H2856" i="2" s="1"/>
  <c r="J2856" i="2"/>
  <c r="I2856" i="2"/>
  <c r="M2855" i="2"/>
  <c r="J2855" i="2" s="1"/>
  <c r="H2855" i="2"/>
  <c r="G2855" i="2"/>
  <c r="M2854" i="2"/>
  <c r="M2853" i="2"/>
  <c r="G2853" i="2" s="1"/>
  <c r="I2853" i="2"/>
  <c r="H2853" i="2"/>
  <c r="M2852" i="2"/>
  <c r="J2852" i="2" s="1"/>
  <c r="H2852" i="2"/>
  <c r="G2852" i="2"/>
  <c r="M2851" i="2"/>
  <c r="J2851" i="2" s="1"/>
  <c r="M2850" i="2"/>
  <c r="J2850" i="2"/>
  <c r="I2850" i="2"/>
  <c r="H2850" i="2"/>
  <c r="G2850" i="2"/>
  <c r="M2849" i="2"/>
  <c r="J2849" i="2" s="1"/>
  <c r="G2849" i="2"/>
  <c r="M2848" i="2"/>
  <c r="H2848" i="2" s="1"/>
  <c r="J2848" i="2"/>
  <c r="I2848" i="2"/>
  <c r="M2847" i="2"/>
  <c r="J2847" i="2" s="1"/>
  <c r="I2847" i="2"/>
  <c r="H2847" i="2"/>
  <c r="G2847" i="2"/>
  <c r="M2846" i="2"/>
  <c r="M2845" i="2"/>
  <c r="G2845" i="2" s="1"/>
  <c r="I2845" i="2"/>
  <c r="H2845" i="2"/>
  <c r="M2844" i="2"/>
  <c r="J2844" i="2" s="1"/>
  <c r="H2844" i="2"/>
  <c r="G2844" i="2"/>
  <c r="M2843" i="2"/>
  <c r="J2843" i="2"/>
  <c r="M2842" i="2"/>
  <c r="J2842" i="2" s="1"/>
  <c r="I2842" i="2"/>
  <c r="H2842" i="2"/>
  <c r="G2842" i="2"/>
  <c r="M2841" i="2"/>
  <c r="J2841" i="2" s="1"/>
  <c r="G2841" i="2"/>
  <c r="M2840" i="2"/>
  <c r="H2840" i="2" s="1"/>
  <c r="J2840" i="2"/>
  <c r="I2840" i="2"/>
  <c r="M2839" i="2"/>
  <c r="J2839" i="2" s="1"/>
  <c r="I2839" i="2"/>
  <c r="H2839" i="2"/>
  <c r="G2839" i="2"/>
  <c r="M2838" i="2"/>
  <c r="M2837" i="2"/>
  <c r="G2837" i="2" s="1"/>
  <c r="I2837" i="2"/>
  <c r="H2837" i="2"/>
  <c r="M2836" i="2"/>
  <c r="J2836" i="2" s="1"/>
  <c r="M2835" i="2"/>
  <c r="J2835" i="2"/>
  <c r="M2834" i="2"/>
  <c r="J2834" i="2" s="1"/>
  <c r="H2834" i="2"/>
  <c r="G2834" i="2"/>
  <c r="M2833" i="2"/>
  <c r="J2833" i="2" s="1"/>
  <c r="I2833" i="2"/>
  <c r="H2833" i="2"/>
  <c r="M2832" i="2"/>
  <c r="H2832" i="2" s="1"/>
  <c r="J2832" i="2"/>
  <c r="I2832" i="2"/>
  <c r="M2831" i="2"/>
  <c r="J2831" i="2" s="1"/>
  <c r="H2831" i="2"/>
  <c r="G2831" i="2"/>
  <c r="M2830" i="2"/>
  <c r="M2829" i="2"/>
  <c r="J2829" i="2"/>
  <c r="I2829" i="2"/>
  <c r="H2829" i="2"/>
  <c r="G2829" i="2"/>
  <c r="M2828" i="2"/>
  <c r="J2828" i="2" s="1"/>
  <c r="G2828" i="2"/>
  <c r="M2827" i="2"/>
  <c r="J2827" i="2" s="1"/>
  <c r="M2826" i="2"/>
  <c r="J2826" i="2" s="1"/>
  <c r="I2826" i="2"/>
  <c r="H2826" i="2"/>
  <c r="G2826" i="2"/>
  <c r="M2825" i="2"/>
  <c r="J2825" i="2" s="1"/>
  <c r="I2825" i="2"/>
  <c r="H2825" i="2"/>
  <c r="M2824" i="2"/>
  <c r="H2824" i="2" s="1"/>
  <c r="J2824" i="2"/>
  <c r="I2824" i="2"/>
  <c r="G2824" i="2"/>
  <c r="M2823" i="2"/>
  <c r="J2823" i="2" s="1"/>
  <c r="H2823" i="2"/>
  <c r="G2823" i="2"/>
  <c r="M2822" i="2"/>
  <c r="M2821" i="2"/>
  <c r="J2821" i="2"/>
  <c r="I2821" i="2"/>
  <c r="H2821" i="2"/>
  <c r="G2821" i="2"/>
  <c r="M2820" i="2"/>
  <c r="J2820" i="2" s="1"/>
  <c r="M2819" i="2"/>
  <c r="J2819" i="2" s="1"/>
  <c r="M2818" i="2"/>
  <c r="J2818" i="2" s="1"/>
  <c r="I2818" i="2"/>
  <c r="H2818" i="2"/>
  <c r="G2818" i="2"/>
  <c r="M2817" i="2"/>
  <c r="J2817" i="2"/>
  <c r="I2817" i="2"/>
  <c r="H2817" i="2"/>
  <c r="G2817" i="2"/>
  <c r="M2816" i="2"/>
  <c r="H2816" i="2" s="1"/>
  <c r="J2816" i="2"/>
  <c r="I2816" i="2"/>
  <c r="G2816" i="2"/>
  <c r="M2815" i="2"/>
  <c r="J2815" i="2" s="1"/>
  <c r="I2815" i="2"/>
  <c r="H2815" i="2"/>
  <c r="G2815" i="2"/>
  <c r="M2814" i="2"/>
  <c r="M2813" i="2"/>
  <c r="G2813" i="2" s="1"/>
  <c r="J2813" i="2"/>
  <c r="I2813" i="2"/>
  <c r="H2813" i="2"/>
  <c r="M2812" i="2"/>
  <c r="I2812" i="2" s="1"/>
  <c r="J2812" i="2"/>
  <c r="H2812" i="2"/>
  <c r="G2812" i="2"/>
  <c r="M2811" i="2"/>
  <c r="J2811" i="2" s="1"/>
  <c r="M2810" i="2"/>
  <c r="J2810" i="2"/>
  <c r="I2810" i="2"/>
  <c r="H2810" i="2"/>
  <c r="G2810" i="2"/>
  <c r="M2809" i="2"/>
  <c r="J2809" i="2"/>
  <c r="I2809" i="2"/>
  <c r="H2809" i="2"/>
  <c r="G2809" i="2"/>
  <c r="M2808" i="2"/>
  <c r="H2808" i="2" s="1"/>
  <c r="J2808" i="2"/>
  <c r="I2808" i="2"/>
  <c r="M2807" i="2"/>
  <c r="J2807" i="2" s="1"/>
  <c r="I2807" i="2"/>
  <c r="H2807" i="2"/>
  <c r="G2807" i="2"/>
  <c r="M2806" i="2"/>
  <c r="M2805" i="2"/>
  <c r="G2805" i="2" s="1"/>
  <c r="I2805" i="2"/>
  <c r="H2805" i="2"/>
  <c r="M2804" i="2"/>
  <c r="J2804" i="2" s="1"/>
  <c r="H2804" i="2"/>
  <c r="G2804" i="2"/>
  <c r="M2803" i="2"/>
  <c r="M2802" i="2"/>
  <c r="J2802" i="2"/>
  <c r="I2802" i="2"/>
  <c r="H2802" i="2"/>
  <c r="G2802" i="2"/>
  <c r="M2801" i="2"/>
  <c r="J2801" i="2" s="1"/>
  <c r="I2801" i="2"/>
  <c r="G2801" i="2"/>
  <c r="M2800" i="2"/>
  <c r="H2800" i="2" s="1"/>
  <c r="J2800" i="2"/>
  <c r="I2800" i="2"/>
  <c r="M2799" i="2"/>
  <c r="J2799" i="2" s="1"/>
  <c r="G2799" i="2"/>
  <c r="M2798" i="2"/>
  <c r="M2797" i="2"/>
  <c r="G2797" i="2" s="1"/>
  <c r="I2797" i="2"/>
  <c r="H2797" i="2"/>
  <c r="M2796" i="2"/>
  <c r="J2796" i="2" s="1"/>
  <c r="H2796" i="2"/>
  <c r="G2796" i="2"/>
  <c r="M2795" i="2"/>
  <c r="J2795" i="2" s="1"/>
  <c r="M2794" i="2"/>
  <c r="J2794" i="2"/>
  <c r="I2794" i="2"/>
  <c r="H2794" i="2"/>
  <c r="G2794" i="2"/>
  <c r="M2793" i="2"/>
  <c r="J2793" i="2" s="1"/>
  <c r="I2793" i="2"/>
  <c r="G2793" i="2"/>
  <c r="M2792" i="2"/>
  <c r="H2792" i="2" s="1"/>
  <c r="J2792" i="2"/>
  <c r="I2792" i="2"/>
  <c r="M2791" i="2"/>
  <c r="J2791" i="2" s="1"/>
  <c r="I2791" i="2"/>
  <c r="H2791" i="2"/>
  <c r="G2791" i="2"/>
  <c r="M2790" i="2"/>
  <c r="M2789" i="2"/>
  <c r="G2789" i="2" s="1"/>
  <c r="I2789" i="2"/>
  <c r="H2789" i="2"/>
  <c r="M2788" i="2"/>
  <c r="J2788" i="2" s="1"/>
  <c r="H2788" i="2"/>
  <c r="G2788" i="2"/>
  <c r="M2787" i="2"/>
  <c r="J2787" i="2" s="1"/>
  <c r="M2786" i="2"/>
  <c r="J2786" i="2"/>
  <c r="I2786" i="2"/>
  <c r="H2786" i="2"/>
  <c r="G2786" i="2"/>
  <c r="M2785" i="2"/>
  <c r="J2785" i="2" s="1"/>
  <c r="I2785" i="2"/>
  <c r="G2785" i="2"/>
  <c r="M2784" i="2"/>
  <c r="H2784" i="2" s="1"/>
  <c r="J2784" i="2"/>
  <c r="I2784" i="2"/>
  <c r="M2783" i="2"/>
  <c r="J2783" i="2" s="1"/>
  <c r="H2783" i="2"/>
  <c r="G2783" i="2"/>
  <c r="M2782" i="2"/>
  <c r="M2781" i="2"/>
  <c r="J2781" i="2" s="1"/>
  <c r="I2781" i="2"/>
  <c r="H2781" i="2"/>
  <c r="G2781" i="2"/>
  <c r="M2780" i="2"/>
  <c r="I2780" i="2" s="1"/>
  <c r="J2780" i="2"/>
  <c r="H2780" i="2"/>
  <c r="G2780" i="2"/>
  <c r="M2779" i="2"/>
  <c r="J2779" i="2"/>
  <c r="M2778" i="2"/>
  <c r="J2778" i="2"/>
  <c r="I2778" i="2"/>
  <c r="H2778" i="2"/>
  <c r="G2778" i="2"/>
  <c r="M2777" i="2"/>
  <c r="J2777" i="2" s="1"/>
  <c r="I2777" i="2"/>
  <c r="G2777" i="2"/>
  <c r="M2776" i="2"/>
  <c r="H2776" i="2" s="1"/>
  <c r="J2776" i="2"/>
  <c r="I2776" i="2"/>
  <c r="M2775" i="2"/>
  <c r="J2775" i="2" s="1"/>
  <c r="H2775" i="2"/>
  <c r="G2775" i="2"/>
  <c r="M2774" i="2"/>
  <c r="M2773" i="2"/>
  <c r="G2773" i="2" s="1"/>
  <c r="I2773" i="2"/>
  <c r="H2773" i="2"/>
  <c r="M2772" i="2"/>
  <c r="J2772" i="2" s="1"/>
  <c r="H2772" i="2"/>
  <c r="G2772" i="2"/>
  <c r="M2771" i="2"/>
  <c r="J2771" i="2" s="1"/>
  <c r="M2770" i="2"/>
  <c r="J2770" i="2"/>
  <c r="I2770" i="2"/>
  <c r="H2770" i="2"/>
  <c r="G2770" i="2"/>
  <c r="M2769" i="2"/>
  <c r="J2769" i="2" s="1"/>
  <c r="I2769" i="2"/>
  <c r="G2769" i="2"/>
  <c r="M2768" i="2"/>
  <c r="G2768" i="2" s="1"/>
  <c r="J2768" i="2"/>
  <c r="I2768" i="2"/>
  <c r="H2768" i="2"/>
  <c r="M2767" i="2"/>
  <c r="J2767" i="2" s="1"/>
  <c r="G2767" i="2"/>
  <c r="M2766" i="2"/>
  <c r="M2765" i="2"/>
  <c r="J2765" i="2" s="1"/>
  <c r="I2765" i="2"/>
  <c r="H2765" i="2"/>
  <c r="G2765" i="2"/>
  <c r="M2764" i="2"/>
  <c r="I2764" i="2" s="1"/>
  <c r="J2764" i="2"/>
  <c r="H2764" i="2"/>
  <c r="G2764" i="2"/>
  <c r="M2763" i="2"/>
  <c r="J2763" i="2"/>
  <c r="M2762" i="2"/>
  <c r="J2762" i="2"/>
  <c r="I2762" i="2"/>
  <c r="H2762" i="2"/>
  <c r="G2762" i="2"/>
  <c r="M2761" i="2"/>
  <c r="J2761" i="2" s="1"/>
  <c r="I2761" i="2"/>
  <c r="M2760" i="2"/>
  <c r="G2760" i="2" s="1"/>
  <c r="J2760" i="2"/>
  <c r="I2760" i="2"/>
  <c r="H2760" i="2"/>
  <c r="M2759" i="2"/>
  <c r="J2759" i="2" s="1"/>
  <c r="H2759" i="2"/>
  <c r="G2759" i="2"/>
  <c r="M2758" i="2"/>
  <c r="M2757" i="2"/>
  <c r="J2757" i="2" s="1"/>
  <c r="I2757" i="2"/>
  <c r="H2757" i="2"/>
  <c r="G2757" i="2"/>
  <c r="M2756" i="2"/>
  <c r="I2756" i="2" s="1"/>
  <c r="J2756" i="2"/>
  <c r="H2756" i="2"/>
  <c r="G2756" i="2"/>
  <c r="M2755" i="2"/>
  <c r="M2754" i="2"/>
  <c r="J2754" i="2"/>
  <c r="I2754" i="2"/>
  <c r="H2754" i="2"/>
  <c r="G2754" i="2"/>
  <c r="M2753" i="2"/>
  <c r="J2753" i="2" s="1"/>
  <c r="I2753" i="2"/>
  <c r="G2753" i="2"/>
  <c r="M2752" i="2"/>
  <c r="H2752" i="2" s="1"/>
  <c r="J2752" i="2"/>
  <c r="I2752" i="2"/>
  <c r="M2751" i="2"/>
  <c r="J2751" i="2" s="1"/>
  <c r="I2751" i="2"/>
  <c r="H2751" i="2"/>
  <c r="G2751" i="2"/>
  <c r="M2750" i="2"/>
  <c r="M2749" i="2"/>
  <c r="G2749" i="2" s="1"/>
  <c r="I2749" i="2"/>
  <c r="H2749" i="2"/>
  <c r="M2748" i="2"/>
  <c r="J2748" i="2" s="1"/>
  <c r="H2748" i="2"/>
  <c r="G2748" i="2"/>
  <c r="M2747" i="2"/>
  <c r="M2746" i="2"/>
  <c r="G2746" i="2" s="1"/>
  <c r="J2746" i="2"/>
  <c r="I2746" i="2"/>
  <c r="H2746" i="2"/>
  <c r="M2745" i="2"/>
  <c r="J2745" i="2" s="1"/>
  <c r="G2745" i="2"/>
  <c r="M2744" i="2"/>
  <c r="I2744" i="2" s="1"/>
  <c r="J2744" i="2"/>
  <c r="M2743" i="2"/>
  <c r="J2743" i="2"/>
  <c r="I2743" i="2"/>
  <c r="H2743" i="2"/>
  <c r="G2743" i="2"/>
  <c r="M2742" i="2"/>
  <c r="J2742" i="2"/>
  <c r="I2742" i="2"/>
  <c r="H2742" i="2"/>
  <c r="G2742" i="2"/>
  <c r="M2741" i="2"/>
  <c r="H2741" i="2" s="1"/>
  <c r="I2741" i="2"/>
  <c r="M2740" i="2"/>
  <c r="J2740" i="2" s="1"/>
  <c r="H2740" i="2"/>
  <c r="G2740" i="2"/>
  <c r="M2739" i="2"/>
  <c r="M2738" i="2"/>
  <c r="G2738" i="2" s="1"/>
  <c r="J2738" i="2"/>
  <c r="I2738" i="2"/>
  <c r="H2738" i="2"/>
  <c r="M2737" i="2"/>
  <c r="J2737" i="2" s="1"/>
  <c r="G2737" i="2"/>
  <c r="M2736" i="2"/>
  <c r="I2736" i="2" s="1"/>
  <c r="J2736" i="2"/>
  <c r="M2735" i="2"/>
  <c r="J2735" i="2"/>
  <c r="I2735" i="2"/>
  <c r="H2735" i="2"/>
  <c r="G2735" i="2"/>
  <c r="M2734" i="2"/>
  <c r="J2734" i="2"/>
  <c r="I2734" i="2"/>
  <c r="H2734" i="2"/>
  <c r="G2734" i="2"/>
  <c r="M2733" i="2"/>
  <c r="H2733" i="2" s="1"/>
  <c r="I2733" i="2"/>
  <c r="M2732" i="2"/>
  <c r="J2732" i="2" s="1"/>
  <c r="H2732" i="2"/>
  <c r="G2732" i="2"/>
  <c r="M2731" i="2"/>
  <c r="M2730" i="2"/>
  <c r="G2730" i="2" s="1"/>
  <c r="J2730" i="2"/>
  <c r="I2730" i="2"/>
  <c r="H2730" i="2"/>
  <c r="M2729" i="2"/>
  <c r="J2729" i="2" s="1"/>
  <c r="G2729" i="2"/>
  <c r="M2728" i="2"/>
  <c r="I2728" i="2" s="1"/>
  <c r="J2728" i="2"/>
  <c r="M2727" i="2"/>
  <c r="J2727" i="2"/>
  <c r="I2727" i="2"/>
  <c r="H2727" i="2"/>
  <c r="G2727" i="2"/>
  <c r="M2726" i="2"/>
  <c r="J2726" i="2"/>
  <c r="I2726" i="2"/>
  <c r="H2726" i="2"/>
  <c r="G2726" i="2"/>
  <c r="M2725" i="2"/>
  <c r="H2725" i="2" s="1"/>
  <c r="I2725" i="2"/>
  <c r="M2724" i="2"/>
  <c r="J2724" i="2" s="1"/>
  <c r="H2724" i="2"/>
  <c r="G2724" i="2"/>
  <c r="M2723" i="2"/>
  <c r="M2722" i="2"/>
  <c r="G2722" i="2" s="1"/>
  <c r="J2722" i="2"/>
  <c r="I2722" i="2"/>
  <c r="H2722" i="2"/>
  <c r="M2721" i="2"/>
  <c r="J2721" i="2" s="1"/>
  <c r="G2721" i="2"/>
  <c r="M2720" i="2"/>
  <c r="I2720" i="2" s="1"/>
  <c r="J2720" i="2"/>
  <c r="M2719" i="2"/>
  <c r="J2719" i="2"/>
  <c r="I2719" i="2"/>
  <c r="H2719" i="2"/>
  <c r="G2719" i="2"/>
  <c r="M2718" i="2"/>
  <c r="J2718" i="2"/>
  <c r="I2718" i="2"/>
  <c r="H2718" i="2"/>
  <c r="G2718" i="2"/>
  <c r="M2717" i="2"/>
  <c r="H2717" i="2" s="1"/>
  <c r="I2717" i="2"/>
  <c r="M2716" i="2"/>
  <c r="J2716" i="2" s="1"/>
  <c r="H2716" i="2"/>
  <c r="G2716" i="2"/>
  <c r="M2715" i="2"/>
  <c r="M2714" i="2"/>
  <c r="G2714" i="2" s="1"/>
  <c r="J2714" i="2"/>
  <c r="I2714" i="2"/>
  <c r="H2714" i="2"/>
  <c r="M2713" i="2"/>
  <c r="J2713" i="2" s="1"/>
  <c r="G2713" i="2"/>
  <c r="M2712" i="2"/>
  <c r="I2712" i="2" s="1"/>
  <c r="J2712" i="2"/>
  <c r="M2711" i="2"/>
  <c r="J2711" i="2"/>
  <c r="I2711" i="2"/>
  <c r="H2711" i="2"/>
  <c r="G2711" i="2"/>
  <c r="M2710" i="2"/>
  <c r="J2710" i="2"/>
  <c r="I2710" i="2"/>
  <c r="H2710" i="2"/>
  <c r="G2710" i="2"/>
  <c r="M2709" i="2"/>
  <c r="H2709" i="2" s="1"/>
  <c r="I2709" i="2"/>
  <c r="M2708" i="2"/>
  <c r="J2708" i="2" s="1"/>
  <c r="H2708" i="2"/>
  <c r="G2708" i="2"/>
  <c r="M2707" i="2"/>
  <c r="M2706" i="2"/>
  <c r="G2706" i="2" s="1"/>
  <c r="J2706" i="2"/>
  <c r="I2706" i="2"/>
  <c r="H2706" i="2"/>
  <c r="M2705" i="2"/>
  <c r="J2705" i="2" s="1"/>
  <c r="G2705" i="2"/>
  <c r="M2704" i="2"/>
  <c r="I2704" i="2" s="1"/>
  <c r="J2704" i="2"/>
  <c r="M2703" i="2"/>
  <c r="J2703" i="2"/>
  <c r="I2703" i="2"/>
  <c r="H2703" i="2"/>
  <c r="G2703" i="2"/>
  <c r="M2702" i="2"/>
  <c r="J2702" i="2"/>
  <c r="I2702" i="2"/>
  <c r="H2702" i="2"/>
  <c r="G2702" i="2"/>
  <c r="M2701" i="2"/>
  <c r="H2701" i="2" s="1"/>
  <c r="I2701" i="2"/>
  <c r="M2700" i="2"/>
  <c r="J2700" i="2" s="1"/>
  <c r="H2700" i="2"/>
  <c r="G2700" i="2"/>
  <c r="M2699" i="2"/>
  <c r="M2698" i="2"/>
  <c r="G2698" i="2" s="1"/>
  <c r="J2698" i="2"/>
  <c r="I2698" i="2"/>
  <c r="H2698" i="2"/>
  <c r="M2697" i="2"/>
  <c r="J2697" i="2" s="1"/>
  <c r="G2697" i="2"/>
  <c r="M2696" i="2"/>
  <c r="I2696" i="2" s="1"/>
  <c r="J2696" i="2"/>
  <c r="M2695" i="2"/>
  <c r="J2695" i="2"/>
  <c r="I2695" i="2"/>
  <c r="H2695" i="2"/>
  <c r="G2695" i="2"/>
  <c r="M2694" i="2"/>
  <c r="J2694" i="2"/>
  <c r="I2694" i="2"/>
  <c r="H2694" i="2"/>
  <c r="G2694" i="2"/>
  <c r="M2693" i="2"/>
  <c r="H2693" i="2" s="1"/>
  <c r="I2693" i="2"/>
  <c r="M2692" i="2"/>
  <c r="J2692" i="2" s="1"/>
  <c r="H2692" i="2"/>
  <c r="G2692" i="2"/>
  <c r="M2691" i="2"/>
  <c r="M2690" i="2"/>
  <c r="G2690" i="2" s="1"/>
  <c r="J2690" i="2"/>
  <c r="I2690" i="2"/>
  <c r="H2690" i="2"/>
  <c r="M2689" i="2"/>
  <c r="J2689" i="2" s="1"/>
  <c r="G2689" i="2"/>
  <c r="M2688" i="2"/>
  <c r="I2688" i="2" s="1"/>
  <c r="J2688" i="2"/>
  <c r="M2687" i="2"/>
  <c r="J2687" i="2"/>
  <c r="I2687" i="2"/>
  <c r="H2687" i="2"/>
  <c r="G2687" i="2"/>
  <c r="M2686" i="2"/>
  <c r="J2686" i="2"/>
  <c r="I2686" i="2"/>
  <c r="H2686" i="2"/>
  <c r="G2686" i="2"/>
  <c r="M2685" i="2"/>
  <c r="H2685" i="2" s="1"/>
  <c r="I2685" i="2"/>
  <c r="M2684" i="2"/>
  <c r="J2684" i="2" s="1"/>
  <c r="H2684" i="2"/>
  <c r="G2684" i="2"/>
  <c r="M2683" i="2"/>
  <c r="M2682" i="2"/>
  <c r="G2682" i="2" s="1"/>
  <c r="J2682" i="2"/>
  <c r="I2682" i="2"/>
  <c r="H2682" i="2"/>
  <c r="M2681" i="2"/>
  <c r="J2681" i="2" s="1"/>
  <c r="G2681" i="2"/>
  <c r="M2680" i="2"/>
  <c r="I2680" i="2" s="1"/>
  <c r="J2680" i="2"/>
  <c r="H2680" i="2"/>
  <c r="M2679" i="2"/>
  <c r="J2679" i="2"/>
  <c r="I2679" i="2"/>
  <c r="H2679" i="2"/>
  <c r="G2679" i="2"/>
  <c r="M2678" i="2"/>
  <c r="J2678" i="2"/>
  <c r="I2678" i="2"/>
  <c r="H2678" i="2"/>
  <c r="G2678" i="2"/>
  <c r="M2677" i="2"/>
  <c r="H2677" i="2" s="1"/>
  <c r="I2677" i="2"/>
  <c r="M2676" i="2"/>
  <c r="J2676" i="2" s="1"/>
  <c r="H2676" i="2"/>
  <c r="G2676" i="2"/>
  <c r="M2675" i="2"/>
  <c r="M2674" i="2"/>
  <c r="G2674" i="2" s="1"/>
  <c r="J2674" i="2"/>
  <c r="I2674" i="2"/>
  <c r="H2674" i="2"/>
  <c r="M2673" i="2"/>
  <c r="J2673" i="2" s="1"/>
  <c r="G2673" i="2"/>
  <c r="M2672" i="2"/>
  <c r="I2672" i="2" s="1"/>
  <c r="J2672" i="2"/>
  <c r="H2672" i="2"/>
  <c r="M2671" i="2"/>
  <c r="J2671" i="2"/>
  <c r="I2671" i="2"/>
  <c r="H2671" i="2"/>
  <c r="G2671" i="2"/>
  <c r="M2670" i="2"/>
  <c r="J2670" i="2"/>
  <c r="I2670" i="2"/>
  <c r="H2670" i="2"/>
  <c r="G2670" i="2"/>
  <c r="M2669" i="2"/>
  <c r="H2669" i="2" s="1"/>
  <c r="I2669" i="2"/>
  <c r="M2668" i="2"/>
  <c r="J2668" i="2" s="1"/>
  <c r="H2668" i="2"/>
  <c r="G2668" i="2"/>
  <c r="M2667" i="2"/>
  <c r="M2666" i="2"/>
  <c r="G2666" i="2" s="1"/>
  <c r="J2666" i="2"/>
  <c r="I2666" i="2"/>
  <c r="H2666" i="2"/>
  <c r="M2665" i="2"/>
  <c r="J2665" i="2" s="1"/>
  <c r="G2665" i="2"/>
  <c r="M2664" i="2"/>
  <c r="I2664" i="2" s="1"/>
  <c r="J2664" i="2"/>
  <c r="H2664" i="2"/>
  <c r="M2663" i="2"/>
  <c r="J2663" i="2"/>
  <c r="I2663" i="2"/>
  <c r="H2663" i="2"/>
  <c r="G2663" i="2"/>
  <c r="M2662" i="2"/>
  <c r="J2662" i="2"/>
  <c r="I2662" i="2"/>
  <c r="H2662" i="2"/>
  <c r="G2662" i="2"/>
  <c r="M2661" i="2"/>
  <c r="H2661" i="2" s="1"/>
  <c r="I2661" i="2"/>
  <c r="M2660" i="2"/>
  <c r="J2660" i="2" s="1"/>
  <c r="H2660" i="2"/>
  <c r="G2660" i="2"/>
  <c r="M2659" i="2"/>
  <c r="M2658" i="2"/>
  <c r="G2658" i="2" s="1"/>
  <c r="J2658" i="2"/>
  <c r="I2658" i="2"/>
  <c r="H2658" i="2"/>
  <c r="M2657" i="2"/>
  <c r="J2657" i="2" s="1"/>
  <c r="G2657" i="2"/>
  <c r="M2656" i="2"/>
  <c r="I2656" i="2" s="1"/>
  <c r="J2656" i="2"/>
  <c r="H2656" i="2"/>
  <c r="M2655" i="2"/>
  <c r="J2655" i="2"/>
  <c r="I2655" i="2"/>
  <c r="H2655" i="2"/>
  <c r="G2655" i="2"/>
  <c r="M2654" i="2"/>
  <c r="J2654" i="2"/>
  <c r="I2654" i="2"/>
  <c r="H2654" i="2"/>
  <c r="G2654" i="2"/>
  <c r="M2653" i="2"/>
  <c r="H2653" i="2" s="1"/>
  <c r="I2653" i="2"/>
  <c r="M2652" i="2"/>
  <c r="J2652" i="2" s="1"/>
  <c r="H2652" i="2"/>
  <c r="G2652" i="2"/>
  <c r="M2651" i="2"/>
  <c r="M2650" i="2"/>
  <c r="G2650" i="2" s="1"/>
  <c r="J2650" i="2"/>
  <c r="I2650" i="2"/>
  <c r="H2650" i="2"/>
  <c r="M2649" i="2"/>
  <c r="J2649" i="2" s="1"/>
  <c r="G2649" i="2"/>
  <c r="M2648" i="2"/>
  <c r="I2648" i="2" s="1"/>
  <c r="J2648" i="2"/>
  <c r="H2648" i="2"/>
  <c r="M2647" i="2"/>
  <c r="J2647" i="2"/>
  <c r="I2647" i="2"/>
  <c r="H2647" i="2"/>
  <c r="G2647" i="2"/>
  <c r="M2646" i="2"/>
  <c r="J2646" i="2"/>
  <c r="I2646" i="2"/>
  <c r="H2646" i="2"/>
  <c r="G2646" i="2"/>
  <c r="M2645" i="2"/>
  <c r="H2645" i="2" s="1"/>
  <c r="I2645" i="2"/>
  <c r="M2644" i="2"/>
  <c r="J2644" i="2" s="1"/>
  <c r="H2644" i="2"/>
  <c r="G2644" i="2"/>
  <c r="M2643" i="2"/>
  <c r="M2642" i="2"/>
  <c r="G2642" i="2" s="1"/>
  <c r="J2642" i="2"/>
  <c r="I2642" i="2"/>
  <c r="H2642" i="2"/>
  <c r="M2641" i="2"/>
  <c r="J2641" i="2" s="1"/>
  <c r="G2641" i="2"/>
  <c r="M2640" i="2"/>
  <c r="I2640" i="2" s="1"/>
  <c r="J2640" i="2"/>
  <c r="H2640" i="2"/>
  <c r="M2639" i="2"/>
  <c r="J2639" i="2"/>
  <c r="I2639" i="2"/>
  <c r="H2639" i="2"/>
  <c r="G2639" i="2"/>
  <c r="M2638" i="2"/>
  <c r="J2638" i="2"/>
  <c r="I2638" i="2"/>
  <c r="H2638" i="2"/>
  <c r="G2638" i="2"/>
  <c r="M2637" i="2"/>
  <c r="H2637" i="2" s="1"/>
  <c r="I2637" i="2"/>
  <c r="M2636" i="2"/>
  <c r="J2636" i="2" s="1"/>
  <c r="H2636" i="2"/>
  <c r="G2636" i="2"/>
  <c r="M2635" i="2"/>
  <c r="M2634" i="2"/>
  <c r="G2634" i="2" s="1"/>
  <c r="J2634" i="2"/>
  <c r="I2634" i="2"/>
  <c r="H2634" i="2"/>
  <c r="M2633" i="2"/>
  <c r="J2633" i="2" s="1"/>
  <c r="G2633" i="2"/>
  <c r="M2632" i="2"/>
  <c r="I2632" i="2" s="1"/>
  <c r="J2632" i="2"/>
  <c r="H2632" i="2"/>
  <c r="M2631" i="2"/>
  <c r="J2631" i="2"/>
  <c r="I2631" i="2"/>
  <c r="H2631" i="2"/>
  <c r="G2631" i="2"/>
  <c r="M2630" i="2"/>
  <c r="J2630" i="2"/>
  <c r="I2630" i="2"/>
  <c r="H2630" i="2"/>
  <c r="G2630" i="2"/>
  <c r="M2629" i="2"/>
  <c r="H2629" i="2" s="1"/>
  <c r="I2629" i="2"/>
  <c r="M2628" i="2"/>
  <c r="J2628" i="2" s="1"/>
  <c r="H2628" i="2"/>
  <c r="G2628" i="2"/>
  <c r="M2627" i="2"/>
  <c r="M2626" i="2"/>
  <c r="G2626" i="2" s="1"/>
  <c r="J2626" i="2"/>
  <c r="I2626" i="2"/>
  <c r="H2626" i="2"/>
  <c r="M2625" i="2"/>
  <c r="J2625" i="2" s="1"/>
  <c r="G2625" i="2"/>
  <c r="M2624" i="2"/>
  <c r="I2624" i="2" s="1"/>
  <c r="J2624" i="2"/>
  <c r="H2624" i="2"/>
  <c r="M2623" i="2"/>
  <c r="J2623" i="2"/>
  <c r="I2623" i="2"/>
  <c r="H2623" i="2"/>
  <c r="G2623" i="2"/>
  <c r="M2622" i="2"/>
  <c r="J2622" i="2"/>
  <c r="I2622" i="2"/>
  <c r="H2622" i="2"/>
  <c r="G2622" i="2"/>
  <c r="M2621" i="2"/>
  <c r="H2621" i="2" s="1"/>
  <c r="I2621" i="2"/>
  <c r="M2620" i="2"/>
  <c r="J2620" i="2" s="1"/>
  <c r="H2620" i="2"/>
  <c r="G2620" i="2"/>
  <c r="M2619" i="2"/>
  <c r="M2618" i="2"/>
  <c r="G2618" i="2" s="1"/>
  <c r="J2618" i="2"/>
  <c r="I2618" i="2"/>
  <c r="H2618" i="2"/>
  <c r="M2617" i="2"/>
  <c r="J2617" i="2" s="1"/>
  <c r="G2617" i="2"/>
  <c r="M2616" i="2"/>
  <c r="I2616" i="2" s="1"/>
  <c r="J2616" i="2"/>
  <c r="H2616" i="2"/>
  <c r="M2615" i="2"/>
  <c r="J2615" i="2"/>
  <c r="I2615" i="2"/>
  <c r="H2615" i="2"/>
  <c r="G2615" i="2"/>
  <c r="M2614" i="2"/>
  <c r="J2614" i="2"/>
  <c r="I2614" i="2"/>
  <c r="H2614" i="2"/>
  <c r="G2614" i="2"/>
  <c r="M2613" i="2"/>
  <c r="I2613" i="2"/>
  <c r="M2612" i="2"/>
  <c r="J2612" i="2" s="1"/>
  <c r="H2612" i="2"/>
  <c r="G2612" i="2"/>
  <c r="M2611" i="2"/>
  <c r="M2610" i="2"/>
  <c r="G2610" i="2" s="1"/>
  <c r="J2610" i="2"/>
  <c r="I2610" i="2"/>
  <c r="H2610" i="2"/>
  <c r="M2609" i="2"/>
  <c r="J2609" i="2" s="1"/>
  <c r="G2609" i="2"/>
  <c r="M2608" i="2"/>
  <c r="I2608" i="2" s="1"/>
  <c r="J2608" i="2"/>
  <c r="H2608" i="2"/>
  <c r="M2607" i="2"/>
  <c r="J2607" i="2"/>
  <c r="I2607" i="2"/>
  <c r="H2607" i="2"/>
  <c r="G2607" i="2"/>
  <c r="M2606" i="2"/>
  <c r="J2606" i="2"/>
  <c r="I2606" i="2"/>
  <c r="H2606" i="2"/>
  <c r="G2606" i="2"/>
  <c r="M2605" i="2"/>
  <c r="I2605" i="2"/>
  <c r="M2604" i="2"/>
  <c r="J2604" i="2" s="1"/>
  <c r="H2604" i="2"/>
  <c r="G2604" i="2"/>
  <c r="M2603" i="2"/>
  <c r="M2602" i="2"/>
  <c r="G2602" i="2" s="1"/>
  <c r="J2602" i="2"/>
  <c r="I2602" i="2"/>
  <c r="H2602" i="2"/>
  <c r="M2601" i="2"/>
  <c r="J2601" i="2" s="1"/>
  <c r="G2601" i="2"/>
  <c r="M2600" i="2"/>
  <c r="I2600" i="2" s="1"/>
  <c r="J2600" i="2"/>
  <c r="H2600" i="2"/>
  <c r="M2599" i="2"/>
  <c r="J2599" i="2"/>
  <c r="I2599" i="2"/>
  <c r="H2599" i="2"/>
  <c r="G2599" i="2"/>
  <c r="M2598" i="2"/>
  <c r="J2598" i="2"/>
  <c r="I2598" i="2"/>
  <c r="H2598" i="2"/>
  <c r="G2598" i="2"/>
  <c r="M2597" i="2"/>
  <c r="M2596" i="2"/>
  <c r="J2596" i="2" s="1"/>
  <c r="H2596" i="2"/>
  <c r="G2596" i="2"/>
  <c r="M2595" i="2"/>
  <c r="M2594" i="2"/>
  <c r="G2594" i="2" s="1"/>
  <c r="J2594" i="2"/>
  <c r="I2594" i="2"/>
  <c r="H2594" i="2"/>
  <c r="M2593" i="2"/>
  <c r="J2593" i="2" s="1"/>
  <c r="G2593" i="2"/>
  <c r="M2592" i="2"/>
  <c r="I2592" i="2" s="1"/>
  <c r="J2592" i="2"/>
  <c r="H2592" i="2"/>
  <c r="M2591" i="2"/>
  <c r="J2591" i="2"/>
  <c r="I2591" i="2"/>
  <c r="H2591" i="2"/>
  <c r="G2591" i="2"/>
  <c r="M2590" i="2"/>
  <c r="J2590" i="2"/>
  <c r="I2590" i="2"/>
  <c r="H2590" i="2"/>
  <c r="G2590" i="2"/>
  <c r="M2589" i="2"/>
  <c r="I2589" i="2" s="1"/>
  <c r="M2588" i="2"/>
  <c r="J2588" i="2" s="1"/>
  <c r="I2588" i="2"/>
  <c r="H2588" i="2"/>
  <c r="G2588" i="2"/>
  <c r="M2587" i="2"/>
  <c r="M2586" i="2"/>
  <c r="G2586" i="2" s="1"/>
  <c r="J2586" i="2"/>
  <c r="I2586" i="2"/>
  <c r="H2586" i="2"/>
  <c r="M2585" i="2"/>
  <c r="J2585" i="2" s="1"/>
  <c r="G2585" i="2"/>
  <c r="M2584" i="2"/>
  <c r="I2584" i="2" s="1"/>
  <c r="J2584" i="2"/>
  <c r="H2584" i="2"/>
  <c r="M2583" i="2"/>
  <c r="J2583" i="2"/>
  <c r="I2583" i="2"/>
  <c r="H2583" i="2"/>
  <c r="G2583" i="2"/>
  <c r="M2582" i="2"/>
  <c r="J2582" i="2"/>
  <c r="I2582" i="2"/>
  <c r="H2582" i="2"/>
  <c r="G2582" i="2"/>
  <c r="M2581" i="2"/>
  <c r="I2581" i="2" s="1"/>
  <c r="M2580" i="2"/>
  <c r="J2580" i="2" s="1"/>
  <c r="I2580" i="2"/>
  <c r="H2580" i="2"/>
  <c r="G2580" i="2"/>
  <c r="M2579" i="2"/>
  <c r="M2578" i="2"/>
  <c r="G2578" i="2" s="1"/>
  <c r="J2578" i="2"/>
  <c r="I2578" i="2"/>
  <c r="H2578" i="2"/>
  <c r="M2577" i="2"/>
  <c r="J2577" i="2" s="1"/>
  <c r="G2577" i="2"/>
  <c r="M2576" i="2"/>
  <c r="I2576" i="2" s="1"/>
  <c r="J2576" i="2"/>
  <c r="H2576" i="2"/>
  <c r="M2575" i="2"/>
  <c r="J2575" i="2"/>
  <c r="I2575" i="2"/>
  <c r="H2575" i="2"/>
  <c r="G2575" i="2"/>
  <c r="M2574" i="2"/>
  <c r="J2574" i="2"/>
  <c r="I2574" i="2"/>
  <c r="H2574" i="2"/>
  <c r="G2574" i="2"/>
  <c r="M2573" i="2"/>
  <c r="I2573" i="2"/>
  <c r="M2572" i="2"/>
  <c r="J2572" i="2" s="1"/>
  <c r="I2572" i="2"/>
  <c r="H2572" i="2"/>
  <c r="G2572" i="2"/>
  <c r="M2571" i="2"/>
  <c r="M2570" i="2"/>
  <c r="G2570" i="2" s="1"/>
  <c r="J2570" i="2"/>
  <c r="I2570" i="2"/>
  <c r="H2570" i="2"/>
  <c r="M2569" i="2"/>
  <c r="J2569" i="2" s="1"/>
  <c r="G2569" i="2"/>
  <c r="M2568" i="2"/>
  <c r="I2568" i="2" s="1"/>
  <c r="J2568" i="2"/>
  <c r="H2568" i="2"/>
  <c r="M2567" i="2"/>
  <c r="J2567" i="2"/>
  <c r="I2567" i="2"/>
  <c r="H2567" i="2"/>
  <c r="G2567" i="2"/>
  <c r="M2566" i="2"/>
  <c r="J2566" i="2"/>
  <c r="I2566" i="2"/>
  <c r="H2566" i="2"/>
  <c r="G2566" i="2"/>
  <c r="M2565" i="2"/>
  <c r="I2565" i="2" s="1"/>
  <c r="M2564" i="2"/>
  <c r="J2564" i="2" s="1"/>
  <c r="I2564" i="2"/>
  <c r="H2564" i="2"/>
  <c r="G2564" i="2"/>
  <c r="M2563" i="2"/>
  <c r="M2562" i="2"/>
  <c r="G2562" i="2" s="1"/>
  <c r="J2562" i="2"/>
  <c r="H2562" i="2"/>
  <c r="M2561" i="2"/>
  <c r="J2561" i="2" s="1"/>
  <c r="G2561" i="2"/>
  <c r="M2560" i="2"/>
  <c r="I2560" i="2" s="1"/>
  <c r="J2560" i="2"/>
  <c r="H2560" i="2"/>
  <c r="M2559" i="2"/>
  <c r="J2559" i="2"/>
  <c r="I2559" i="2"/>
  <c r="H2559" i="2"/>
  <c r="G2559" i="2"/>
  <c r="M2558" i="2"/>
  <c r="H2558" i="2" s="1"/>
  <c r="J2558" i="2"/>
  <c r="I2558" i="2"/>
  <c r="G2558" i="2"/>
  <c r="M2557" i="2"/>
  <c r="I2557" i="2" s="1"/>
  <c r="M2556" i="2"/>
  <c r="J2556" i="2" s="1"/>
  <c r="I2556" i="2"/>
  <c r="H2556" i="2"/>
  <c r="G2556" i="2"/>
  <c r="M2555" i="2"/>
  <c r="M2554" i="2"/>
  <c r="G2554" i="2" s="1"/>
  <c r="J2554" i="2"/>
  <c r="H2554" i="2"/>
  <c r="M2553" i="2"/>
  <c r="J2553" i="2" s="1"/>
  <c r="I2553" i="2"/>
  <c r="G2553" i="2"/>
  <c r="M2552" i="2"/>
  <c r="I2552" i="2" s="1"/>
  <c r="J2552" i="2"/>
  <c r="H2552" i="2"/>
  <c r="M2551" i="2"/>
  <c r="J2551" i="2" s="1"/>
  <c r="I2551" i="2"/>
  <c r="G2551" i="2"/>
  <c r="M2550" i="2"/>
  <c r="J2550" i="2"/>
  <c r="I2550" i="2"/>
  <c r="H2550" i="2"/>
  <c r="G2550" i="2"/>
  <c r="M2549" i="2"/>
  <c r="I2549" i="2" s="1"/>
  <c r="M2548" i="2"/>
  <c r="J2548" i="2"/>
  <c r="I2548" i="2"/>
  <c r="H2548" i="2"/>
  <c r="G2548" i="2"/>
  <c r="M2547" i="2"/>
  <c r="M2546" i="2"/>
  <c r="G2546" i="2" s="1"/>
  <c r="J2546" i="2"/>
  <c r="H2546" i="2"/>
  <c r="M2545" i="2"/>
  <c r="J2545" i="2" s="1"/>
  <c r="I2545" i="2"/>
  <c r="G2545" i="2"/>
  <c r="M2544" i="2"/>
  <c r="I2544" i="2" s="1"/>
  <c r="J2544" i="2"/>
  <c r="H2544" i="2"/>
  <c r="M2543" i="2"/>
  <c r="J2543" i="2" s="1"/>
  <c r="I2543" i="2"/>
  <c r="G2543" i="2"/>
  <c r="M2542" i="2"/>
  <c r="J2542" i="2"/>
  <c r="I2542" i="2"/>
  <c r="H2542" i="2"/>
  <c r="G2542" i="2"/>
  <c r="M2541" i="2"/>
  <c r="M2540" i="2"/>
  <c r="J2540" i="2"/>
  <c r="I2540" i="2"/>
  <c r="H2540" i="2"/>
  <c r="G2540" i="2"/>
  <c r="M2539" i="2"/>
  <c r="M2538" i="2"/>
  <c r="G2538" i="2" s="1"/>
  <c r="J2538" i="2"/>
  <c r="H2538" i="2"/>
  <c r="M2537" i="2"/>
  <c r="J2537" i="2" s="1"/>
  <c r="I2537" i="2"/>
  <c r="G2537" i="2"/>
  <c r="M2536" i="2"/>
  <c r="I2536" i="2" s="1"/>
  <c r="J2536" i="2"/>
  <c r="H2536" i="2"/>
  <c r="M2535" i="2"/>
  <c r="J2535" i="2" s="1"/>
  <c r="I2535" i="2"/>
  <c r="G2535" i="2"/>
  <c r="M2534" i="2"/>
  <c r="J2534" i="2"/>
  <c r="I2534" i="2"/>
  <c r="H2534" i="2"/>
  <c r="G2534" i="2"/>
  <c r="M2533" i="2"/>
  <c r="I2533" i="2" s="1"/>
  <c r="M2532" i="2"/>
  <c r="J2532" i="2"/>
  <c r="I2532" i="2"/>
  <c r="H2532" i="2"/>
  <c r="G2532" i="2"/>
  <c r="M2531" i="2"/>
  <c r="M2530" i="2"/>
  <c r="G2530" i="2" s="1"/>
  <c r="J2530" i="2"/>
  <c r="H2530" i="2"/>
  <c r="M2529" i="2"/>
  <c r="J2529" i="2" s="1"/>
  <c r="I2529" i="2"/>
  <c r="H2529" i="2"/>
  <c r="G2529" i="2"/>
  <c r="M2528" i="2"/>
  <c r="I2528" i="2" s="1"/>
  <c r="J2528" i="2"/>
  <c r="H2528" i="2"/>
  <c r="M2527" i="2"/>
  <c r="J2527" i="2" s="1"/>
  <c r="I2527" i="2"/>
  <c r="G2527" i="2"/>
  <c r="M2526" i="2"/>
  <c r="J2526" i="2"/>
  <c r="I2526" i="2"/>
  <c r="H2526" i="2"/>
  <c r="G2526" i="2"/>
  <c r="M2525" i="2"/>
  <c r="I2525" i="2" s="1"/>
  <c r="M2524" i="2"/>
  <c r="J2524" i="2"/>
  <c r="I2524" i="2"/>
  <c r="H2524" i="2"/>
  <c r="G2524" i="2"/>
  <c r="M2523" i="2"/>
  <c r="M2522" i="2"/>
  <c r="G2522" i="2" s="1"/>
  <c r="J2522" i="2"/>
  <c r="H2522" i="2"/>
  <c r="M2521" i="2"/>
  <c r="J2521" i="2" s="1"/>
  <c r="I2521" i="2"/>
  <c r="H2521" i="2"/>
  <c r="G2521" i="2"/>
  <c r="M2520" i="2"/>
  <c r="I2520" i="2" s="1"/>
  <c r="J2520" i="2"/>
  <c r="H2520" i="2"/>
  <c r="M2519" i="2"/>
  <c r="J2519" i="2" s="1"/>
  <c r="I2519" i="2"/>
  <c r="G2519" i="2"/>
  <c r="M2518" i="2"/>
  <c r="J2518" i="2"/>
  <c r="I2518" i="2"/>
  <c r="H2518" i="2"/>
  <c r="G2518" i="2"/>
  <c r="M2517" i="2"/>
  <c r="I2517" i="2"/>
  <c r="M2516" i="2"/>
  <c r="J2516" i="2"/>
  <c r="I2516" i="2"/>
  <c r="H2516" i="2"/>
  <c r="G2516" i="2"/>
  <c r="M2515" i="2"/>
  <c r="M2514" i="2"/>
  <c r="G2514" i="2" s="1"/>
  <c r="J2514" i="2"/>
  <c r="I2514" i="2"/>
  <c r="H2514" i="2"/>
  <c r="M2513" i="2"/>
  <c r="J2513" i="2" s="1"/>
  <c r="I2513" i="2"/>
  <c r="H2513" i="2"/>
  <c r="G2513" i="2"/>
  <c r="M2512" i="2"/>
  <c r="J2512" i="2"/>
  <c r="M2511" i="2"/>
  <c r="J2511" i="2" s="1"/>
  <c r="I2511" i="2"/>
  <c r="H2511" i="2"/>
  <c r="G2511" i="2"/>
  <c r="M2510" i="2"/>
  <c r="J2510" i="2"/>
  <c r="I2510" i="2"/>
  <c r="H2510" i="2"/>
  <c r="G2510" i="2"/>
  <c r="M2509" i="2"/>
  <c r="M2508" i="2"/>
  <c r="J2508" i="2"/>
  <c r="I2508" i="2"/>
  <c r="H2508" i="2"/>
  <c r="G2508" i="2"/>
  <c r="M2507" i="2"/>
  <c r="M2506" i="2"/>
  <c r="G2506" i="2" s="1"/>
  <c r="J2506" i="2"/>
  <c r="I2506" i="2"/>
  <c r="H2506" i="2"/>
  <c r="M2505" i="2"/>
  <c r="J2505" i="2" s="1"/>
  <c r="I2505" i="2"/>
  <c r="H2505" i="2"/>
  <c r="G2505" i="2"/>
  <c r="M2504" i="2"/>
  <c r="J2504" i="2" s="1"/>
  <c r="M2503" i="2"/>
  <c r="J2503" i="2" s="1"/>
  <c r="I2503" i="2"/>
  <c r="H2503" i="2"/>
  <c r="G2503" i="2"/>
  <c r="M2502" i="2"/>
  <c r="J2502" i="2"/>
  <c r="I2502" i="2"/>
  <c r="H2502" i="2"/>
  <c r="G2502" i="2"/>
  <c r="M2501" i="2"/>
  <c r="J2501" i="2" s="1"/>
  <c r="I2501" i="2"/>
  <c r="M2500" i="2"/>
  <c r="J2500" i="2"/>
  <c r="I2500" i="2"/>
  <c r="H2500" i="2"/>
  <c r="G2500" i="2"/>
  <c r="M2499" i="2"/>
  <c r="M2498" i="2"/>
  <c r="G2498" i="2" s="1"/>
  <c r="J2498" i="2"/>
  <c r="I2498" i="2"/>
  <c r="H2498" i="2"/>
  <c r="M2497" i="2"/>
  <c r="J2497" i="2" s="1"/>
  <c r="I2497" i="2"/>
  <c r="H2497" i="2"/>
  <c r="G2497" i="2"/>
  <c r="M2496" i="2"/>
  <c r="J2496" i="2"/>
  <c r="M2495" i="2"/>
  <c r="J2495" i="2" s="1"/>
  <c r="I2495" i="2"/>
  <c r="H2495" i="2"/>
  <c r="G2495" i="2"/>
  <c r="M2494" i="2"/>
  <c r="J2494" i="2"/>
  <c r="I2494" i="2"/>
  <c r="H2494" i="2"/>
  <c r="G2494" i="2"/>
  <c r="M2493" i="2"/>
  <c r="M2492" i="2"/>
  <c r="J2492" i="2"/>
  <c r="I2492" i="2"/>
  <c r="H2492" i="2"/>
  <c r="G2492" i="2"/>
  <c r="M2491" i="2"/>
  <c r="M2490" i="2"/>
  <c r="G2490" i="2" s="1"/>
  <c r="J2490" i="2"/>
  <c r="I2490" i="2"/>
  <c r="H2490" i="2"/>
  <c r="M2489" i="2"/>
  <c r="J2489" i="2" s="1"/>
  <c r="I2489" i="2"/>
  <c r="H2489" i="2"/>
  <c r="G2489" i="2"/>
  <c r="M2488" i="2"/>
  <c r="J2488" i="2" s="1"/>
  <c r="M2487" i="2"/>
  <c r="J2487" i="2" s="1"/>
  <c r="I2487" i="2"/>
  <c r="H2487" i="2"/>
  <c r="G2487" i="2"/>
  <c r="M2486" i="2"/>
  <c r="J2486" i="2"/>
  <c r="I2486" i="2"/>
  <c r="H2486" i="2"/>
  <c r="G2486" i="2"/>
  <c r="M2485" i="2"/>
  <c r="J2485" i="2" s="1"/>
  <c r="M2484" i="2"/>
  <c r="J2484" i="2"/>
  <c r="I2484" i="2"/>
  <c r="H2484" i="2"/>
  <c r="G2484" i="2"/>
  <c r="M2483" i="2"/>
  <c r="G2483" i="2" s="1"/>
  <c r="M2482" i="2"/>
  <c r="G2482" i="2" s="1"/>
  <c r="J2482" i="2"/>
  <c r="I2482" i="2"/>
  <c r="H2482" i="2"/>
  <c r="M2481" i="2"/>
  <c r="J2481" i="2" s="1"/>
  <c r="I2481" i="2"/>
  <c r="H2481" i="2"/>
  <c r="G2481" i="2"/>
  <c r="M2480" i="2"/>
  <c r="J2480" i="2"/>
  <c r="M2479" i="2"/>
  <c r="M2478" i="2"/>
  <c r="J2478" i="2"/>
  <c r="I2478" i="2"/>
  <c r="H2478" i="2"/>
  <c r="G2478" i="2"/>
  <c r="M2477" i="2"/>
  <c r="J2477" i="2" s="1"/>
  <c r="I2477" i="2"/>
  <c r="M2476" i="2"/>
  <c r="J2476" i="2"/>
  <c r="I2476" i="2"/>
  <c r="H2476" i="2"/>
  <c r="G2476" i="2"/>
  <c r="M2475" i="2"/>
  <c r="G2475" i="2" s="1"/>
  <c r="M2474" i="2"/>
  <c r="G2474" i="2" s="1"/>
  <c r="J2474" i="2"/>
  <c r="I2474" i="2"/>
  <c r="H2474" i="2"/>
  <c r="M2473" i="2"/>
  <c r="J2473" i="2" s="1"/>
  <c r="I2473" i="2"/>
  <c r="H2473" i="2"/>
  <c r="G2473" i="2"/>
  <c r="M2472" i="2"/>
  <c r="J2472" i="2"/>
  <c r="M2471" i="2"/>
  <c r="G2471" i="2" s="1"/>
  <c r="J2471" i="2"/>
  <c r="I2471" i="2"/>
  <c r="H2471" i="2"/>
  <c r="M2470" i="2"/>
  <c r="J2470" i="2"/>
  <c r="I2470" i="2"/>
  <c r="H2470" i="2"/>
  <c r="G2470" i="2"/>
  <c r="M2469" i="2"/>
  <c r="J2469" i="2"/>
  <c r="M2468" i="2"/>
  <c r="J2468" i="2"/>
  <c r="I2468" i="2"/>
  <c r="H2468" i="2"/>
  <c r="G2468" i="2"/>
  <c r="M2467" i="2"/>
  <c r="M2466" i="2"/>
  <c r="G2466" i="2" s="1"/>
  <c r="I2466" i="2"/>
  <c r="H2466" i="2"/>
  <c r="M2465" i="2"/>
  <c r="J2465" i="2" s="1"/>
  <c r="I2465" i="2"/>
  <c r="H2465" i="2"/>
  <c r="G2465" i="2"/>
  <c r="M2464" i="2"/>
  <c r="J2464" i="2" s="1"/>
  <c r="H2464" i="2"/>
  <c r="M2463" i="2"/>
  <c r="J2463" i="2" s="1"/>
  <c r="H2463" i="2"/>
  <c r="G2463" i="2"/>
  <c r="M2462" i="2"/>
  <c r="J2462" i="2"/>
  <c r="I2462" i="2"/>
  <c r="H2462" i="2"/>
  <c r="G2462" i="2"/>
  <c r="M2461" i="2"/>
  <c r="H2461" i="2" s="1"/>
  <c r="J2461" i="2"/>
  <c r="I2461" i="2"/>
  <c r="M2460" i="2"/>
  <c r="J2460" i="2"/>
  <c r="I2460" i="2"/>
  <c r="H2460" i="2"/>
  <c r="G2460" i="2"/>
  <c r="M2459" i="2"/>
  <c r="I2459" i="2"/>
  <c r="M2458" i="2"/>
  <c r="G2458" i="2" s="1"/>
  <c r="J2458" i="2"/>
  <c r="I2458" i="2"/>
  <c r="H2458" i="2"/>
  <c r="M2457" i="2"/>
  <c r="J2457" i="2" s="1"/>
  <c r="I2457" i="2"/>
  <c r="H2457" i="2"/>
  <c r="M2456" i="2"/>
  <c r="J2456" i="2"/>
  <c r="H2456" i="2"/>
  <c r="M2455" i="2"/>
  <c r="G2455" i="2" s="1"/>
  <c r="J2455" i="2"/>
  <c r="I2455" i="2"/>
  <c r="H2455" i="2"/>
  <c r="M2454" i="2"/>
  <c r="J2454" i="2"/>
  <c r="I2454" i="2"/>
  <c r="H2454" i="2"/>
  <c r="G2454" i="2"/>
  <c r="M2453" i="2"/>
  <c r="M2452" i="2"/>
  <c r="J2452" i="2"/>
  <c r="I2452" i="2"/>
  <c r="H2452" i="2"/>
  <c r="G2452" i="2"/>
  <c r="M2451" i="2"/>
  <c r="M2450" i="2"/>
  <c r="G2450" i="2" s="1"/>
  <c r="J2450" i="2"/>
  <c r="I2450" i="2"/>
  <c r="H2450" i="2"/>
  <c r="M2449" i="2"/>
  <c r="I2449" i="2" s="1"/>
  <c r="M2448" i="2"/>
  <c r="J2448" i="2"/>
  <c r="H2448" i="2"/>
  <c r="M2447" i="2"/>
  <c r="H2447" i="2" s="1"/>
  <c r="J2447" i="2"/>
  <c r="I2447" i="2"/>
  <c r="M2446" i="2"/>
  <c r="J2446" i="2"/>
  <c r="I2446" i="2"/>
  <c r="H2446" i="2"/>
  <c r="G2446" i="2"/>
  <c r="M2445" i="2"/>
  <c r="M2444" i="2"/>
  <c r="J2444" i="2"/>
  <c r="I2444" i="2"/>
  <c r="H2444" i="2"/>
  <c r="G2444" i="2"/>
  <c r="M2443" i="2"/>
  <c r="I2443" i="2" s="1"/>
  <c r="G2443" i="2"/>
  <c r="M2442" i="2"/>
  <c r="G2442" i="2" s="1"/>
  <c r="H2442" i="2"/>
  <c r="M2441" i="2"/>
  <c r="M2440" i="2"/>
  <c r="I2440" i="2" s="1"/>
  <c r="J2440" i="2"/>
  <c r="H2440" i="2"/>
  <c r="G2440" i="2"/>
  <c r="M2439" i="2"/>
  <c r="J2439" i="2" s="1"/>
  <c r="I2439" i="2"/>
  <c r="H2439" i="2"/>
  <c r="G2439" i="2"/>
  <c r="M2438" i="2"/>
  <c r="J2438" i="2"/>
  <c r="I2438" i="2"/>
  <c r="H2438" i="2"/>
  <c r="G2438" i="2"/>
  <c r="M2437" i="2"/>
  <c r="H2437" i="2" s="1"/>
  <c r="J2437" i="2"/>
  <c r="I2437" i="2"/>
  <c r="G2437" i="2"/>
  <c r="M2436" i="2"/>
  <c r="J2436" i="2"/>
  <c r="M2435" i="2"/>
  <c r="J2435" i="2" s="1"/>
  <c r="G2435" i="2"/>
  <c r="M2434" i="2"/>
  <c r="M2433" i="2"/>
  <c r="J2433" i="2" s="1"/>
  <c r="H2433" i="2"/>
  <c r="G2433" i="2"/>
  <c r="M2432" i="2"/>
  <c r="I2432" i="2" s="1"/>
  <c r="H2432" i="2"/>
  <c r="G2432" i="2"/>
  <c r="M2431" i="2"/>
  <c r="G2431" i="2" s="1"/>
  <c r="J2431" i="2"/>
  <c r="I2431" i="2"/>
  <c r="H2431" i="2"/>
  <c r="M2430" i="2"/>
  <c r="J2430" i="2"/>
  <c r="I2430" i="2"/>
  <c r="H2430" i="2"/>
  <c r="G2430" i="2"/>
  <c r="M2429" i="2"/>
  <c r="J2429" i="2"/>
  <c r="M2428" i="2"/>
  <c r="J2428" i="2"/>
  <c r="I2428" i="2"/>
  <c r="H2428" i="2"/>
  <c r="G2428" i="2"/>
  <c r="M2427" i="2"/>
  <c r="M2426" i="2"/>
  <c r="G2426" i="2" s="1"/>
  <c r="H2426" i="2"/>
  <c r="M2425" i="2"/>
  <c r="M2424" i="2"/>
  <c r="G2424" i="2" s="1"/>
  <c r="J2424" i="2"/>
  <c r="I2424" i="2"/>
  <c r="H2424" i="2"/>
  <c r="M2423" i="2"/>
  <c r="J2423" i="2"/>
  <c r="I2423" i="2"/>
  <c r="H2423" i="2"/>
  <c r="G2423" i="2"/>
  <c r="M2422" i="2"/>
  <c r="J2422" i="2"/>
  <c r="M2421" i="2"/>
  <c r="J2421" i="2" s="1"/>
  <c r="H2421" i="2"/>
  <c r="G2421" i="2"/>
  <c r="M2420" i="2"/>
  <c r="J2420" i="2" s="1"/>
  <c r="I2420" i="2"/>
  <c r="H2420" i="2"/>
  <c r="G2420" i="2"/>
  <c r="M2419" i="2"/>
  <c r="H2419" i="2" s="1"/>
  <c r="J2419" i="2"/>
  <c r="I2419" i="2"/>
  <c r="M2418" i="2"/>
  <c r="I2418" i="2" s="1"/>
  <c r="J2418" i="2"/>
  <c r="H2418" i="2"/>
  <c r="G2418" i="2"/>
  <c r="M2417" i="2"/>
  <c r="M2416" i="2"/>
  <c r="G2416" i="2" s="1"/>
  <c r="J2416" i="2"/>
  <c r="I2416" i="2"/>
  <c r="H2416" i="2"/>
  <c r="M2415" i="2"/>
  <c r="J2415" i="2"/>
  <c r="I2415" i="2"/>
  <c r="H2415" i="2"/>
  <c r="G2415" i="2"/>
  <c r="M2414" i="2"/>
  <c r="J2414" i="2"/>
  <c r="M2413" i="2"/>
  <c r="J2413" i="2" s="1"/>
  <c r="H2413" i="2"/>
  <c r="G2413" i="2"/>
  <c r="M2412" i="2"/>
  <c r="J2412" i="2" s="1"/>
  <c r="I2412" i="2"/>
  <c r="H2412" i="2"/>
  <c r="G2412" i="2"/>
  <c r="M2411" i="2"/>
  <c r="H2411" i="2" s="1"/>
  <c r="J2411" i="2"/>
  <c r="I2411" i="2"/>
  <c r="M2410" i="2"/>
  <c r="I2410" i="2" s="1"/>
  <c r="J2410" i="2"/>
  <c r="H2410" i="2"/>
  <c r="G2410" i="2"/>
  <c r="M2409" i="2"/>
  <c r="M2408" i="2"/>
  <c r="G2408" i="2" s="1"/>
  <c r="J2408" i="2"/>
  <c r="I2408" i="2"/>
  <c r="H2408" i="2"/>
  <c r="M2407" i="2"/>
  <c r="J2407" i="2"/>
  <c r="I2407" i="2"/>
  <c r="H2407" i="2"/>
  <c r="G2407" i="2"/>
  <c r="M2406" i="2"/>
  <c r="J2406" i="2"/>
  <c r="M2405" i="2"/>
  <c r="J2405" i="2" s="1"/>
  <c r="H2405" i="2"/>
  <c r="G2405" i="2"/>
  <c r="M2404" i="2"/>
  <c r="J2404" i="2" s="1"/>
  <c r="I2404" i="2"/>
  <c r="H2404" i="2"/>
  <c r="G2404" i="2"/>
  <c r="M2403" i="2"/>
  <c r="H2403" i="2" s="1"/>
  <c r="J2403" i="2"/>
  <c r="I2403" i="2"/>
  <c r="M2402" i="2"/>
  <c r="I2402" i="2" s="1"/>
  <c r="J2402" i="2"/>
  <c r="H2402" i="2"/>
  <c r="G2402" i="2"/>
  <c r="M2401" i="2"/>
  <c r="M2400" i="2"/>
  <c r="G2400" i="2" s="1"/>
  <c r="J2400" i="2"/>
  <c r="I2400" i="2"/>
  <c r="H2400" i="2"/>
  <c r="M2399" i="2"/>
  <c r="J2399" i="2"/>
  <c r="I2399" i="2"/>
  <c r="H2399" i="2"/>
  <c r="G2399" i="2"/>
  <c r="M2398" i="2"/>
  <c r="J2398" i="2"/>
  <c r="M2397" i="2"/>
  <c r="J2397" i="2" s="1"/>
  <c r="H2397" i="2"/>
  <c r="G2397" i="2"/>
  <c r="M2396" i="2"/>
  <c r="J2396" i="2" s="1"/>
  <c r="I2396" i="2"/>
  <c r="H2396" i="2"/>
  <c r="G2396" i="2"/>
  <c r="M2395" i="2"/>
  <c r="H2395" i="2" s="1"/>
  <c r="J2395" i="2"/>
  <c r="I2395" i="2"/>
  <c r="M2394" i="2"/>
  <c r="I2394" i="2" s="1"/>
  <c r="J2394" i="2"/>
  <c r="H2394" i="2"/>
  <c r="G2394" i="2"/>
  <c r="M2393" i="2"/>
  <c r="M2392" i="2"/>
  <c r="G2392" i="2" s="1"/>
  <c r="J2392" i="2"/>
  <c r="I2392" i="2"/>
  <c r="H2392" i="2"/>
  <c r="M2391" i="2"/>
  <c r="J2391" i="2"/>
  <c r="I2391" i="2"/>
  <c r="H2391" i="2"/>
  <c r="G2391" i="2"/>
  <c r="M2390" i="2"/>
  <c r="J2390" i="2"/>
  <c r="M2389" i="2"/>
  <c r="J2389" i="2" s="1"/>
  <c r="H2389" i="2"/>
  <c r="G2389" i="2"/>
  <c r="M2388" i="2"/>
  <c r="J2388" i="2" s="1"/>
  <c r="I2388" i="2"/>
  <c r="H2388" i="2"/>
  <c r="G2388" i="2"/>
  <c r="M2387" i="2"/>
  <c r="H2387" i="2" s="1"/>
  <c r="J2387" i="2"/>
  <c r="I2387" i="2"/>
  <c r="M2386" i="2"/>
  <c r="I2386" i="2" s="1"/>
  <c r="J2386" i="2"/>
  <c r="H2386" i="2"/>
  <c r="G2386" i="2"/>
  <c r="M2385" i="2"/>
  <c r="M2384" i="2"/>
  <c r="G2384" i="2" s="1"/>
  <c r="J2384" i="2"/>
  <c r="I2384" i="2"/>
  <c r="H2384" i="2"/>
  <c r="M2383" i="2"/>
  <c r="J2383" i="2"/>
  <c r="I2383" i="2"/>
  <c r="H2383" i="2"/>
  <c r="G2383" i="2"/>
  <c r="M2382" i="2"/>
  <c r="J2382" i="2"/>
  <c r="M2381" i="2"/>
  <c r="J2381" i="2" s="1"/>
  <c r="H2381" i="2"/>
  <c r="G2381" i="2"/>
  <c r="M2380" i="2"/>
  <c r="J2380" i="2" s="1"/>
  <c r="I2380" i="2"/>
  <c r="H2380" i="2"/>
  <c r="G2380" i="2"/>
  <c r="M2379" i="2"/>
  <c r="H2379" i="2" s="1"/>
  <c r="J2379" i="2"/>
  <c r="I2379" i="2"/>
  <c r="M2378" i="2"/>
  <c r="I2378" i="2" s="1"/>
  <c r="J2378" i="2"/>
  <c r="H2378" i="2"/>
  <c r="G2378" i="2"/>
  <c r="M2377" i="2"/>
  <c r="M2376" i="2"/>
  <c r="G2376" i="2" s="1"/>
  <c r="J2376" i="2"/>
  <c r="I2376" i="2"/>
  <c r="H2376" i="2"/>
  <c r="M2375" i="2"/>
  <c r="J2375" i="2"/>
  <c r="I2375" i="2"/>
  <c r="H2375" i="2"/>
  <c r="G2375" i="2"/>
  <c r="M2374" i="2"/>
  <c r="J2374" i="2"/>
  <c r="M2373" i="2"/>
  <c r="J2373" i="2" s="1"/>
  <c r="H2373" i="2"/>
  <c r="G2373" i="2"/>
  <c r="M2372" i="2"/>
  <c r="J2372" i="2" s="1"/>
  <c r="I2372" i="2"/>
  <c r="H2372" i="2"/>
  <c r="G2372" i="2"/>
  <c r="M2371" i="2"/>
  <c r="H2371" i="2" s="1"/>
  <c r="J2371" i="2"/>
  <c r="I2371" i="2"/>
  <c r="M2370" i="2"/>
  <c r="I2370" i="2" s="1"/>
  <c r="J2370" i="2"/>
  <c r="H2370" i="2"/>
  <c r="G2370" i="2"/>
  <c r="M2369" i="2"/>
  <c r="M2368" i="2"/>
  <c r="G2368" i="2" s="1"/>
  <c r="J2368" i="2"/>
  <c r="I2368" i="2"/>
  <c r="H2368" i="2"/>
  <c r="M2367" i="2"/>
  <c r="J2367" i="2"/>
  <c r="I2367" i="2"/>
  <c r="H2367" i="2"/>
  <c r="G2367" i="2"/>
  <c r="M2366" i="2"/>
  <c r="J2366" i="2"/>
  <c r="M2365" i="2"/>
  <c r="J2365" i="2" s="1"/>
  <c r="H2365" i="2"/>
  <c r="G2365" i="2"/>
  <c r="M2364" i="2"/>
  <c r="J2364" i="2" s="1"/>
  <c r="I2364" i="2"/>
  <c r="H2364" i="2"/>
  <c r="G2364" i="2"/>
  <c r="M2363" i="2"/>
  <c r="H2363" i="2" s="1"/>
  <c r="J2363" i="2"/>
  <c r="I2363" i="2"/>
  <c r="M2362" i="2"/>
  <c r="I2362" i="2" s="1"/>
  <c r="J2362" i="2"/>
  <c r="H2362" i="2"/>
  <c r="G2362" i="2"/>
  <c r="M2361" i="2"/>
  <c r="M2360" i="2"/>
  <c r="G2360" i="2" s="1"/>
  <c r="J2360" i="2"/>
  <c r="I2360" i="2"/>
  <c r="H2360" i="2"/>
  <c r="M2359" i="2"/>
  <c r="J2359" i="2"/>
  <c r="I2359" i="2"/>
  <c r="H2359" i="2"/>
  <c r="G2359" i="2"/>
  <c r="M2358" i="2"/>
  <c r="J2358" i="2"/>
  <c r="M2357" i="2"/>
  <c r="J2357" i="2" s="1"/>
  <c r="H2357" i="2"/>
  <c r="G2357" i="2"/>
  <c r="M2356" i="2"/>
  <c r="J2356" i="2" s="1"/>
  <c r="I2356" i="2"/>
  <c r="H2356" i="2"/>
  <c r="G2356" i="2"/>
  <c r="M2355" i="2"/>
  <c r="H2355" i="2" s="1"/>
  <c r="J2355" i="2"/>
  <c r="I2355" i="2"/>
  <c r="M2354" i="2"/>
  <c r="I2354" i="2" s="1"/>
  <c r="J2354" i="2"/>
  <c r="H2354" i="2"/>
  <c r="G2354" i="2"/>
  <c r="M2353" i="2"/>
  <c r="M2352" i="2"/>
  <c r="G2352" i="2" s="1"/>
  <c r="J2352" i="2"/>
  <c r="I2352" i="2"/>
  <c r="H2352" i="2"/>
  <c r="M2351" i="2"/>
  <c r="J2351" i="2"/>
  <c r="I2351" i="2"/>
  <c r="H2351" i="2"/>
  <c r="G2351" i="2"/>
  <c r="M2350" i="2"/>
  <c r="J2350" i="2"/>
  <c r="M2349" i="2"/>
  <c r="J2349" i="2" s="1"/>
  <c r="H2349" i="2"/>
  <c r="G2349" i="2"/>
  <c r="M2348" i="2"/>
  <c r="J2348" i="2" s="1"/>
  <c r="I2348" i="2"/>
  <c r="H2348" i="2"/>
  <c r="G2348" i="2"/>
  <c r="M2347" i="2"/>
  <c r="H2347" i="2" s="1"/>
  <c r="J2347" i="2"/>
  <c r="I2347" i="2"/>
  <c r="M2346" i="2"/>
  <c r="I2346" i="2" s="1"/>
  <c r="J2346" i="2"/>
  <c r="H2346" i="2"/>
  <c r="G2346" i="2"/>
  <c r="M2345" i="2"/>
  <c r="M2344" i="2"/>
  <c r="G2344" i="2" s="1"/>
  <c r="J2344" i="2"/>
  <c r="I2344" i="2"/>
  <c r="H2344" i="2"/>
  <c r="M2343" i="2"/>
  <c r="J2343" i="2"/>
  <c r="I2343" i="2"/>
  <c r="H2343" i="2"/>
  <c r="G2343" i="2"/>
  <c r="M2342" i="2"/>
  <c r="J2342" i="2"/>
  <c r="M2341" i="2"/>
  <c r="J2341" i="2" s="1"/>
  <c r="H2341" i="2"/>
  <c r="G2341" i="2"/>
  <c r="M2340" i="2"/>
  <c r="J2340" i="2" s="1"/>
  <c r="I2340" i="2"/>
  <c r="H2340" i="2"/>
  <c r="G2340" i="2"/>
  <c r="M2339" i="2"/>
  <c r="H2339" i="2" s="1"/>
  <c r="J2339" i="2"/>
  <c r="I2339" i="2"/>
  <c r="M2338" i="2"/>
  <c r="I2338" i="2" s="1"/>
  <c r="J2338" i="2"/>
  <c r="H2338" i="2"/>
  <c r="G2338" i="2"/>
  <c r="M2337" i="2"/>
  <c r="M2336" i="2"/>
  <c r="G2336" i="2" s="1"/>
  <c r="J2336" i="2"/>
  <c r="I2336" i="2"/>
  <c r="H2336" i="2"/>
  <c r="M2335" i="2"/>
  <c r="J2335" i="2"/>
  <c r="I2335" i="2"/>
  <c r="H2335" i="2"/>
  <c r="G2335" i="2"/>
  <c r="M2334" i="2"/>
  <c r="J2334" i="2"/>
  <c r="M2333" i="2"/>
  <c r="J2333" i="2" s="1"/>
  <c r="H2333" i="2"/>
  <c r="G2333" i="2"/>
  <c r="M2332" i="2"/>
  <c r="J2332" i="2" s="1"/>
  <c r="I2332" i="2"/>
  <c r="H2332" i="2"/>
  <c r="G2332" i="2"/>
  <c r="M2331" i="2"/>
  <c r="H2331" i="2" s="1"/>
  <c r="J2331" i="2"/>
  <c r="I2331" i="2"/>
  <c r="M2330" i="2"/>
  <c r="I2330" i="2" s="1"/>
  <c r="J2330" i="2"/>
  <c r="H2330" i="2"/>
  <c r="G2330" i="2"/>
  <c r="M2329" i="2"/>
  <c r="M2328" i="2"/>
  <c r="G2328" i="2" s="1"/>
  <c r="J2328" i="2"/>
  <c r="I2328" i="2"/>
  <c r="H2328" i="2"/>
  <c r="M2327" i="2"/>
  <c r="J2327" i="2"/>
  <c r="I2327" i="2"/>
  <c r="H2327" i="2"/>
  <c r="G2327" i="2"/>
  <c r="M2326" i="2"/>
  <c r="J2326" i="2"/>
  <c r="M2325" i="2"/>
  <c r="J2325" i="2" s="1"/>
  <c r="H2325" i="2"/>
  <c r="G2325" i="2"/>
  <c r="M2324" i="2"/>
  <c r="J2324" i="2" s="1"/>
  <c r="I2324" i="2"/>
  <c r="H2324" i="2"/>
  <c r="G2324" i="2"/>
  <c r="M2323" i="2"/>
  <c r="H2323" i="2" s="1"/>
  <c r="J2323" i="2"/>
  <c r="I2323" i="2"/>
  <c r="M2322" i="2"/>
  <c r="I2322" i="2" s="1"/>
  <c r="J2322" i="2"/>
  <c r="H2322" i="2"/>
  <c r="G2322" i="2"/>
  <c r="M2321" i="2"/>
  <c r="M2320" i="2"/>
  <c r="G2320" i="2" s="1"/>
  <c r="J2320" i="2"/>
  <c r="I2320" i="2"/>
  <c r="H2320" i="2"/>
  <c r="M2319" i="2"/>
  <c r="J2319" i="2"/>
  <c r="I2319" i="2"/>
  <c r="H2319" i="2"/>
  <c r="G2319" i="2"/>
  <c r="M2318" i="2"/>
  <c r="J2318" i="2"/>
  <c r="M2317" i="2"/>
  <c r="J2317" i="2" s="1"/>
  <c r="H2317" i="2"/>
  <c r="G2317" i="2"/>
  <c r="M2316" i="2"/>
  <c r="J2316" i="2" s="1"/>
  <c r="I2316" i="2"/>
  <c r="H2316" i="2"/>
  <c r="G2316" i="2"/>
  <c r="M2315" i="2"/>
  <c r="H2315" i="2" s="1"/>
  <c r="J2315" i="2"/>
  <c r="I2315" i="2"/>
  <c r="M2314" i="2"/>
  <c r="I2314" i="2" s="1"/>
  <c r="J2314" i="2"/>
  <c r="H2314" i="2"/>
  <c r="G2314" i="2"/>
  <c r="M2313" i="2"/>
  <c r="M2312" i="2"/>
  <c r="G2312" i="2" s="1"/>
  <c r="J2312" i="2"/>
  <c r="I2312" i="2"/>
  <c r="H2312" i="2"/>
  <c r="M2311" i="2"/>
  <c r="J2311" i="2"/>
  <c r="I2311" i="2"/>
  <c r="H2311" i="2"/>
  <c r="G2311" i="2"/>
  <c r="M2310" i="2"/>
  <c r="J2310" i="2"/>
  <c r="M2309" i="2"/>
  <c r="J2309" i="2" s="1"/>
  <c r="H2309" i="2"/>
  <c r="G2309" i="2"/>
  <c r="M2308" i="2"/>
  <c r="J2308" i="2" s="1"/>
  <c r="I2308" i="2"/>
  <c r="H2308" i="2"/>
  <c r="G2308" i="2"/>
  <c r="M2307" i="2"/>
  <c r="H2307" i="2" s="1"/>
  <c r="J2307" i="2"/>
  <c r="I2307" i="2"/>
  <c r="M2306" i="2"/>
  <c r="I2306" i="2" s="1"/>
  <c r="J2306" i="2"/>
  <c r="H2306" i="2"/>
  <c r="G2306" i="2"/>
  <c r="M2305" i="2"/>
  <c r="M2304" i="2"/>
  <c r="G2304" i="2" s="1"/>
  <c r="J2304" i="2"/>
  <c r="I2304" i="2"/>
  <c r="H2304" i="2"/>
  <c r="M2303" i="2"/>
  <c r="J2303" i="2"/>
  <c r="I2303" i="2"/>
  <c r="H2303" i="2"/>
  <c r="G2303" i="2"/>
  <c r="M2302" i="2"/>
  <c r="J2302" i="2"/>
  <c r="M2301" i="2"/>
  <c r="J2301" i="2" s="1"/>
  <c r="H2301" i="2"/>
  <c r="G2301" i="2"/>
  <c r="M2300" i="2"/>
  <c r="J2300" i="2" s="1"/>
  <c r="I2300" i="2"/>
  <c r="H2300" i="2"/>
  <c r="G2300" i="2"/>
  <c r="M2299" i="2"/>
  <c r="H2299" i="2" s="1"/>
  <c r="J2299" i="2"/>
  <c r="I2299" i="2"/>
  <c r="M2298" i="2"/>
  <c r="I2298" i="2" s="1"/>
  <c r="J2298" i="2"/>
  <c r="H2298" i="2"/>
  <c r="G2298" i="2"/>
  <c r="M2297" i="2"/>
  <c r="M2296" i="2"/>
  <c r="G2296" i="2" s="1"/>
  <c r="J2296" i="2"/>
  <c r="I2296" i="2"/>
  <c r="H2296" i="2"/>
  <c r="M2295" i="2"/>
  <c r="J2295" i="2"/>
  <c r="I2295" i="2"/>
  <c r="H2295" i="2"/>
  <c r="G2295" i="2"/>
  <c r="M2294" i="2"/>
  <c r="J2294" i="2"/>
  <c r="M2293" i="2"/>
  <c r="J2293" i="2" s="1"/>
  <c r="H2293" i="2"/>
  <c r="G2293" i="2"/>
  <c r="M2292" i="2"/>
  <c r="J2292" i="2" s="1"/>
  <c r="I2292" i="2"/>
  <c r="H2292" i="2"/>
  <c r="G2292" i="2"/>
  <c r="M2291" i="2"/>
  <c r="H2291" i="2" s="1"/>
  <c r="J2291" i="2"/>
  <c r="I2291" i="2"/>
  <c r="M2290" i="2"/>
  <c r="I2290" i="2" s="1"/>
  <c r="J2290" i="2"/>
  <c r="H2290" i="2"/>
  <c r="G2290" i="2"/>
  <c r="M2289" i="2"/>
  <c r="M2288" i="2"/>
  <c r="G2288" i="2" s="1"/>
  <c r="J2288" i="2"/>
  <c r="I2288" i="2"/>
  <c r="H2288" i="2"/>
  <c r="M2287" i="2"/>
  <c r="J2287" i="2"/>
  <c r="I2287" i="2"/>
  <c r="H2287" i="2"/>
  <c r="G2287" i="2"/>
  <c r="M2286" i="2"/>
  <c r="J2286" i="2"/>
  <c r="M2285" i="2"/>
  <c r="J2285" i="2" s="1"/>
  <c r="H2285" i="2"/>
  <c r="G2285" i="2"/>
  <c r="M2284" i="2"/>
  <c r="J2284" i="2" s="1"/>
  <c r="I2284" i="2"/>
  <c r="H2284" i="2"/>
  <c r="G2284" i="2"/>
  <c r="M2283" i="2"/>
  <c r="H2283" i="2" s="1"/>
  <c r="J2283" i="2"/>
  <c r="I2283" i="2"/>
  <c r="M2282" i="2"/>
  <c r="I2282" i="2" s="1"/>
  <c r="J2282" i="2"/>
  <c r="H2282" i="2"/>
  <c r="G2282" i="2"/>
  <c r="M2281" i="2"/>
  <c r="M2280" i="2"/>
  <c r="G2280" i="2" s="1"/>
  <c r="J2280" i="2"/>
  <c r="I2280" i="2"/>
  <c r="H2280" i="2"/>
  <c r="M2279" i="2"/>
  <c r="J2279" i="2"/>
  <c r="I2279" i="2"/>
  <c r="H2279" i="2"/>
  <c r="G2279" i="2"/>
  <c r="M2278" i="2"/>
  <c r="J2278" i="2"/>
  <c r="M2277" i="2"/>
  <c r="I2277" i="2" s="1"/>
  <c r="J2277" i="2"/>
  <c r="H2277" i="2"/>
  <c r="G2277" i="2"/>
  <c r="M2276" i="2"/>
  <c r="J2276" i="2" s="1"/>
  <c r="I2276" i="2"/>
  <c r="H2276" i="2"/>
  <c r="G2276" i="2"/>
  <c r="M2275" i="2"/>
  <c r="H2275" i="2" s="1"/>
  <c r="J2275" i="2"/>
  <c r="I2275" i="2"/>
  <c r="M2274" i="2"/>
  <c r="J2274" i="2"/>
  <c r="I2274" i="2"/>
  <c r="H2274" i="2"/>
  <c r="G2274" i="2"/>
  <c r="M2273" i="2"/>
  <c r="M2272" i="2"/>
  <c r="G2272" i="2" s="1"/>
  <c r="I2272" i="2"/>
  <c r="H2272" i="2"/>
  <c r="M2271" i="2"/>
  <c r="J2271" i="2"/>
  <c r="I2271" i="2"/>
  <c r="H2271" i="2"/>
  <c r="G2271" i="2"/>
  <c r="M2270" i="2"/>
  <c r="J2270" i="2" s="1"/>
  <c r="M2269" i="2"/>
  <c r="I2269" i="2" s="1"/>
  <c r="J2269" i="2"/>
  <c r="H2269" i="2"/>
  <c r="G2269" i="2"/>
  <c r="M2268" i="2"/>
  <c r="J2268" i="2" s="1"/>
  <c r="I2268" i="2"/>
  <c r="H2268" i="2"/>
  <c r="G2268" i="2"/>
  <c r="M2267" i="2"/>
  <c r="H2267" i="2" s="1"/>
  <c r="J2267" i="2"/>
  <c r="I2267" i="2"/>
  <c r="M2266" i="2"/>
  <c r="J2266" i="2"/>
  <c r="I2266" i="2"/>
  <c r="H2266" i="2"/>
  <c r="G2266" i="2"/>
  <c r="M2265" i="2"/>
  <c r="M2264" i="2"/>
  <c r="G2264" i="2" s="1"/>
  <c r="I2264" i="2"/>
  <c r="H2264" i="2"/>
  <c r="M2263" i="2"/>
  <c r="J2263" i="2"/>
  <c r="I2263" i="2"/>
  <c r="H2263" i="2"/>
  <c r="G2263" i="2"/>
  <c r="M2262" i="2"/>
  <c r="M2261" i="2"/>
  <c r="I2261" i="2" s="1"/>
  <c r="J2261" i="2"/>
  <c r="H2261" i="2"/>
  <c r="G2261" i="2"/>
  <c r="M2260" i="2"/>
  <c r="J2260" i="2"/>
  <c r="I2260" i="2"/>
  <c r="H2260" i="2"/>
  <c r="G2260" i="2"/>
  <c r="M2259" i="2"/>
  <c r="H2259" i="2" s="1"/>
  <c r="J2259" i="2"/>
  <c r="I2259" i="2"/>
  <c r="M2258" i="2"/>
  <c r="J2258" i="2"/>
  <c r="I2258" i="2"/>
  <c r="H2258" i="2"/>
  <c r="G2258" i="2"/>
  <c r="M2257" i="2"/>
  <c r="M2256" i="2"/>
  <c r="G2256" i="2" s="1"/>
  <c r="I2256" i="2"/>
  <c r="H2256" i="2"/>
  <c r="M2255" i="2"/>
  <c r="J2255" i="2"/>
  <c r="I2255" i="2"/>
  <c r="H2255" i="2"/>
  <c r="G2255" i="2"/>
  <c r="M2254" i="2"/>
  <c r="J2254" i="2"/>
  <c r="M2253" i="2"/>
  <c r="I2253" i="2" s="1"/>
  <c r="J2253" i="2"/>
  <c r="H2253" i="2"/>
  <c r="G2253" i="2"/>
  <c r="M2252" i="2"/>
  <c r="J2252" i="2"/>
  <c r="I2252" i="2"/>
  <c r="H2252" i="2"/>
  <c r="G2252" i="2"/>
  <c r="M2251" i="2"/>
  <c r="H2251" i="2" s="1"/>
  <c r="J2251" i="2"/>
  <c r="I2251" i="2"/>
  <c r="M2250" i="2"/>
  <c r="J2250" i="2"/>
  <c r="I2250" i="2"/>
  <c r="H2250" i="2"/>
  <c r="G2250" i="2"/>
  <c r="M2249" i="2"/>
  <c r="M2248" i="2"/>
  <c r="M2247" i="2"/>
  <c r="J2247" i="2"/>
  <c r="I2247" i="2"/>
  <c r="H2247" i="2"/>
  <c r="G2247" i="2"/>
  <c r="M2246" i="2"/>
  <c r="J2246" i="2"/>
  <c r="M2245" i="2"/>
  <c r="I2245" i="2" s="1"/>
  <c r="J2245" i="2"/>
  <c r="H2245" i="2"/>
  <c r="G2245" i="2"/>
  <c r="M2244" i="2"/>
  <c r="J2244" i="2" s="1"/>
  <c r="I2244" i="2"/>
  <c r="H2244" i="2"/>
  <c r="G2244" i="2"/>
  <c r="M2243" i="2"/>
  <c r="H2243" i="2" s="1"/>
  <c r="J2243" i="2"/>
  <c r="I2243" i="2"/>
  <c r="M2242" i="2"/>
  <c r="J2242" i="2"/>
  <c r="I2242" i="2"/>
  <c r="H2242" i="2"/>
  <c r="G2242" i="2"/>
  <c r="M2241" i="2"/>
  <c r="M2240" i="2"/>
  <c r="I2240" i="2"/>
  <c r="H2240" i="2"/>
  <c r="M2239" i="2"/>
  <c r="J2239" i="2"/>
  <c r="I2239" i="2"/>
  <c r="H2239" i="2"/>
  <c r="G2239" i="2"/>
  <c r="M2238" i="2"/>
  <c r="J2238" i="2"/>
  <c r="M2237" i="2"/>
  <c r="I2237" i="2" s="1"/>
  <c r="H2237" i="2"/>
  <c r="G2237" i="2"/>
  <c r="M2236" i="2"/>
  <c r="J2236" i="2" s="1"/>
  <c r="I2236" i="2"/>
  <c r="H2236" i="2"/>
  <c r="G2236" i="2"/>
  <c r="M2235" i="2"/>
  <c r="H2235" i="2" s="1"/>
  <c r="J2235" i="2"/>
  <c r="I2235" i="2"/>
  <c r="M2234" i="2"/>
  <c r="J2234" i="2"/>
  <c r="I2234" i="2"/>
  <c r="H2234" i="2"/>
  <c r="G2234" i="2"/>
  <c r="M2233" i="2"/>
  <c r="G2233" i="2" s="1"/>
  <c r="M2232" i="2"/>
  <c r="I2232" i="2"/>
  <c r="H2232" i="2"/>
  <c r="M2231" i="2"/>
  <c r="J2231" i="2"/>
  <c r="I2231" i="2"/>
  <c r="H2231" i="2"/>
  <c r="G2231" i="2"/>
  <c r="M2230" i="2"/>
  <c r="J2230" i="2"/>
  <c r="M2229" i="2"/>
  <c r="M2228" i="2"/>
  <c r="J2228" i="2" s="1"/>
  <c r="I2228" i="2"/>
  <c r="H2228" i="2"/>
  <c r="G2228" i="2"/>
  <c r="M2227" i="2"/>
  <c r="H2227" i="2" s="1"/>
  <c r="J2227" i="2"/>
  <c r="I2227" i="2"/>
  <c r="M2226" i="2"/>
  <c r="J2226" i="2"/>
  <c r="I2226" i="2"/>
  <c r="H2226" i="2"/>
  <c r="G2226" i="2"/>
  <c r="M2225" i="2"/>
  <c r="M2224" i="2"/>
  <c r="I2224" i="2"/>
  <c r="H2224" i="2"/>
  <c r="M2223" i="2"/>
  <c r="J2223" i="2"/>
  <c r="I2223" i="2"/>
  <c r="H2223" i="2"/>
  <c r="G2223" i="2"/>
  <c r="M2222" i="2"/>
  <c r="J2222" i="2"/>
  <c r="M2221" i="2"/>
  <c r="I2221" i="2" s="1"/>
  <c r="H2221" i="2"/>
  <c r="G2221" i="2"/>
  <c r="M2220" i="2"/>
  <c r="J2220" i="2" s="1"/>
  <c r="I2220" i="2"/>
  <c r="H2220" i="2"/>
  <c r="G2220" i="2"/>
  <c r="M2219" i="2"/>
  <c r="H2219" i="2" s="1"/>
  <c r="J2219" i="2"/>
  <c r="I2219" i="2"/>
  <c r="M2218" i="2"/>
  <c r="J2218" i="2"/>
  <c r="I2218" i="2"/>
  <c r="H2218" i="2"/>
  <c r="G2218" i="2"/>
  <c r="M2217" i="2"/>
  <c r="G2217" i="2" s="1"/>
  <c r="M2216" i="2"/>
  <c r="I2216" i="2"/>
  <c r="H2216" i="2"/>
  <c r="M2215" i="2"/>
  <c r="J2215" i="2"/>
  <c r="I2215" i="2"/>
  <c r="H2215" i="2"/>
  <c r="G2215" i="2"/>
  <c r="M2214" i="2"/>
  <c r="J2214" i="2"/>
  <c r="M2213" i="2"/>
  <c r="M2212" i="2"/>
  <c r="J2212" i="2" s="1"/>
  <c r="I2212" i="2"/>
  <c r="H2212" i="2"/>
  <c r="G2212" i="2"/>
  <c r="M2211" i="2"/>
  <c r="J2211" i="2" s="1"/>
  <c r="I2211" i="2"/>
  <c r="M2210" i="2"/>
  <c r="J2210" i="2"/>
  <c r="I2210" i="2"/>
  <c r="H2210" i="2"/>
  <c r="G2210" i="2"/>
  <c r="M2209" i="2"/>
  <c r="G2209" i="2" s="1"/>
  <c r="M2208" i="2"/>
  <c r="G2208" i="2" s="1"/>
  <c r="J2208" i="2"/>
  <c r="H2208" i="2"/>
  <c r="M2207" i="2"/>
  <c r="J2207" i="2"/>
  <c r="I2207" i="2"/>
  <c r="H2207" i="2"/>
  <c r="G2207" i="2"/>
  <c r="M2206" i="2"/>
  <c r="J2206" i="2" s="1"/>
  <c r="M2205" i="2"/>
  <c r="J2205" i="2"/>
  <c r="I2205" i="2"/>
  <c r="M2204" i="2"/>
  <c r="J2204" i="2" s="1"/>
  <c r="I2204" i="2"/>
  <c r="H2204" i="2"/>
  <c r="G2204" i="2"/>
  <c r="M2203" i="2"/>
  <c r="J2203" i="2"/>
  <c r="M2202" i="2"/>
  <c r="J2202" i="2"/>
  <c r="I2202" i="2"/>
  <c r="H2202" i="2"/>
  <c r="G2202" i="2"/>
  <c r="M2201" i="2"/>
  <c r="G2201" i="2"/>
  <c r="M2200" i="2"/>
  <c r="G2200" i="2" s="1"/>
  <c r="I2200" i="2"/>
  <c r="H2200" i="2"/>
  <c r="M2199" i="2"/>
  <c r="J2199" i="2"/>
  <c r="I2199" i="2"/>
  <c r="H2199" i="2"/>
  <c r="G2199" i="2"/>
  <c r="M2198" i="2"/>
  <c r="J2198" i="2"/>
  <c r="M2197" i="2"/>
  <c r="J2197" i="2" s="1"/>
  <c r="I2197" i="2"/>
  <c r="H2197" i="2"/>
  <c r="G2197" i="2"/>
  <c r="M2196" i="2"/>
  <c r="J2196" i="2" s="1"/>
  <c r="I2196" i="2"/>
  <c r="H2196" i="2"/>
  <c r="G2196" i="2"/>
  <c r="M2195" i="2"/>
  <c r="J2195" i="2"/>
  <c r="I2195" i="2"/>
  <c r="M2194" i="2"/>
  <c r="J2194" i="2"/>
  <c r="I2194" i="2"/>
  <c r="H2194" i="2"/>
  <c r="G2194" i="2"/>
  <c r="M2193" i="2"/>
  <c r="G2193" i="2"/>
  <c r="M2192" i="2"/>
  <c r="J2192" i="2" s="1"/>
  <c r="M2191" i="2"/>
  <c r="J2191" i="2"/>
  <c r="I2191" i="2"/>
  <c r="H2191" i="2"/>
  <c r="G2191" i="2"/>
  <c r="M2190" i="2"/>
  <c r="M2189" i="2"/>
  <c r="H2189" i="2" s="1"/>
  <c r="J2189" i="2"/>
  <c r="I2189" i="2"/>
  <c r="G2189" i="2"/>
  <c r="M2188" i="2"/>
  <c r="J2188" i="2" s="1"/>
  <c r="I2188" i="2"/>
  <c r="H2188" i="2"/>
  <c r="G2188" i="2"/>
  <c r="M2187" i="2"/>
  <c r="I2187" i="2" s="1"/>
  <c r="J2187" i="2"/>
  <c r="M2186" i="2"/>
  <c r="J2186" i="2"/>
  <c r="I2186" i="2"/>
  <c r="H2186" i="2"/>
  <c r="G2186" i="2"/>
  <c r="M2185" i="2"/>
  <c r="G2185" i="2"/>
  <c r="M2184" i="2"/>
  <c r="G2184" i="2" s="1"/>
  <c r="J2184" i="2"/>
  <c r="I2184" i="2"/>
  <c r="H2184" i="2"/>
  <c r="M2183" i="2"/>
  <c r="J2183" i="2"/>
  <c r="I2183" i="2"/>
  <c r="H2183" i="2"/>
  <c r="G2183" i="2"/>
  <c r="M2182" i="2"/>
  <c r="J2182" i="2"/>
  <c r="M2181" i="2"/>
  <c r="M2180" i="2"/>
  <c r="J2180" i="2" s="1"/>
  <c r="I2180" i="2"/>
  <c r="H2180" i="2"/>
  <c r="G2180" i="2"/>
  <c r="M2179" i="2"/>
  <c r="J2179" i="2" s="1"/>
  <c r="I2179" i="2"/>
  <c r="M2178" i="2"/>
  <c r="J2178" i="2"/>
  <c r="I2178" i="2"/>
  <c r="H2178" i="2"/>
  <c r="G2178" i="2"/>
  <c r="M2177" i="2"/>
  <c r="G2177" i="2" s="1"/>
  <c r="M2176" i="2"/>
  <c r="G2176" i="2" s="1"/>
  <c r="J2176" i="2"/>
  <c r="H2176" i="2"/>
  <c r="M2175" i="2"/>
  <c r="J2175" i="2"/>
  <c r="I2175" i="2"/>
  <c r="H2175" i="2"/>
  <c r="G2175" i="2"/>
  <c r="M2174" i="2"/>
  <c r="J2174" i="2" s="1"/>
  <c r="M2173" i="2"/>
  <c r="J2173" i="2"/>
  <c r="I2173" i="2"/>
  <c r="M2172" i="2"/>
  <c r="J2172" i="2" s="1"/>
  <c r="I2172" i="2"/>
  <c r="H2172" i="2"/>
  <c r="G2172" i="2"/>
  <c r="M2171" i="2"/>
  <c r="J2171" i="2" s="1"/>
  <c r="M2170" i="2"/>
  <c r="H2170" i="2" s="1"/>
  <c r="J2170" i="2"/>
  <c r="I2170" i="2"/>
  <c r="G2170" i="2"/>
  <c r="M2169" i="2"/>
  <c r="H2169" i="2"/>
  <c r="M2168" i="2"/>
  <c r="G2168" i="2" s="1"/>
  <c r="J2168" i="2"/>
  <c r="I2168" i="2"/>
  <c r="M2167" i="2"/>
  <c r="J2167" i="2"/>
  <c r="I2167" i="2"/>
  <c r="H2167" i="2"/>
  <c r="G2167" i="2"/>
  <c r="M2166" i="2"/>
  <c r="G2166" i="2" s="1"/>
  <c r="J2166" i="2"/>
  <c r="M2165" i="2"/>
  <c r="J2165" i="2"/>
  <c r="I2165" i="2"/>
  <c r="M2164" i="2"/>
  <c r="J2164" i="2"/>
  <c r="I2164" i="2"/>
  <c r="H2164" i="2"/>
  <c r="G2164" i="2"/>
  <c r="M2163" i="2"/>
  <c r="M2162" i="2"/>
  <c r="I2162" i="2" s="1"/>
  <c r="J2162" i="2"/>
  <c r="H2162" i="2"/>
  <c r="G2162" i="2"/>
  <c r="M2161" i="2"/>
  <c r="M2160" i="2"/>
  <c r="G2160" i="2" s="1"/>
  <c r="J2160" i="2"/>
  <c r="H2160" i="2"/>
  <c r="M2159" i="2"/>
  <c r="J2159" i="2"/>
  <c r="I2159" i="2"/>
  <c r="H2159" i="2"/>
  <c r="G2159" i="2"/>
  <c r="M2158" i="2"/>
  <c r="J2158" i="2" s="1"/>
  <c r="G2158" i="2"/>
  <c r="M2157" i="2"/>
  <c r="J2157" i="2"/>
  <c r="M2156" i="2"/>
  <c r="J2156" i="2" s="1"/>
  <c r="I2156" i="2"/>
  <c r="H2156" i="2"/>
  <c r="G2156" i="2"/>
  <c r="M2155" i="2"/>
  <c r="M2154" i="2"/>
  <c r="I2154" i="2" s="1"/>
  <c r="J2154" i="2"/>
  <c r="H2154" i="2"/>
  <c r="G2154" i="2"/>
  <c r="M2153" i="2"/>
  <c r="M2152" i="2"/>
  <c r="G2152" i="2" s="1"/>
  <c r="J2152" i="2"/>
  <c r="H2152" i="2"/>
  <c r="M2151" i="2"/>
  <c r="J2151" i="2"/>
  <c r="I2151" i="2"/>
  <c r="H2151" i="2"/>
  <c r="G2151" i="2"/>
  <c r="M2150" i="2"/>
  <c r="J2150" i="2" s="1"/>
  <c r="G2150" i="2"/>
  <c r="M2149" i="2"/>
  <c r="J2149" i="2" s="1"/>
  <c r="M2148" i="2"/>
  <c r="J2148" i="2" s="1"/>
  <c r="I2148" i="2"/>
  <c r="H2148" i="2"/>
  <c r="G2148" i="2"/>
  <c r="M2147" i="2"/>
  <c r="M2146" i="2"/>
  <c r="I2146" i="2" s="1"/>
  <c r="J2146" i="2"/>
  <c r="H2146" i="2"/>
  <c r="G2146" i="2"/>
  <c r="M2145" i="2"/>
  <c r="M2144" i="2"/>
  <c r="G2144" i="2" s="1"/>
  <c r="J2144" i="2"/>
  <c r="H2144" i="2"/>
  <c r="M2143" i="2"/>
  <c r="J2143" i="2"/>
  <c r="I2143" i="2"/>
  <c r="H2143" i="2"/>
  <c r="G2143" i="2"/>
  <c r="M2142" i="2"/>
  <c r="J2142" i="2" s="1"/>
  <c r="G2142" i="2"/>
  <c r="M2141" i="2"/>
  <c r="J2141" i="2"/>
  <c r="M2140" i="2"/>
  <c r="J2140" i="2"/>
  <c r="I2140" i="2"/>
  <c r="H2140" i="2"/>
  <c r="G2140" i="2"/>
  <c r="M2139" i="2"/>
  <c r="J2139" i="2" s="1"/>
  <c r="I2139" i="2"/>
  <c r="M2138" i="2"/>
  <c r="J2138" i="2" s="1"/>
  <c r="I2138" i="2"/>
  <c r="H2138" i="2"/>
  <c r="G2138" i="2"/>
  <c r="M2137" i="2"/>
  <c r="H2137" i="2" s="1"/>
  <c r="G2137" i="2"/>
  <c r="M2136" i="2"/>
  <c r="G2136" i="2" s="1"/>
  <c r="I2136" i="2"/>
  <c r="H2136" i="2"/>
  <c r="M2135" i="2"/>
  <c r="J2135" i="2"/>
  <c r="I2135" i="2"/>
  <c r="H2135" i="2"/>
  <c r="G2135" i="2"/>
  <c r="M2134" i="2"/>
  <c r="J2134" i="2"/>
  <c r="G2134" i="2"/>
  <c r="M2133" i="2"/>
  <c r="M2132" i="2"/>
  <c r="J2132" i="2"/>
  <c r="I2132" i="2"/>
  <c r="H2132" i="2"/>
  <c r="G2132" i="2"/>
  <c r="M2131" i="2"/>
  <c r="H2131" i="2" s="1"/>
  <c r="J2131" i="2"/>
  <c r="I2131" i="2"/>
  <c r="M2130" i="2"/>
  <c r="J2130" i="2"/>
  <c r="I2130" i="2"/>
  <c r="M2129" i="2"/>
  <c r="J2129" i="2" s="1"/>
  <c r="H2129" i="2"/>
  <c r="G2129" i="2"/>
  <c r="M2128" i="2"/>
  <c r="M2127" i="2"/>
  <c r="J2127" i="2"/>
  <c r="I2127" i="2"/>
  <c r="H2127" i="2"/>
  <c r="G2127" i="2"/>
  <c r="M2126" i="2"/>
  <c r="H2126" i="2" s="1"/>
  <c r="J2126" i="2"/>
  <c r="I2126" i="2"/>
  <c r="G2126" i="2"/>
  <c r="M2125" i="2"/>
  <c r="J2125" i="2"/>
  <c r="M2124" i="2"/>
  <c r="J2124" i="2" s="1"/>
  <c r="I2124" i="2"/>
  <c r="H2124" i="2"/>
  <c r="G2124" i="2"/>
  <c r="M2123" i="2"/>
  <c r="J2123" i="2" s="1"/>
  <c r="I2123" i="2"/>
  <c r="H2123" i="2"/>
  <c r="M2122" i="2"/>
  <c r="J2122" i="2"/>
  <c r="I2122" i="2"/>
  <c r="M2121" i="2"/>
  <c r="I2121" i="2" s="1"/>
  <c r="J2121" i="2"/>
  <c r="H2121" i="2"/>
  <c r="G2121" i="2"/>
  <c r="M2120" i="2"/>
  <c r="M2119" i="2"/>
  <c r="J2119" i="2"/>
  <c r="I2119" i="2"/>
  <c r="H2119" i="2"/>
  <c r="G2119" i="2"/>
  <c r="M2118" i="2"/>
  <c r="H2118" i="2" s="1"/>
  <c r="J2118" i="2"/>
  <c r="I2118" i="2"/>
  <c r="G2118" i="2"/>
  <c r="M2117" i="2"/>
  <c r="J2117" i="2"/>
  <c r="M2116" i="2"/>
  <c r="M2115" i="2"/>
  <c r="J2115" i="2" s="1"/>
  <c r="I2115" i="2"/>
  <c r="H2115" i="2"/>
  <c r="M2114" i="2"/>
  <c r="J2114" i="2"/>
  <c r="M2113" i="2"/>
  <c r="I2113" i="2" s="1"/>
  <c r="M2112" i="2"/>
  <c r="H2112" i="2"/>
  <c r="G2112" i="2"/>
  <c r="M2111" i="2"/>
  <c r="J2111" i="2"/>
  <c r="I2111" i="2"/>
  <c r="H2111" i="2"/>
  <c r="G2111" i="2"/>
  <c r="M2110" i="2"/>
  <c r="H2110" i="2" s="1"/>
  <c r="J2110" i="2"/>
  <c r="I2110" i="2"/>
  <c r="G2110" i="2"/>
  <c r="M2109" i="2"/>
  <c r="J2109" i="2" s="1"/>
  <c r="M2108" i="2"/>
  <c r="J2108" i="2" s="1"/>
  <c r="I2108" i="2"/>
  <c r="H2108" i="2"/>
  <c r="G2108" i="2"/>
  <c r="M2107" i="2"/>
  <c r="J2107" i="2" s="1"/>
  <c r="I2107" i="2"/>
  <c r="H2107" i="2"/>
  <c r="M2106" i="2"/>
  <c r="J2106" i="2"/>
  <c r="I2106" i="2"/>
  <c r="M2105" i="2"/>
  <c r="J2105" i="2"/>
  <c r="M2104" i="2"/>
  <c r="H2104" i="2" s="1"/>
  <c r="G2104" i="2"/>
  <c r="M2103" i="2"/>
  <c r="J2103" i="2"/>
  <c r="I2103" i="2"/>
  <c r="H2103" i="2"/>
  <c r="G2103" i="2"/>
  <c r="M2102" i="2"/>
  <c r="H2102" i="2" s="1"/>
  <c r="J2102" i="2"/>
  <c r="I2102" i="2"/>
  <c r="G2102" i="2"/>
  <c r="M2101" i="2"/>
  <c r="J2101" i="2"/>
  <c r="M2100" i="2"/>
  <c r="J2100" i="2" s="1"/>
  <c r="M2099" i="2"/>
  <c r="J2099" i="2" s="1"/>
  <c r="I2099" i="2"/>
  <c r="H2099" i="2"/>
  <c r="M2098" i="2"/>
  <c r="I2098" i="2" s="1"/>
  <c r="J2098" i="2"/>
  <c r="M2097" i="2"/>
  <c r="I2097" i="2" s="1"/>
  <c r="J2097" i="2"/>
  <c r="H2097" i="2"/>
  <c r="G2097" i="2"/>
  <c r="M2096" i="2"/>
  <c r="M2095" i="2"/>
  <c r="J2095" i="2"/>
  <c r="I2095" i="2"/>
  <c r="H2095" i="2"/>
  <c r="G2095" i="2"/>
  <c r="M2094" i="2"/>
  <c r="H2094" i="2" s="1"/>
  <c r="J2094" i="2"/>
  <c r="I2094" i="2"/>
  <c r="G2094" i="2"/>
  <c r="M2093" i="2"/>
  <c r="H2093" i="2" s="1"/>
  <c r="J2093" i="2"/>
  <c r="I2093" i="2"/>
  <c r="G2093" i="2"/>
  <c r="M2092" i="2"/>
  <c r="M2091" i="2"/>
  <c r="I2091" i="2"/>
  <c r="H2091" i="2"/>
  <c r="M2090" i="2"/>
  <c r="J2090" i="2"/>
  <c r="M2089" i="2"/>
  <c r="I2089" i="2" s="1"/>
  <c r="J2089" i="2"/>
  <c r="H2089" i="2"/>
  <c r="G2089" i="2"/>
  <c r="M2088" i="2"/>
  <c r="J2088" i="2" s="1"/>
  <c r="M2087" i="2"/>
  <c r="J2087" i="2"/>
  <c r="I2087" i="2"/>
  <c r="H2087" i="2"/>
  <c r="G2087" i="2"/>
  <c r="M2086" i="2"/>
  <c r="H2086" i="2" s="1"/>
  <c r="J2086" i="2"/>
  <c r="I2086" i="2"/>
  <c r="G2086" i="2"/>
  <c r="M2085" i="2"/>
  <c r="H2085" i="2" s="1"/>
  <c r="J2085" i="2"/>
  <c r="I2085" i="2"/>
  <c r="G2085" i="2"/>
  <c r="M2084" i="2"/>
  <c r="M2083" i="2"/>
  <c r="I2083" i="2"/>
  <c r="H2083" i="2"/>
  <c r="M2082" i="2"/>
  <c r="J2082" i="2"/>
  <c r="M2081" i="2"/>
  <c r="I2081" i="2" s="1"/>
  <c r="J2081" i="2"/>
  <c r="H2081" i="2"/>
  <c r="G2081" i="2"/>
  <c r="M2080" i="2"/>
  <c r="J2080" i="2" s="1"/>
  <c r="M2079" i="2"/>
  <c r="J2079" i="2"/>
  <c r="I2079" i="2"/>
  <c r="H2079" i="2"/>
  <c r="G2079" i="2"/>
  <c r="M2078" i="2"/>
  <c r="M2077" i="2"/>
  <c r="J2077" i="2"/>
  <c r="I2077" i="2"/>
  <c r="H2077" i="2"/>
  <c r="G2077" i="2"/>
  <c r="M2076" i="2"/>
  <c r="J2076" i="2" s="1"/>
  <c r="I2076" i="2"/>
  <c r="M2075" i="2"/>
  <c r="G2075" i="2" s="1"/>
  <c r="J2075" i="2"/>
  <c r="I2075" i="2"/>
  <c r="H2075" i="2"/>
  <c r="M2074" i="2"/>
  <c r="I2074" i="2" s="1"/>
  <c r="J2074" i="2"/>
  <c r="G2074" i="2"/>
  <c r="M2073" i="2"/>
  <c r="I2073" i="2" s="1"/>
  <c r="J2073" i="2"/>
  <c r="H2073" i="2"/>
  <c r="M2072" i="2"/>
  <c r="J2072" i="2" s="1"/>
  <c r="M2071" i="2"/>
  <c r="J2071" i="2"/>
  <c r="I2071" i="2"/>
  <c r="H2071" i="2"/>
  <c r="G2071" i="2"/>
  <c r="M2070" i="2"/>
  <c r="H2070" i="2" s="1"/>
  <c r="J2070" i="2"/>
  <c r="I2070" i="2"/>
  <c r="G2070" i="2"/>
  <c r="M2069" i="2"/>
  <c r="M2068" i="2"/>
  <c r="J2068" i="2" s="1"/>
  <c r="I2068" i="2"/>
  <c r="H2068" i="2"/>
  <c r="G2068" i="2"/>
  <c r="M2067" i="2"/>
  <c r="G2067" i="2" s="1"/>
  <c r="J2067" i="2"/>
  <c r="M2066" i="2"/>
  <c r="G2066" i="2" s="1"/>
  <c r="J2066" i="2"/>
  <c r="I2066" i="2"/>
  <c r="H2066" i="2"/>
  <c r="M2065" i="2"/>
  <c r="I2065" i="2" s="1"/>
  <c r="M2064" i="2"/>
  <c r="H2064" i="2" s="1"/>
  <c r="J2064" i="2"/>
  <c r="I2064" i="2"/>
  <c r="G2064" i="2"/>
  <c r="M2063" i="2"/>
  <c r="J2063" i="2"/>
  <c r="I2063" i="2"/>
  <c r="H2063" i="2"/>
  <c r="G2063" i="2"/>
  <c r="M2062" i="2"/>
  <c r="M2061" i="2"/>
  <c r="J2061" i="2"/>
  <c r="I2061" i="2"/>
  <c r="H2061" i="2"/>
  <c r="G2061" i="2"/>
  <c r="M2060" i="2"/>
  <c r="J2060" i="2" s="1"/>
  <c r="I2060" i="2"/>
  <c r="M2059" i="2"/>
  <c r="G2059" i="2" s="1"/>
  <c r="J2059" i="2"/>
  <c r="I2059" i="2"/>
  <c r="H2059" i="2"/>
  <c r="M2058" i="2"/>
  <c r="I2058" i="2" s="1"/>
  <c r="J2058" i="2"/>
  <c r="G2058" i="2"/>
  <c r="M2057" i="2"/>
  <c r="I2057" i="2" s="1"/>
  <c r="J2057" i="2"/>
  <c r="H2057" i="2"/>
  <c r="M2056" i="2"/>
  <c r="J2056" i="2" s="1"/>
  <c r="M2055" i="2"/>
  <c r="J2055" i="2"/>
  <c r="I2055" i="2"/>
  <c r="H2055" i="2"/>
  <c r="G2055" i="2"/>
  <c r="M2054" i="2"/>
  <c r="H2054" i="2" s="1"/>
  <c r="J2054" i="2"/>
  <c r="I2054" i="2"/>
  <c r="G2054" i="2"/>
  <c r="M2053" i="2"/>
  <c r="M2052" i="2"/>
  <c r="J2052" i="2" s="1"/>
  <c r="I2052" i="2"/>
  <c r="H2052" i="2"/>
  <c r="G2052" i="2"/>
  <c r="M2051" i="2"/>
  <c r="G2051" i="2" s="1"/>
  <c r="J2051" i="2"/>
  <c r="M2050" i="2"/>
  <c r="G2050" i="2" s="1"/>
  <c r="J2050" i="2"/>
  <c r="I2050" i="2"/>
  <c r="H2050" i="2"/>
  <c r="M2049" i="2"/>
  <c r="I2049" i="2" s="1"/>
  <c r="M2048" i="2"/>
  <c r="H2048" i="2" s="1"/>
  <c r="J2048" i="2"/>
  <c r="I2048" i="2"/>
  <c r="G2048" i="2"/>
  <c r="M2047" i="2"/>
  <c r="J2047" i="2"/>
  <c r="I2047" i="2"/>
  <c r="H2047" i="2"/>
  <c r="G2047" i="2"/>
  <c r="M2046" i="2"/>
  <c r="M2045" i="2"/>
  <c r="J2045" i="2"/>
  <c r="I2045" i="2"/>
  <c r="H2045" i="2"/>
  <c r="G2045" i="2"/>
  <c r="M2044" i="2"/>
  <c r="J2044" i="2" s="1"/>
  <c r="I2044" i="2"/>
  <c r="M2043" i="2"/>
  <c r="G2043" i="2" s="1"/>
  <c r="J2043" i="2"/>
  <c r="I2043" i="2"/>
  <c r="H2043" i="2"/>
  <c r="M2042" i="2"/>
  <c r="I2042" i="2" s="1"/>
  <c r="J2042" i="2"/>
  <c r="G2042" i="2"/>
  <c r="M2041" i="2"/>
  <c r="I2041" i="2" s="1"/>
  <c r="J2041" i="2"/>
  <c r="H2041" i="2"/>
  <c r="M2040" i="2"/>
  <c r="J2040" i="2" s="1"/>
  <c r="M2039" i="2"/>
  <c r="J2039" i="2"/>
  <c r="I2039" i="2"/>
  <c r="H2039" i="2"/>
  <c r="G2039" i="2"/>
  <c r="M2038" i="2"/>
  <c r="H2038" i="2" s="1"/>
  <c r="J2038" i="2"/>
  <c r="I2038" i="2"/>
  <c r="G2038" i="2"/>
  <c r="M2037" i="2"/>
  <c r="M2036" i="2"/>
  <c r="J2036" i="2" s="1"/>
  <c r="I2036" i="2"/>
  <c r="H2036" i="2"/>
  <c r="G2036" i="2"/>
  <c r="M2035" i="2"/>
  <c r="G2035" i="2" s="1"/>
  <c r="J2035" i="2"/>
  <c r="M2034" i="2"/>
  <c r="G2034" i="2" s="1"/>
  <c r="J2034" i="2"/>
  <c r="I2034" i="2"/>
  <c r="H2034" i="2"/>
  <c r="M2033" i="2"/>
  <c r="I2033" i="2" s="1"/>
  <c r="M2032" i="2"/>
  <c r="H2032" i="2" s="1"/>
  <c r="J2032" i="2"/>
  <c r="I2032" i="2"/>
  <c r="G2032" i="2"/>
  <c r="M2031" i="2"/>
  <c r="J2031" i="2"/>
  <c r="I2031" i="2"/>
  <c r="H2031" i="2"/>
  <c r="G2031" i="2"/>
  <c r="M2030" i="2"/>
  <c r="M2029" i="2"/>
  <c r="G2029" i="2" s="1"/>
  <c r="J2029" i="2"/>
  <c r="I2029" i="2"/>
  <c r="H2029" i="2"/>
  <c r="M2028" i="2"/>
  <c r="J2028" i="2" s="1"/>
  <c r="M2027" i="2"/>
  <c r="J2027" i="2" s="1"/>
  <c r="M2026" i="2"/>
  <c r="J2026" i="2"/>
  <c r="I2026" i="2"/>
  <c r="H2026" i="2"/>
  <c r="G2026" i="2"/>
  <c r="M2025" i="2"/>
  <c r="I2025" i="2" s="1"/>
  <c r="J2025" i="2"/>
  <c r="G2025" i="2"/>
  <c r="M2024" i="2"/>
  <c r="H2024" i="2" s="1"/>
  <c r="J2024" i="2"/>
  <c r="I2024" i="2"/>
  <c r="G2024" i="2"/>
  <c r="M2023" i="2"/>
  <c r="J2023" i="2"/>
  <c r="I2023" i="2"/>
  <c r="H2023" i="2"/>
  <c r="G2023" i="2"/>
  <c r="M2022" i="2"/>
  <c r="M2021" i="2"/>
  <c r="G2021" i="2" s="1"/>
  <c r="J2021" i="2"/>
  <c r="I2021" i="2"/>
  <c r="H2021" i="2"/>
  <c r="M2020" i="2"/>
  <c r="J2020" i="2" s="1"/>
  <c r="M2019" i="2"/>
  <c r="J2019" i="2"/>
  <c r="M2018" i="2"/>
  <c r="J2018" i="2"/>
  <c r="I2018" i="2"/>
  <c r="H2018" i="2"/>
  <c r="G2018" i="2"/>
  <c r="M2017" i="2"/>
  <c r="I2017" i="2" s="1"/>
  <c r="J2017" i="2"/>
  <c r="G2017" i="2"/>
  <c r="M2016" i="2"/>
  <c r="H2016" i="2" s="1"/>
  <c r="J2016" i="2"/>
  <c r="I2016" i="2"/>
  <c r="G2016" i="2"/>
  <c r="M2015" i="2"/>
  <c r="J2015" i="2"/>
  <c r="I2015" i="2"/>
  <c r="H2015" i="2"/>
  <c r="G2015" i="2"/>
  <c r="M2014" i="2"/>
  <c r="M2013" i="2"/>
  <c r="G2013" i="2" s="1"/>
  <c r="J2013" i="2"/>
  <c r="I2013" i="2"/>
  <c r="H2013" i="2"/>
  <c r="M2012" i="2"/>
  <c r="J2012" i="2" s="1"/>
  <c r="M2011" i="2"/>
  <c r="J2011" i="2"/>
  <c r="M2010" i="2"/>
  <c r="J2010" i="2"/>
  <c r="I2010" i="2"/>
  <c r="H2010" i="2"/>
  <c r="G2010" i="2"/>
  <c r="M2009" i="2"/>
  <c r="I2009" i="2" s="1"/>
  <c r="J2009" i="2"/>
  <c r="G2009" i="2"/>
  <c r="M2008" i="2"/>
  <c r="H2008" i="2" s="1"/>
  <c r="J2008" i="2"/>
  <c r="I2008" i="2"/>
  <c r="G2008" i="2"/>
  <c r="M2007" i="2"/>
  <c r="J2007" i="2"/>
  <c r="I2007" i="2"/>
  <c r="H2007" i="2"/>
  <c r="G2007" i="2"/>
  <c r="M2006" i="2"/>
  <c r="M2005" i="2"/>
  <c r="G2005" i="2" s="1"/>
  <c r="J2005" i="2"/>
  <c r="I2005" i="2"/>
  <c r="H2005" i="2"/>
  <c r="M2004" i="2"/>
  <c r="J2004" i="2" s="1"/>
  <c r="M2003" i="2"/>
  <c r="J2003" i="2"/>
  <c r="M2002" i="2"/>
  <c r="J2002" i="2"/>
  <c r="I2002" i="2"/>
  <c r="H2002" i="2"/>
  <c r="G2002" i="2"/>
  <c r="M2001" i="2"/>
  <c r="I2001" i="2" s="1"/>
  <c r="J2001" i="2"/>
  <c r="G2001" i="2"/>
  <c r="M2000" i="2"/>
  <c r="H2000" i="2" s="1"/>
  <c r="J2000" i="2"/>
  <c r="I2000" i="2"/>
  <c r="G2000" i="2"/>
  <c r="M1999" i="2"/>
  <c r="J1999" i="2" s="1"/>
  <c r="I1999" i="2"/>
  <c r="H1999" i="2"/>
  <c r="G1999" i="2"/>
  <c r="M1998" i="2"/>
  <c r="M1997" i="2"/>
  <c r="G1997" i="2" s="1"/>
  <c r="J1997" i="2"/>
  <c r="I1997" i="2"/>
  <c r="H1997" i="2"/>
  <c r="M1996" i="2"/>
  <c r="J1996" i="2" s="1"/>
  <c r="M1995" i="2"/>
  <c r="J1995" i="2"/>
  <c r="M1994" i="2"/>
  <c r="J1994" i="2"/>
  <c r="I1994" i="2"/>
  <c r="H1994" i="2"/>
  <c r="G1994" i="2"/>
  <c r="M1993" i="2"/>
  <c r="I1993" i="2" s="1"/>
  <c r="J1993" i="2"/>
  <c r="G1993" i="2"/>
  <c r="M1992" i="2"/>
  <c r="H1992" i="2" s="1"/>
  <c r="J1992" i="2"/>
  <c r="I1992" i="2"/>
  <c r="G1992" i="2"/>
  <c r="M1991" i="2"/>
  <c r="J1991" i="2" s="1"/>
  <c r="I1991" i="2"/>
  <c r="H1991" i="2"/>
  <c r="G1991" i="2"/>
  <c r="M1990" i="2"/>
  <c r="M1989" i="2"/>
  <c r="G1989" i="2" s="1"/>
  <c r="J1989" i="2"/>
  <c r="I1989" i="2"/>
  <c r="H1989" i="2"/>
  <c r="M1988" i="2"/>
  <c r="J1988" i="2" s="1"/>
  <c r="M1987" i="2"/>
  <c r="J1987" i="2"/>
  <c r="M1986" i="2"/>
  <c r="J1986" i="2"/>
  <c r="I1986" i="2"/>
  <c r="H1986" i="2"/>
  <c r="G1986" i="2"/>
  <c r="M1985" i="2"/>
  <c r="I1985" i="2" s="1"/>
  <c r="J1985" i="2"/>
  <c r="G1985" i="2"/>
  <c r="M1984" i="2"/>
  <c r="H1984" i="2" s="1"/>
  <c r="J1984" i="2"/>
  <c r="I1984" i="2"/>
  <c r="G1984" i="2"/>
  <c r="M1983" i="2"/>
  <c r="J1983" i="2" s="1"/>
  <c r="I1983" i="2"/>
  <c r="H1983" i="2"/>
  <c r="G1983" i="2"/>
  <c r="M1982" i="2"/>
  <c r="M1981" i="2"/>
  <c r="G1981" i="2" s="1"/>
  <c r="J1981" i="2"/>
  <c r="I1981" i="2"/>
  <c r="H1981" i="2"/>
  <c r="M1980" i="2"/>
  <c r="J1980" i="2" s="1"/>
  <c r="M1979" i="2"/>
  <c r="J1979" i="2"/>
  <c r="M1978" i="2"/>
  <c r="J1978" i="2"/>
  <c r="I1978" i="2"/>
  <c r="H1978" i="2"/>
  <c r="G1978" i="2"/>
  <c r="M1977" i="2"/>
  <c r="I1977" i="2" s="1"/>
  <c r="J1977" i="2"/>
  <c r="G1977" i="2"/>
  <c r="M1976" i="2"/>
  <c r="H1976" i="2" s="1"/>
  <c r="J1976" i="2"/>
  <c r="I1976" i="2"/>
  <c r="G1976" i="2"/>
  <c r="M1975" i="2"/>
  <c r="J1975" i="2"/>
  <c r="I1975" i="2"/>
  <c r="H1975" i="2"/>
  <c r="G1975" i="2"/>
  <c r="M1974" i="2"/>
  <c r="M1973" i="2"/>
  <c r="G1973" i="2" s="1"/>
  <c r="J1973" i="2"/>
  <c r="I1973" i="2"/>
  <c r="H1973" i="2"/>
  <c r="M1972" i="2"/>
  <c r="J1972" i="2" s="1"/>
  <c r="M1971" i="2"/>
  <c r="J1971" i="2"/>
  <c r="M1970" i="2"/>
  <c r="J1970" i="2"/>
  <c r="I1970" i="2"/>
  <c r="H1970" i="2"/>
  <c r="G1970" i="2"/>
  <c r="M1969" i="2"/>
  <c r="I1969" i="2" s="1"/>
  <c r="J1969" i="2"/>
  <c r="G1969" i="2"/>
  <c r="M1968" i="2"/>
  <c r="H1968" i="2" s="1"/>
  <c r="J1968" i="2"/>
  <c r="I1968" i="2"/>
  <c r="G1968" i="2"/>
  <c r="M1967" i="2"/>
  <c r="J1967" i="2" s="1"/>
  <c r="I1967" i="2"/>
  <c r="H1967" i="2"/>
  <c r="G1967" i="2"/>
  <c r="M1966" i="2"/>
  <c r="M1965" i="2"/>
  <c r="G1965" i="2" s="1"/>
  <c r="J1965" i="2"/>
  <c r="I1965" i="2"/>
  <c r="H1965" i="2"/>
  <c r="M1964" i="2"/>
  <c r="J1964" i="2" s="1"/>
  <c r="M1963" i="2"/>
  <c r="J1963" i="2"/>
  <c r="M1962" i="2"/>
  <c r="J1962" i="2"/>
  <c r="I1962" i="2"/>
  <c r="H1962" i="2"/>
  <c r="G1962" i="2"/>
  <c r="M1961" i="2"/>
  <c r="I1961" i="2" s="1"/>
  <c r="J1961" i="2"/>
  <c r="G1961" i="2"/>
  <c r="M1960" i="2"/>
  <c r="H1960" i="2" s="1"/>
  <c r="J1960" i="2"/>
  <c r="I1960" i="2"/>
  <c r="G1960" i="2"/>
  <c r="M1959" i="2"/>
  <c r="J1959" i="2" s="1"/>
  <c r="I1959" i="2"/>
  <c r="H1959" i="2"/>
  <c r="G1959" i="2"/>
  <c r="M1958" i="2"/>
  <c r="M1957" i="2"/>
  <c r="G1957" i="2" s="1"/>
  <c r="J1957" i="2"/>
  <c r="I1957" i="2"/>
  <c r="H1957" i="2"/>
  <c r="M1956" i="2"/>
  <c r="J1956" i="2" s="1"/>
  <c r="M1955" i="2"/>
  <c r="J1955" i="2"/>
  <c r="M1954" i="2"/>
  <c r="J1954" i="2"/>
  <c r="I1954" i="2"/>
  <c r="H1954" i="2"/>
  <c r="G1954" i="2"/>
  <c r="M1953" i="2"/>
  <c r="I1953" i="2" s="1"/>
  <c r="J1953" i="2"/>
  <c r="G1953" i="2"/>
  <c r="M1952" i="2"/>
  <c r="H1952" i="2" s="1"/>
  <c r="J1952" i="2"/>
  <c r="I1952" i="2"/>
  <c r="G1952" i="2"/>
  <c r="M1951" i="2"/>
  <c r="J1951" i="2" s="1"/>
  <c r="I1951" i="2"/>
  <c r="H1951" i="2"/>
  <c r="G1951" i="2"/>
  <c r="M1950" i="2"/>
  <c r="M1949" i="2"/>
  <c r="G1949" i="2" s="1"/>
  <c r="J1949" i="2"/>
  <c r="I1949" i="2"/>
  <c r="H1949" i="2"/>
  <c r="M1948" i="2"/>
  <c r="J1948" i="2" s="1"/>
  <c r="M1947" i="2"/>
  <c r="J1947" i="2"/>
  <c r="M1946" i="2"/>
  <c r="J1946" i="2"/>
  <c r="I1946" i="2"/>
  <c r="H1946" i="2"/>
  <c r="G1946" i="2"/>
  <c r="M1945" i="2"/>
  <c r="I1945" i="2" s="1"/>
  <c r="J1945" i="2"/>
  <c r="G1945" i="2"/>
  <c r="M1944" i="2"/>
  <c r="H1944" i="2" s="1"/>
  <c r="J1944" i="2"/>
  <c r="I1944" i="2"/>
  <c r="G1944" i="2"/>
  <c r="M1943" i="2"/>
  <c r="J1943" i="2" s="1"/>
  <c r="I1943" i="2"/>
  <c r="H1943" i="2"/>
  <c r="G1943" i="2"/>
  <c r="M1942" i="2"/>
  <c r="M1941" i="2"/>
  <c r="G1941" i="2" s="1"/>
  <c r="J1941" i="2"/>
  <c r="I1941" i="2"/>
  <c r="H1941" i="2"/>
  <c r="M1940" i="2"/>
  <c r="J1940" i="2" s="1"/>
  <c r="M1939" i="2"/>
  <c r="J1939" i="2"/>
  <c r="M1938" i="2"/>
  <c r="J1938" i="2"/>
  <c r="I1938" i="2"/>
  <c r="H1938" i="2"/>
  <c r="G1938" i="2"/>
  <c r="M1937" i="2"/>
  <c r="I1937" i="2" s="1"/>
  <c r="J1937" i="2"/>
  <c r="G1937" i="2"/>
  <c r="M1936" i="2"/>
  <c r="H1936" i="2" s="1"/>
  <c r="J1936" i="2"/>
  <c r="I1936" i="2"/>
  <c r="G1936" i="2"/>
  <c r="M1935" i="2"/>
  <c r="J1935" i="2" s="1"/>
  <c r="I1935" i="2"/>
  <c r="H1935" i="2"/>
  <c r="G1935" i="2"/>
  <c r="M1934" i="2"/>
  <c r="M1933" i="2"/>
  <c r="G1933" i="2" s="1"/>
  <c r="J1933" i="2"/>
  <c r="I1933" i="2"/>
  <c r="H1933" i="2"/>
  <c r="M1932" i="2"/>
  <c r="J1932" i="2" s="1"/>
  <c r="M1931" i="2"/>
  <c r="J1931" i="2"/>
  <c r="M1930" i="2"/>
  <c r="J1930" i="2"/>
  <c r="I1930" i="2"/>
  <c r="H1930" i="2"/>
  <c r="G1930" i="2"/>
  <c r="M1929" i="2"/>
  <c r="I1929" i="2" s="1"/>
  <c r="J1929" i="2"/>
  <c r="G1929" i="2"/>
  <c r="M1928" i="2"/>
  <c r="H1928" i="2" s="1"/>
  <c r="J1928" i="2"/>
  <c r="I1928" i="2"/>
  <c r="G1928" i="2"/>
  <c r="M1927" i="2"/>
  <c r="J1927" i="2" s="1"/>
  <c r="I1927" i="2"/>
  <c r="H1927" i="2"/>
  <c r="G1927" i="2"/>
  <c r="M1926" i="2"/>
  <c r="M1925" i="2"/>
  <c r="G1925" i="2" s="1"/>
  <c r="J1925" i="2"/>
  <c r="I1925" i="2"/>
  <c r="H1925" i="2"/>
  <c r="M1924" i="2"/>
  <c r="J1924" i="2" s="1"/>
  <c r="M1923" i="2"/>
  <c r="J1923" i="2"/>
  <c r="M1922" i="2"/>
  <c r="J1922" i="2"/>
  <c r="I1922" i="2"/>
  <c r="H1922" i="2"/>
  <c r="G1922" i="2"/>
  <c r="M1921" i="2"/>
  <c r="I1921" i="2" s="1"/>
  <c r="J1921" i="2"/>
  <c r="G1921" i="2"/>
  <c r="M1920" i="2"/>
  <c r="H1920" i="2" s="1"/>
  <c r="J1920" i="2"/>
  <c r="I1920" i="2"/>
  <c r="G1920" i="2"/>
  <c r="M1919" i="2"/>
  <c r="J1919" i="2" s="1"/>
  <c r="I1919" i="2"/>
  <c r="H1919" i="2"/>
  <c r="G1919" i="2"/>
  <c r="M1918" i="2"/>
  <c r="M1917" i="2"/>
  <c r="G1917" i="2" s="1"/>
  <c r="J1917" i="2"/>
  <c r="I1917" i="2"/>
  <c r="H1917" i="2"/>
  <c r="M1916" i="2"/>
  <c r="J1916" i="2" s="1"/>
  <c r="M1915" i="2"/>
  <c r="J1915" i="2"/>
  <c r="M1914" i="2"/>
  <c r="J1914" i="2"/>
  <c r="I1914" i="2"/>
  <c r="H1914" i="2"/>
  <c r="G1914" i="2"/>
  <c r="M1913" i="2"/>
  <c r="I1913" i="2" s="1"/>
  <c r="J1913" i="2"/>
  <c r="G1913" i="2"/>
  <c r="M1912" i="2"/>
  <c r="H1912" i="2" s="1"/>
  <c r="J1912" i="2"/>
  <c r="I1912" i="2"/>
  <c r="G1912" i="2"/>
  <c r="M1911" i="2"/>
  <c r="J1911" i="2"/>
  <c r="I1911" i="2"/>
  <c r="H1911" i="2"/>
  <c r="G1911" i="2"/>
  <c r="M1910" i="2"/>
  <c r="M1909" i="2"/>
  <c r="G1909" i="2" s="1"/>
  <c r="J1909" i="2"/>
  <c r="I1909" i="2"/>
  <c r="H1909" i="2"/>
  <c r="M1908" i="2"/>
  <c r="J1908" i="2" s="1"/>
  <c r="M1907" i="2"/>
  <c r="M1906" i="2"/>
  <c r="J1906" i="2"/>
  <c r="I1906" i="2"/>
  <c r="H1906" i="2"/>
  <c r="G1906" i="2"/>
  <c r="M1905" i="2"/>
  <c r="I1905" i="2" s="1"/>
  <c r="J1905" i="2"/>
  <c r="G1905" i="2"/>
  <c r="M1904" i="2"/>
  <c r="H1904" i="2" s="1"/>
  <c r="J1904" i="2"/>
  <c r="I1904" i="2"/>
  <c r="G1904" i="2"/>
  <c r="M1903" i="2"/>
  <c r="J1903" i="2"/>
  <c r="I1903" i="2"/>
  <c r="H1903" i="2"/>
  <c r="G1903" i="2"/>
  <c r="M1902" i="2"/>
  <c r="M1901" i="2"/>
  <c r="G1901" i="2" s="1"/>
  <c r="J1901" i="2"/>
  <c r="I1901" i="2"/>
  <c r="H1901" i="2"/>
  <c r="M1900" i="2"/>
  <c r="J1900" i="2" s="1"/>
  <c r="M1899" i="2"/>
  <c r="J1899" i="2" s="1"/>
  <c r="M1898" i="2"/>
  <c r="J1898" i="2"/>
  <c r="I1898" i="2"/>
  <c r="H1898" i="2"/>
  <c r="G1898" i="2"/>
  <c r="M1897" i="2"/>
  <c r="I1897" i="2" s="1"/>
  <c r="J1897" i="2"/>
  <c r="G1897" i="2"/>
  <c r="M1896" i="2"/>
  <c r="H1896" i="2" s="1"/>
  <c r="J1896" i="2"/>
  <c r="I1896" i="2"/>
  <c r="G1896" i="2"/>
  <c r="M1895" i="2"/>
  <c r="J1895" i="2" s="1"/>
  <c r="I1895" i="2"/>
  <c r="H1895" i="2"/>
  <c r="G1895" i="2"/>
  <c r="M1894" i="2"/>
  <c r="M1893" i="2"/>
  <c r="G1893" i="2" s="1"/>
  <c r="J1893" i="2"/>
  <c r="I1893" i="2"/>
  <c r="H1893" i="2"/>
  <c r="M1892" i="2"/>
  <c r="J1892" i="2" s="1"/>
  <c r="M1891" i="2"/>
  <c r="J1891" i="2" s="1"/>
  <c r="M1890" i="2"/>
  <c r="J1890" i="2"/>
  <c r="I1890" i="2"/>
  <c r="H1890" i="2"/>
  <c r="G1890" i="2"/>
  <c r="M1889" i="2"/>
  <c r="I1889" i="2" s="1"/>
  <c r="J1889" i="2"/>
  <c r="G1889" i="2"/>
  <c r="M1888" i="2"/>
  <c r="H1888" i="2" s="1"/>
  <c r="J1888" i="2"/>
  <c r="I1888" i="2"/>
  <c r="G1888" i="2"/>
  <c r="M1887" i="2"/>
  <c r="J1887" i="2" s="1"/>
  <c r="I1887" i="2"/>
  <c r="H1887" i="2"/>
  <c r="G1887" i="2"/>
  <c r="M1886" i="2"/>
  <c r="M1885" i="2"/>
  <c r="G1885" i="2" s="1"/>
  <c r="J1885" i="2"/>
  <c r="I1885" i="2"/>
  <c r="H1885" i="2"/>
  <c r="M1884" i="2"/>
  <c r="J1884" i="2" s="1"/>
  <c r="M1883" i="2"/>
  <c r="J1883" i="2" s="1"/>
  <c r="M1882" i="2"/>
  <c r="J1882" i="2"/>
  <c r="I1882" i="2"/>
  <c r="H1882" i="2"/>
  <c r="G1882" i="2"/>
  <c r="M1881" i="2"/>
  <c r="I1881" i="2" s="1"/>
  <c r="J1881" i="2"/>
  <c r="G1881" i="2"/>
  <c r="M1880" i="2"/>
  <c r="H1880" i="2" s="1"/>
  <c r="J1880" i="2"/>
  <c r="I1880" i="2"/>
  <c r="G1880" i="2"/>
  <c r="M1879" i="2"/>
  <c r="J1879" i="2" s="1"/>
  <c r="I1879" i="2"/>
  <c r="H1879" i="2"/>
  <c r="G1879" i="2"/>
  <c r="M1878" i="2"/>
  <c r="M1877" i="2"/>
  <c r="G1877" i="2" s="1"/>
  <c r="J1877" i="2"/>
  <c r="I1877" i="2"/>
  <c r="H1877" i="2"/>
  <c r="M1876" i="2"/>
  <c r="J1876" i="2" s="1"/>
  <c r="M1875" i="2"/>
  <c r="J1875" i="2" s="1"/>
  <c r="M1874" i="2"/>
  <c r="J1874" i="2"/>
  <c r="I1874" i="2"/>
  <c r="H1874" i="2"/>
  <c r="G1874" i="2"/>
  <c r="M1873" i="2"/>
  <c r="I1873" i="2" s="1"/>
  <c r="J1873" i="2"/>
  <c r="G1873" i="2"/>
  <c r="M1872" i="2"/>
  <c r="H1872" i="2" s="1"/>
  <c r="J1872" i="2"/>
  <c r="I1872" i="2"/>
  <c r="G1872" i="2"/>
  <c r="M1871" i="2"/>
  <c r="J1871" i="2" s="1"/>
  <c r="I1871" i="2"/>
  <c r="H1871" i="2"/>
  <c r="G1871" i="2"/>
  <c r="M1870" i="2"/>
  <c r="I1870" i="2" s="1"/>
  <c r="M1869" i="2"/>
  <c r="G1869" i="2" s="1"/>
  <c r="J1869" i="2"/>
  <c r="I1869" i="2"/>
  <c r="H1869" i="2"/>
  <c r="M1868" i="2"/>
  <c r="M1867" i="2"/>
  <c r="J1867" i="2" s="1"/>
  <c r="M1866" i="2"/>
  <c r="J1866" i="2"/>
  <c r="I1866" i="2"/>
  <c r="H1866" i="2"/>
  <c r="G1866" i="2"/>
  <c r="M1865" i="2"/>
  <c r="I1865" i="2" s="1"/>
  <c r="J1865" i="2"/>
  <c r="G1865" i="2"/>
  <c r="M1864" i="2"/>
  <c r="H1864" i="2" s="1"/>
  <c r="J1864" i="2"/>
  <c r="I1864" i="2"/>
  <c r="G1864" i="2"/>
  <c r="M1863" i="2"/>
  <c r="J1863" i="2" s="1"/>
  <c r="I1863" i="2"/>
  <c r="H1863" i="2"/>
  <c r="G1863" i="2"/>
  <c r="M1862" i="2"/>
  <c r="I1862" i="2"/>
  <c r="M1861" i="2"/>
  <c r="G1861" i="2" s="1"/>
  <c r="J1861" i="2"/>
  <c r="I1861" i="2"/>
  <c r="H1861" i="2"/>
  <c r="M1860" i="2"/>
  <c r="G1860" i="2" s="1"/>
  <c r="M1859" i="2"/>
  <c r="J1859" i="2"/>
  <c r="H1859" i="2"/>
  <c r="M1858" i="2"/>
  <c r="J1858" i="2"/>
  <c r="I1858" i="2"/>
  <c r="H1858" i="2"/>
  <c r="G1858" i="2"/>
  <c r="M1857" i="2"/>
  <c r="I1857" i="2" s="1"/>
  <c r="J1857" i="2"/>
  <c r="G1857" i="2"/>
  <c r="M1856" i="2"/>
  <c r="M1855" i="2"/>
  <c r="J1855" i="2" s="1"/>
  <c r="I1855" i="2"/>
  <c r="H1855" i="2"/>
  <c r="G1855" i="2"/>
  <c r="M1854" i="2"/>
  <c r="M1853" i="2"/>
  <c r="G1853" i="2" s="1"/>
  <c r="J1853" i="2"/>
  <c r="I1853" i="2"/>
  <c r="H1853" i="2"/>
  <c r="M1852" i="2"/>
  <c r="G1852" i="2"/>
  <c r="M1851" i="2"/>
  <c r="M1850" i="2"/>
  <c r="J1850" i="2"/>
  <c r="I1850" i="2"/>
  <c r="H1850" i="2"/>
  <c r="G1850" i="2"/>
  <c r="M1849" i="2"/>
  <c r="I1849" i="2" s="1"/>
  <c r="J1849" i="2"/>
  <c r="G1849" i="2"/>
  <c r="M1848" i="2"/>
  <c r="H1848" i="2" s="1"/>
  <c r="I1848" i="2"/>
  <c r="G1848" i="2"/>
  <c r="M1847" i="2"/>
  <c r="J1847" i="2"/>
  <c r="I1847" i="2"/>
  <c r="H1847" i="2"/>
  <c r="G1847" i="2"/>
  <c r="M1846" i="2"/>
  <c r="I1846" i="2"/>
  <c r="M1845" i="2"/>
  <c r="G1845" i="2" s="1"/>
  <c r="J1845" i="2"/>
  <c r="I1845" i="2"/>
  <c r="H1845" i="2"/>
  <c r="M1844" i="2"/>
  <c r="G1844" i="2" s="1"/>
  <c r="M1843" i="2"/>
  <c r="J1843" i="2"/>
  <c r="H1843" i="2"/>
  <c r="M1842" i="2"/>
  <c r="J1842" i="2"/>
  <c r="I1842" i="2"/>
  <c r="H1842" i="2"/>
  <c r="G1842" i="2"/>
  <c r="M1841" i="2"/>
  <c r="I1841" i="2" s="1"/>
  <c r="J1841" i="2"/>
  <c r="G1841" i="2"/>
  <c r="M1840" i="2"/>
  <c r="J1840" i="2"/>
  <c r="M1839" i="2"/>
  <c r="J1839" i="2" s="1"/>
  <c r="I1839" i="2"/>
  <c r="H1839" i="2"/>
  <c r="G1839" i="2"/>
  <c r="M1838" i="2"/>
  <c r="I1838" i="2"/>
  <c r="M1837" i="2"/>
  <c r="G1837" i="2" s="1"/>
  <c r="J1837" i="2"/>
  <c r="I1837" i="2"/>
  <c r="H1837" i="2"/>
  <c r="M1836" i="2"/>
  <c r="H1836" i="2"/>
  <c r="G1836" i="2"/>
  <c r="M1835" i="2"/>
  <c r="M1834" i="2"/>
  <c r="J1834" i="2"/>
  <c r="I1834" i="2"/>
  <c r="H1834" i="2"/>
  <c r="G1834" i="2"/>
  <c r="M1833" i="2"/>
  <c r="I1833" i="2" s="1"/>
  <c r="J1833" i="2"/>
  <c r="G1833" i="2"/>
  <c r="M1832" i="2"/>
  <c r="H1832" i="2" s="1"/>
  <c r="I1832" i="2"/>
  <c r="G1832" i="2"/>
  <c r="M1831" i="2"/>
  <c r="J1831" i="2" s="1"/>
  <c r="I1831" i="2"/>
  <c r="H1831" i="2"/>
  <c r="G1831" i="2"/>
  <c r="M1830" i="2"/>
  <c r="I1830" i="2" s="1"/>
  <c r="M1829" i="2"/>
  <c r="G1829" i="2" s="1"/>
  <c r="J1829" i="2"/>
  <c r="I1829" i="2"/>
  <c r="H1829" i="2"/>
  <c r="M1828" i="2"/>
  <c r="H1828" i="2" s="1"/>
  <c r="M1827" i="2"/>
  <c r="J1827" i="2"/>
  <c r="H1827" i="2"/>
  <c r="M1826" i="2"/>
  <c r="J1826" i="2"/>
  <c r="I1826" i="2"/>
  <c r="H1826" i="2"/>
  <c r="G1826" i="2"/>
  <c r="M1825" i="2"/>
  <c r="J1825" i="2"/>
  <c r="G1825" i="2"/>
  <c r="M1824" i="2"/>
  <c r="J1824" i="2"/>
  <c r="M1823" i="2"/>
  <c r="J1823" i="2" s="1"/>
  <c r="I1823" i="2"/>
  <c r="H1823" i="2"/>
  <c r="G1823" i="2"/>
  <c r="M1822" i="2"/>
  <c r="M1821" i="2"/>
  <c r="J1821" i="2" s="1"/>
  <c r="I1821" i="2"/>
  <c r="H1821" i="2"/>
  <c r="G1821" i="2"/>
  <c r="M1820" i="2"/>
  <c r="M1819" i="2"/>
  <c r="G1819" i="2" s="1"/>
  <c r="I1819" i="2"/>
  <c r="H1819" i="2"/>
  <c r="M1818" i="2"/>
  <c r="J1818" i="2"/>
  <c r="I1818" i="2"/>
  <c r="H1818" i="2"/>
  <c r="G1818" i="2"/>
  <c r="M1817" i="2"/>
  <c r="J1817" i="2"/>
  <c r="G1817" i="2"/>
  <c r="M1816" i="2"/>
  <c r="J1816" i="2" s="1"/>
  <c r="M1815" i="2"/>
  <c r="J1815" i="2" s="1"/>
  <c r="I1815" i="2"/>
  <c r="H1815" i="2"/>
  <c r="G1815" i="2"/>
  <c r="M1814" i="2"/>
  <c r="M1813" i="2"/>
  <c r="J1813" i="2" s="1"/>
  <c r="I1813" i="2"/>
  <c r="H1813" i="2"/>
  <c r="G1813" i="2"/>
  <c r="M1812" i="2"/>
  <c r="M1811" i="2"/>
  <c r="G1811" i="2" s="1"/>
  <c r="I1811" i="2"/>
  <c r="H1811" i="2"/>
  <c r="M1810" i="2"/>
  <c r="J1810" i="2"/>
  <c r="I1810" i="2"/>
  <c r="H1810" i="2"/>
  <c r="G1810" i="2"/>
  <c r="M1809" i="2"/>
  <c r="J1809" i="2"/>
  <c r="G1809" i="2"/>
  <c r="M1808" i="2"/>
  <c r="J1808" i="2"/>
  <c r="M1807" i="2"/>
  <c r="J1807" i="2" s="1"/>
  <c r="I1807" i="2"/>
  <c r="H1807" i="2"/>
  <c r="G1807" i="2"/>
  <c r="M1806" i="2"/>
  <c r="M1805" i="2"/>
  <c r="J1805" i="2" s="1"/>
  <c r="I1805" i="2"/>
  <c r="H1805" i="2"/>
  <c r="G1805" i="2"/>
  <c r="M1804" i="2"/>
  <c r="M1803" i="2"/>
  <c r="G1803" i="2" s="1"/>
  <c r="I1803" i="2"/>
  <c r="H1803" i="2"/>
  <c r="M1802" i="2"/>
  <c r="J1802" i="2"/>
  <c r="I1802" i="2"/>
  <c r="H1802" i="2"/>
  <c r="G1802" i="2"/>
  <c r="M1801" i="2"/>
  <c r="J1801" i="2"/>
  <c r="G1801" i="2"/>
  <c r="M1800" i="2"/>
  <c r="M1799" i="2"/>
  <c r="J1799" i="2" s="1"/>
  <c r="I1799" i="2"/>
  <c r="H1799" i="2"/>
  <c r="G1799" i="2"/>
  <c r="M1798" i="2"/>
  <c r="M1797" i="2"/>
  <c r="J1797" i="2" s="1"/>
  <c r="I1797" i="2"/>
  <c r="H1797" i="2"/>
  <c r="G1797" i="2"/>
  <c r="M1796" i="2"/>
  <c r="M1795" i="2"/>
  <c r="G1795" i="2" s="1"/>
  <c r="I1795" i="2"/>
  <c r="H1795" i="2"/>
  <c r="M1794" i="2"/>
  <c r="J1794" i="2"/>
  <c r="I1794" i="2"/>
  <c r="H1794" i="2"/>
  <c r="G1794" i="2"/>
  <c r="M1793" i="2"/>
  <c r="J1793" i="2"/>
  <c r="G1793" i="2"/>
  <c r="M1792" i="2"/>
  <c r="J1792" i="2"/>
  <c r="M1791" i="2"/>
  <c r="J1791" i="2" s="1"/>
  <c r="I1791" i="2"/>
  <c r="H1791" i="2"/>
  <c r="G1791" i="2"/>
  <c r="M1790" i="2"/>
  <c r="M1789" i="2"/>
  <c r="J1789" i="2" s="1"/>
  <c r="I1789" i="2"/>
  <c r="H1789" i="2"/>
  <c r="G1789" i="2"/>
  <c r="M1788" i="2"/>
  <c r="M1787" i="2"/>
  <c r="G1787" i="2" s="1"/>
  <c r="I1787" i="2"/>
  <c r="H1787" i="2"/>
  <c r="M1786" i="2"/>
  <c r="J1786" i="2"/>
  <c r="I1786" i="2"/>
  <c r="H1786" i="2"/>
  <c r="G1786" i="2"/>
  <c r="M1785" i="2"/>
  <c r="J1785" i="2"/>
  <c r="G1785" i="2"/>
  <c r="M1784" i="2"/>
  <c r="J1784" i="2"/>
  <c r="M1783" i="2"/>
  <c r="J1783" i="2"/>
  <c r="I1783" i="2"/>
  <c r="H1783" i="2"/>
  <c r="G1783" i="2"/>
  <c r="M1782" i="2"/>
  <c r="J1782" i="2" s="1"/>
  <c r="M1781" i="2"/>
  <c r="J1781" i="2"/>
  <c r="I1781" i="2"/>
  <c r="H1781" i="2"/>
  <c r="G1781" i="2"/>
  <c r="M1780" i="2"/>
  <c r="H1780" i="2" s="1"/>
  <c r="M1779" i="2"/>
  <c r="G1779" i="2" s="1"/>
  <c r="J1779" i="2"/>
  <c r="I1779" i="2"/>
  <c r="H1779" i="2"/>
  <c r="M1778" i="2"/>
  <c r="J1778" i="2"/>
  <c r="I1778" i="2"/>
  <c r="H1778" i="2"/>
  <c r="G1778" i="2"/>
  <c r="M1777" i="2"/>
  <c r="J1777" i="2"/>
  <c r="G1777" i="2"/>
  <c r="M1776" i="2"/>
  <c r="M1775" i="2"/>
  <c r="J1775" i="2" s="1"/>
  <c r="I1775" i="2"/>
  <c r="H1775" i="2"/>
  <c r="G1775" i="2"/>
  <c r="M1774" i="2"/>
  <c r="J1774" i="2" s="1"/>
  <c r="M1773" i="2"/>
  <c r="J1773" i="2"/>
  <c r="I1773" i="2"/>
  <c r="H1773" i="2"/>
  <c r="G1773" i="2"/>
  <c r="M1772" i="2"/>
  <c r="H1772" i="2" s="1"/>
  <c r="M1771" i="2"/>
  <c r="G1771" i="2" s="1"/>
  <c r="J1771" i="2"/>
  <c r="I1771" i="2"/>
  <c r="H1771" i="2"/>
  <c r="M1770" i="2"/>
  <c r="J1770" i="2"/>
  <c r="I1770" i="2"/>
  <c r="H1770" i="2"/>
  <c r="G1770" i="2"/>
  <c r="M1769" i="2"/>
  <c r="J1769" i="2"/>
  <c r="G1769" i="2"/>
  <c r="M1768" i="2"/>
  <c r="M1767" i="2"/>
  <c r="J1767" i="2" s="1"/>
  <c r="I1767" i="2"/>
  <c r="H1767" i="2"/>
  <c r="G1767" i="2"/>
  <c r="M1766" i="2"/>
  <c r="J1766" i="2" s="1"/>
  <c r="M1765" i="2"/>
  <c r="J1765" i="2"/>
  <c r="I1765" i="2"/>
  <c r="H1765" i="2"/>
  <c r="G1765" i="2"/>
  <c r="M1764" i="2"/>
  <c r="H1764" i="2" s="1"/>
  <c r="M1763" i="2"/>
  <c r="G1763" i="2" s="1"/>
  <c r="J1763" i="2"/>
  <c r="I1763" i="2"/>
  <c r="H1763" i="2"/>
  <c r="M1762" i="2"/>
  <c r="J1762" i="2"/>
  <c r="I1762" i="2"/>
  <c r="H1762" i="2"/>
  <c r="G1762" i="2"/>
  <c r="M1761" i="2"/>
  <c r="J1761" i="2"/>
  <c r="G1761" i="2"/>
  <c r="M1760" i="2"/>
  <c r="M1759" i="2"/>
  <c r="J1759" i="2" s="1"/>
  <c r="I1759" i="2"/>
  <c r="H1759" i="2"/>
  <c r="G1759" i="2"/>
  <c r="M1758" i="2"/>
  <c r="J1758" i="2" s="1"/>
  <c r="M1757" i="2"/>
  <c r="J1757" i="2"/>
  <c r="I1757" i="2"/>
  <c r="H1757" i="2"/>
  <c r="G1757" i="2"/>
  <c r="M1756" i="2"/>
  <c r="H1756" i="2" s="1"/>
  <c r="M1755" i="2"/>
  <c r="G1755" i="2" s="1"/>
  <c r="J1755" i="2"/>
  <c r="I1755" i="2"/>
  <c r="H1755" i="2"/>
  <c r="M1754" i="2"/>
  <c r="J1754" i="2"/>
  <c r="I1754" i="2"/>
  <c r="H1754" i="2"/>
  <c r="G1754" i="2"/>
  <c r="M1753" i="2"/>
  <c r="G1753" i="2" s="1"/>
  <c r="J1753" i="2"/>
  <c r="I1753" i="2"/>
  <c r="H1753" i="2"/>
  <c r="M1752" i="2"/>
  <c r="I1752" i="2" s="1"/>
  <c r="J1752" i="2"/>
  <c r="H1752" i="2"/>
  <c r="G1752" i="2"/>
  <c r="M1751" i="2"/>
  <c r="J1751" i="2" s="1"/>
  <c r="M1750" i="2"/>
  <c r="J1750" i="2"/>
  <c r="I1750" i="2"/>
  <c r="H1750" i="2"/>
  <c r="G1750" i="2"/>
  <c r="M1749" i="2"/>
  <c r="J1749" i="2" s="1"/>
  <c r="G1749" i="2"/>
  <c r="M1748" i="2"/>
  <c r="H1748" i="2" s="1"/>
  <c r="J1748" i="2"/>
  <c r="I1748" i="2"/>
  <c r="M1747" i="2"/>
  <c r="J1747" i="2" s="1"/>
  <c r="I1747" i="2"/>
  <c r="H1747" i="2"/>
  <c r="G1747" i="2"/>
  <c r="M1746" i="2"/>
  <c r="M1745" i="2"/>
  <c r="G1745" i="2" s="1"/>
  <c r="J1745" i="2"/>
  <c r="I1745" i="2"/>
  <c r="H1745" i="2"/>
  <c r="M1744" i="2"/>
  <c r="J1744" i="2" s="1"/>
  <c r="H1744" i="2"/>
  <c r="G1744" i="2"/>
  <c r="M1743" i="2"/>
  <c r="J1743" i="2" s="1"/>
  <c r="M1742" i="2"/>
  <c r="J1742" i="2"/>
  <c r="I1742" i="2"/>
  <c r="H1742" i="2"/>
  <c r="G1742" i="2"/>
  <c r="M1741" i="2"/>
  <c r="J1741" i="2" s="1"/>
  <c r="G1741" i="2"/>
  <c r="M1740" i="2"/>
  <c r="H1740" i="2" s="1"/>
  <c r="J1740" i="2"/>
  <c r="I1740" i="2"/>
  <c r="M1739" i="2"/>
  <c r="J1739" i="2" s="1"/>
  <c r="I1739" i="2"/>
  <c r="H1739" i="2"/>
  <c r="G1739" i="2"/>
  <c r="M1738" i="2"/>
  <c r="M1737" i="2"/>
  <c r="G1737" i="2" s="1"/>
  <c r="J1737" i="2"/>
  <c r="I1737" i="2"/>
  <c r="H1737" i="2"/>
  <c r="M1736" i="2"/>
  <c r="J1736" i="2" s="1"/>
  <c r="H1736" i="2"/>
  <c r="G1736" i="2"/>
  <c r="M1735" i="2"/>
  <c r="J1735" i="2" s="1"/>
  <c r="M1734" i="2"/>
  <c r="J1734" i="2"/>
  <c r="I1734" i="2"/>
  <c r="H1734" i="2"/>
  <c r="G1734" i="2"/>
  <c r="M1733" i="2"/>
  <c r="J1733" i="2" s="1"/>
  <c r="G1733" i="2"/>
  <c r="M1732" i="2"/>
  <c r="H1732" i="2" s="1"/>
  <c r="J1732" i="2"/>
  <c r="I1732" i="2"/>
  <c r="M1731" i="2"/>
  <c r="J1731" i="2" s="1"/>
  <c r="I1731" i="2"/>
  <c r="H1731" i="2"/>
  <c r="G1731" i="2"/>
  <c r="M1730" i="2"/>
  <c r="M1729" i="2"/>
  <c r="G1729" i="2" s="1"/>
  <c r="J1729" i="2"/>
  <c r="I1729" i="2"/>
  <c r="H1729" i="2"/>
  <c r="M1728" i="2"/>
  <c r="J1728" i="2" s="1"/>
  <c r="H1728" i="2"/>
  <c r="G1728" i="2"/>
  <c r="M1727" i="2"/>
  <c r="J1727" i="2" s="1"/>
  <c r="M1726" i="2"/>
  <c r="J1726" i="2"/>
  <c r="I1726" i="2"/>
  <c r="H1726" i="2"/>
  <c r="G1726" i="2"/>
  <c r="M1725" i="2"/>
  <c r="J1725" i="2" s="1"/>
  <c r="G1725" i="2"/>
  <c r="M1724" i="2"/>
  <c r="H1724" i="2" s="1"/>
  <c r="J1724" i="2"/>
  <c r="I1724" i="2"/>
  <c r="M1723" i="2"/>
  <c r="J1723" i="2" s="1"/>
  <c r="I1723" i="2"/>
  <c r="H1723" i="2"/>
  <c r="G1723" i="2"/>
  <c r="M1722" i="2"/>
  <c r="M1721" i="2"/>
  <c r="G1721" i="2" s="1"/>
  <c r="J1721" i="2"/>
  <c r="I1721" i="2"/>
  <c r="H1721" i="2"/>
  <c r="M1720" i="2"/>
  <c r="J1720" i="2" s="1"/>
  <c r="H1720" i="2"/>
  <c r="G1720" i="2"/>
  <c r="M1719" i="2"/>
  <c r="J1719" i="2" s="1"/>
  <c r="M1718" i="2"/>
  <c r="J1718" i="2"/>
  <c r="I1718" i="2"/>
  <c r="H1718" i="2"/>
  <c r="G1718" i="2"/>
  <c r="M1717" i="2"/>
  <c r="J1717" i="2" s="1"/>
  <c r="G1717" i="2"/>
  <c r="M1716" i="2"/>
  <c r="H1716" i="2" s="1"/>
  <c r="J1716" i="2"/>
  <c r="I1716" i="2"/>
  <c r="M1715" i="2"/>
  <c r="J1715" i="2" s="1"/>
  <c r="I1715" i="2"/>
  <c r="H1715" i="2"/>
  <c r="G1715" i="2"/>
  <c r="M1714" i="2"/>
  <c r="M1713" i="2"/>
  <c r="J1713" i="2"/>
  <c r="I1713" i="2"/>
  <c r="H1713" i="2"/>
  <c r="G1713" i="2"/>
  <c r="M1712" i="2"/>
  <c r="J1712" i="2" s="1"/>
  <c r="H1712" i="2"/>
  <c r="G1712" i="2"/>
  <c r="M1711" i="2"/>
  <c r="J1711" i="2"/>
  <c r="M1710" i="2"/>
  <c r="J1710" i="2"/>
  <c r="I1710" i="2"/>
  <c r="H1710" i="2"/>
  <c r="G1710" i="2"/>
  <c r="M1709" i="2"/>
  <c r="J1709" i="2" s="1"/>
  <c r="M1708" i="2"/>
  <c r="H1708" i="2" s="1"/>
  <c r="J1708" i="2"/>
  <c r="I1708" i="2"/>
  <c r="M1707" i="2"/>
  <c r="J1707" i="2" s="1"/>
  <c r="I1707" i="2"/>
  <c r="H1707" i="2"/>
  <c r="G1707" i="2"/>
  <c r="M1706" i="2"/>
  <c r="M1705" i="2"/>
  <c r="G1705" i="2" s="1"/>
  <c r="J1705" i="2"/>
  <c r="I1705" i="2"/>
  <c r="H1705" i="2"/>
  <c r="M1704" i="2"/>
  <c r="J1704" i="2" s="1"/>
  <c r="H1704" i="2"/>
  <c r="G1704" i="2"/>
  <c r="M1703" i="2"/>
  <c r="J1703" i="2" s="1"/>
  <c r="M1702" i="2"/>
  <c r="J1702" i="2"/>
  <c r="I1702" i="2"/>
  <c r="H1702" i="2"/>
  <c r="G1702" i="2"/>
  <c r="M1701" i="2"/>
  <c r="J1701" i="2" s="1"/>
  <c r="G1701" i="2"/>
  <c r="M1700" i="2"/>
  <c r="H1700" i="2" s="1"/>
  <c r="J1700" i="2"/>
  <c r="I1700" i="2"/>
  <c r="M1699" i="2"/>
  <c r="J1699" i="2" s="1"/>
  <c r="I1699" i="2"/>
  <c r="H1699" i="2"/>
  <c r="G1699" i="2"/>
  <c r="M1698" i="2"/>
  <c r="M1697" i="2"/>
  <c r="G1697" i="2" s="1"/>
  <c r="J1697" i="2"/>
  <c r="I1697" i="2"/>
  <c r="H1697" i="2"/>
  <c r="M1696" i="2"/>
  <c r="J1696" i="2" s="1"/>
  <c r="H1696" i="2"/>
  <c r="G1696" i="2"/>
  <c r="M1695" i="2"/>
  <c r="J1695" i="2" s="1"/>
  <c r="M1694" i="2"/>
  <c r="J1694" i="2"/>
  <c r="I1694" i="2"/>
  <c r="H1694" i="2"/>
  <c r="G1694" i="2"/>
  <c r="M1693" i="2"/>
  <c r="J1693" i="2" s="1"/>
  <c r="G1693" i="2"/>
  <c r="M1692" i="2"/>
  <c r="H1692" i="2" s="1"/>
  <c r="J1692" i="2"/>
  <c r="I1692" i="2"/>
  <c r="M1691" i="2"/>
  <c r="J1691" i="2" s="1"/>
  <c r="I1691" i="2"/>
  <c r="H1691" i="2"/>
  <c r="G1691" i="2"/>
  <c r="M1690" i="2"/>
  <c r="M1689" i="2"/>
  <c r="J1689" i="2"/>
  <c r="I1689" i="2"/>
  <c r="H1689" i="2"/>
  <c r="G1689" i="2"/>
  <c r="M1688" i="2"/>
  <c r="J1688" i="2" s="1"/>
  <c r="H1688" i="2"/>
  <c r="G1688" i="2"/>
  <c r="M1687" i="2"/>
  <c r="J1687" i="2"/>
  <c r="M1686" i="2"/>
  <c r="J1686" i="2"/>
  <c r="I1686" i="2"/>
  <c r="H1686" i="2"/>
  <c r="G1686" i="2"/>
  <c r="M1685" i="2"/>
  <c r="J1685" i="2" s="1"/>
  <c r="M1684" i="2"/>
  <c r="H1684" i="2" s="1"/>
  <c r="J1684" i="2"/>
  <c r="I1684" i="2"/>
  <c r="M1683" i="2"/>
  <c r="J1683" i="2" s="1"/>
  <c r="I1683" i="2"/>
  <c r="H1683" i="2"/>
  <c r="G1683" i="2"/>
  <c r="M1682" i="2"/>
  <c r="M1681" i="2"/>
  <c r="J1681" i="2"/>
  <c r="I1681" i="2"/>
  <c r="H1681" i="2"/>
  <c r="G1681" i="2"/>
  <c r="M1680" i="2"/>
  <c r="J1680" i="2" s="1"/>
  <c r="H1680" i="2"/>
  <c r="G1680" i="2"/>
  <c r="M1679" i="2"/>
  <c r="J1679" i="2"/>
  <c r="M1678" i="2"/>
  <c r="J1678" i="2"/>
  <c r="I1678" i="2"/>
  <c r="H1678" i="2"/>
  <c r="G1678" i="2"/>
  <c r="M1677" i="2"/>
  <c r="J1677" i="2" s="1"/>
  <c r="M1676" i="2"/>
  <c r="H1676" i="2" s="1"/>
  <c r="J1676" i="2"/>
  <c r="I1676" i="2"/>
  <c r="M1675" i="2"/>
  <c r="J1675" i="2" s="1"/>
  <c r="I1675" i="2"/>
  <c r="H1675" i="2"/>
  <c r="G1675" i="2"/>
  <c r="M1674" i="2"/>
  <c r="M1673" i="2"/>
  <c r="J1673" i="2"/>
  <c r="I1673" i="2"/>
  <c r="H1673" i="2"/>
  <c r="G1673" i="2"/>
  <c r="M1672" i="2"/>
  <c r="J1672" i="2" s="1"/>
  <c r="H1672" i="2"/>
  <c r="G1672" i="2"/>
  <c r="M1671" i="2"/>
  <c r="J1671" i="2"/>
  <c r="M1670" i="2"/>
  <c r="J1670" i="2"/>
  <c r="I1670" i="2"/>
  <c r="H1670" i="2"/>
  <c r="G1670" i="2"/>
  <c r="M1669" i="2"/>
  <c r="J1669" i="2" s="1"/>
  <c r="M1668" i="2"/>
  <c r="H1668" i="2" s="1"/>
  <c r="J1668" i="2"/>
  <c r="I1668" i="2"/>
  <c r="M1667" i="2"/>
  <c r="J1667" i="2" s="1"/>
  <c r="I1667" i="2"/>
  <c r="H1667" i="2"/>
  <c r="G1667" i="2"/>
  <c r="M1666" i="2"/>
  <c r="M1665" i="2"/>
  <c r="J1665" i="2"/>
  <c r="I1665" i="2"/>
  <c r="H1665" i="2"/>
  <c r="G1665" i="2"/>
  <c r="M1664" i="2"/>
  <c r="J1664" i="2" s="1"/>
  <c r="H1664" i="2"/>
  <c r="G1664" i="2"/>
  <c r="M1663" i="2"/>
  <c r="J1663" i="2"/>
  <c r="M1662" i="2"/>
  <c r="J1662" i="2"/>
  <c r="I1662" i="2"/>
  <c r="H1662" i="2"/>
  <c r="G1662" i="2"/>
  <c r="M1661" i="2"/>
  <c r="J1661" i="2" s="1"/>
  <c r="M1660" i="2"/>
  <c r="H1660" i="2" s="1"/>
  <c r="J1660" i="2"/>
  <c r="I1660" i="2"/>
  <c r="M1659" i="2"/>
  <c r="J1659" i="2" s="1"/>
  <c r="I1659" i="2"/>
  <c r="H1659" i="2"/>
  <c r="G1659" i="2"/>
  <c r="M1658" i="2"/>
  <c r="M1657" i="2"/>
  <c r="J1657" i="2"/>
  <c r="I1657" i="2"/>
  <c r="H1657" i="2"/>
  <c r="G1657" i="2"/>
  <c r="M1656" i="2"/>
  <c r="J1656" i="2" s="1"/>
  <c r="H1656" i="2"/>
  <c r="G1656" i="2"/>
  <c r="M1655" i="2"/>
  <c r="J1655" i="2"/>
  <c r="M1654" i="2"/>
  <c r="J1654" i="2"/>
  <c r="I1654" i="2"/>
  <c r="H1654" i="2"/>
  <c r="G1654" i="2"/>
  <c r="M1653" i="2"/>
  <c r="J1653" i="2" s="1"/>
  <c r="M1652" i="2"/>
  <c r="H1652" i="2" s="1"/>
  <c r="J1652" i="2"/>
  <c r="I1652" i="2"/>
  <c r="M1651" i="2"/>
  <c r="J1651" i="2" s="1"/>
  <c r="I1651" i="2"/>
  <c r="H1651" i="2"/>
  <c r="G1651" i="2"/>
  <c r="M1650" i="2"/>
  <c r="M1649" i="2"/>
  <c r="J1649" i="2"/>
  <c r="I1649" i="2"/>
  <c r="H1649" i="2"/>
  <c r="G1649" i="2"/>
  <c r="M1648" i="2"/>
  <c r="J1648" i="2" s="1"/>
  <c r="H1648" i="2"/>
  <c r="G1648" i="2"/>
  <c r="M1647" i="2"/>
  <c r="J1647" i="2"/>
  <c r="M1646" i="2"/>
  <c r="J1646" i="2"/>
  <c r="I1646" i="2"/>
  <c r="H1646" i="2"/>
  <c r="G1646" i="2"/>
  <c r="M1645" i="2"/>
  <c r="J1645" i="2" s="1"/>
  <c r="M1644" i="2"/>
  <c r="H1644" i="2" s="1"/>
  <c r="J1644" i="2"/>
  <c r="I1644" i="2"/>
  <c r="M1643" i="2"/>
  <c r="J1643" i="2" s="1"/>
  <c r="I1643" i="2"/>
  <c r="H1643" i="2"/>
  <c r="G1643" i="2"/>
  <c r="M1642" i="2"/>
  <c r="M1641" i="2"/>
  <c r="J1641" i="2"/>
  <c r="I1641" i="2"/>
  <c r="H1641" i="2"/>
  <c r="G1641" i="2"/>
  <c r="M1640" i="2"/>
  <c r="J1640" i="2" s="1"/>
  <c r="H1640" i="2"/>
  <c r="G1640" i="2"/>
  <c r="M1639" i="2"/>
  <c r="J1639" i="2"/>
  <c r="M1638" i="2"/>
  <c r="J1638" i="2"/>
  <c r="I1638" i="2"/>
  <c r="H1638" i="2"/>
  <c r="G1638" i="2"/>
  <c r="M1637" i="2"/>
  <c r="J1637" i="2" s="1"/>
  <c r="M1636" i="2"/>
  <c r="H1636" i="2" s="1"/>
  <c r="J1636" i="2"/>
  <c r="I1636" i="2"/>
  <c r="M1635" i="2"/>
  <c r="J1635" i="2" s="1"/>
  <c r="I1635" i="2"/>
  <c r="H1635" i="2"/>
  <c r="G1635" i="2"/>
  <c r="M1634" i="2"/>
  <c r="M1633" i="2"/>
  <c r="J1633" i="2"/>
  <c r="I1633" i="2"/>
  <c r="H1633" i="2"/>
  <c r="G1633" i="2"/>
  <c r="M1632" i="2"/>
  <c r="J1632" i="2" s="1"/>
  <c r="H1632" i="2"/>
  <c r="G1632" i="2"/>
  <c r="M1631" i="2"/>
  <c r="J1631" i="2"/>
  <c r="M1630" i="2"/>
  <c r="J1630" i="2"/>
  <c r="I1630" i="2"/>
  <c r="H1630" i="2"/>
  <c r="G1630" i="2"/>
  <c r="M1629" i="2"/>
  <c r="J1629" i="2" s="1"/>
  <c r="M1628" i="2"/>
  <c r="H1628" i="2" s="1"/>
  <c r="J1628" i="2"/>
  <c r="I1628" i="2"/>
  <c r="M1627" i="2"/>
  <c r="J1627" i="2" s="1"/>
  <c r="I1627" i="2"/>
  <c r="H1627" i="2"/>
  <c r="G1627" i="2"/>
  <c r="M1626" i="2"/>
  <c r="M1625" i="2"/>
  <c r="J1625" i="2"/>
  <c r="I1625" i="2"/>
  <c r="H1625" i="2"/>
  <c r="G1625" i="2"/>
  <c r="M1624" i="2"/>
  <c r="J1624" i="2" s="1"/>
  <c r="H1624" i="2"/>
  <c r="G1624" i="2"/>
  <c r="M1623" i="2"/>
  <c r="J1623" i="2"/>
  <c r="M1622" i="2"/>
  <c r="J1622" i="2"/>
  <c r="I1622" i="2"/>
  <c r="H1622" i="2"/>
  <c r="G1622" i="2"/>
  <c r="M1621" i="2"/>
  <c r="J1621" i="2" s="1"/>
  <c r="M1620" i="2"/>
  <c r="H1620" i="2" s="1"/>
  <c r="J1620" i="2"/>
  <c r="I1620" i="2"/>
  <c r="M1619" i="2"/>
  <c r="J1619" i="2" s="1"/>
  <c r="I1619" i="2"/>
  <c r="H1619" i="2"/>
  <c r="G1619" i="2"/>
  <c r="M1618" i="2"/>
  <c r="M1617" i="2"/>
  <c r="J1617" i="2"/>
  <c r="I1617" i="2"/>
  <c r="H1617" i="2"/>
  <c r="G1617" i="2"/>
  <c r="M1616" i="2"/>
  <c r="J1616" i="2" s="1"/>
  <c r="H1616" i="2"/>
  <c r="G1616" i="2"/>
  <c r="M1615" i="2"/>
  <c r="J1615" i="2"/>
  <c r="M1614" i="2"/>
  <c r="J1614" i="2"/>
  <c r="I1614" i="2"/>
  <c r="H1614" i="2"/>
  <c r="G1614" i="2"/>
  <c r="M1613" i="2"/>
  <c r="J1613" i="2" s="1"/>
  <c r="G1613" i="2"/>
  <c r="M1612" i="2"/>
  <c r="H1612" i="2" s="1"/>
  <c r="J1612" i="2"/>
  <c r="I1612" i="2"/>
  <c r="M1611" i="2"/>
  <c r="J1611" i="2" s="1"/>
  <c r="I1611" i="2"/>
  <c r="H1611" i="2"/>
  <c r="G1611" i="2"/>
  <c r="M1610" i="2"/>
  <c r="M1609" i="2"/>
  <c r="J1609" i="2"/>
  <c r="I1609" i="2"/>
  <c r="H1609" i="2"/>
  <c r="G1609" i="2"/>
  <c r="M1608" i="2"/>
  <c r="J1608" i="2" s="1"/>
  <c r="H1608" i="2"/>
  <c r="G1608" i="2"/>
  <c r="M1607" i="2"/>
  <c r="J1607" i="2"/>
  <c r="M1606" i="2"/>
  <c r="J1606" i="2"/>
  <c r="I1606" i="2"/>
  <c r="H1606" i="2"/>
  <c r="G1606" i="2"/>
  <c r="M1605" i="2"/>
  <c r="J1605" i="2" s="1"/>
  <c r="G1605" i="2"/>
  <c r="M1604" i="2"/>
  <c r="H1604" i="2" s="1"/>
  <c r="J1604" i="2"/>
  <c r="I1604" i="2"/>
  <c r="M1603" i="2"/>
  <c r="J1603" i="2" s="1"/>
  <c r="I1603" i="2"/>
  <c r="H1603" i="2"/>
  <c r="G1603" i="2"/>
  <c r="M1602" i="2"/>
  <c r="M1601" i="2"/>
  <c r="J1601" i="2"/>
  <c r="I1601" i="2"/>
  <c r="H1601" i="2"/>
  <c r="G1601" i="2"/>
  <c r="M1600" i="2"/>
  <c r="J1600" i="2" s="1"/>
  <c r="H1600" i="2"/>
  <c r="G1600" i="2"/>
  <c r="M1599" i="2"/>
  <c r="M1598" i="2"/>
  <c r="J1598" i="2"/>
  <c r="I1598" i="2"/>
  <c r="H1598" i="2"/>
  <c r="G1598" i="2"/>
  <c r="M1597" i="2"/>
  <c r="J1597" i="2" s="1"/>
  <c r="M1596" i="2"/>
  <c r="H1596" i="2" s="1"/>
  <c r="J1596" i="2"/>
  <c r="I1596" i="2"/>
  <c r="M1595" i="2"/>
  <c r="J1595" i="2" s="1"/>
  <c r="I1595" i="2"/>
  <c r="H1595" i="2"/>
  <c r="G1595" i="2"/>
  <c r="M1594" i="2"/>
  <c r="M1593" i="2"/>
  <c r="J1593" i="2"/>
  <c r="I1593" i="2"/>
  <c r="H1593" i="2"/>
  <c r="G1593" i="2"/>
  <c r="M1592" i="2"/>
  <c r="I1592" i="2" s="1"/>
  <c r="J1592" i="2"/>
  <c r="H1592" i="2"/>
  <c r="G1592" i="2"/>
  <c r="M1591" i="2"/>
  <c r="J1591" i="2" s="1"/>
  <c r="M1590" i="2"/>
  <c r="J1590" i="2"/>
  <c r="I1590" i="2"/>
  <c r="H1590" i="2"/>
  <c r="G1590" i="2"/>
  <c r="M1589" i="2"/>
  <c r="J1589" i="2" s="1"/>
  <c r="M1588" i="2"/>
  <c r="H1588" i="2" s="1"/>
  <c r="J1588" i="2"/>
  <c r="I1588" i="2"/>
  <c r="M1587" i="2"/>
  <c r="J1587" i="2" s="1"/>
  <c r="I1587" i="2"/>
  <c r="H1587" i="2"/>
  <c r="G1587" i="2"/>
  <c r="M1586" i="2"/>
  <c r="M1585" i="2"/>
  <c r="J1585" i="2"/>
  <c r="I1585" i="2"/>
  <c r="H1585" i="2"/>
  <c r="G1585" i="2"/>
  <c r="M1584" i="2"/>
  <c r="I1584" i="2" s="1"/>
  <c r="J1584" i="2"/>
  <c r="H1584" i="2"/>
  <c r="G1584" i="2"/>
  <c r="M1583" i="2"/>
  <c r="J1583" i="2"/>
  <c r="M1582" i="2"/>
  <c r="J1582" i="2"/>
  <c r="I1582" i="2"/>
  <c r="H1582" i="2"/>
  <c r="G1582" i="2"/>
  <c r="M1581" i="2"/>
  <c r="J1581" i="2" s="1"/>
  <c r="M1580" i="2"/>
  <c r="H1580" i="2" s="1"/>
  <c r="J1580" i="2"/>
  <c r="I1580" i="2"/>
  <c r="M1579" i="2"/>
  <c r="J1579" i="2" s="1"/>
  <c r="I1579" i="2"/>
  <c r="H1579" i="2"/>
  <c r="G1579" i="2"/>
  <c r="M1578" i="2"/>
  <c r="G1578" i="2" s="1"/>
  <c r="M1577" i="2"/>
  <c r="J1577" i="2"/>
  <c r="I1577" i="2"/>
  <c r="H1577" i="2"/>
  <c r="G1577" i="2"/>
  <c r="M1576" i="2"/>
  <c r="J1576" i="2"/>
  <c r="I1576" i="2"/>
  <c r="H1576" i="2"/>
  <c r="G1576" i="2"/>
  <c r="M1575" i="2"/>
  <c r="J1575" i="2" s="1"/>
  <c r="M1574" i="2"/>
  <c r="H1574" i="2" s="1"/>
  <c r="M1573" i="2"/>
  <c r="J1573" i="2" s="1"/>
  <c r="H1573" i="2"/>
  <c r="G1573" i="2"/>
  <c r="M1572" i="2"/>
  <c r="H1572" i="2" s="1"/>
  <c r="J1572" i="2"/>
  <c r="I1572" i="2"/>
  <c r="M1571" i="2"/>
  <c r="J1571" i="2"/>
  <c r="I1571" i="2"/>
  <c r="H1571" i="2"/>
  <c r="G1571" i="2"/>
  <c r="M1570" i="2"/>
  <c r="G1570" i="2" s="1"/>
  <c r="M1569" i="2"/>
  <c r="J1569" i="2"/>
  <c r="I1569" i="2"/>
  <c r="H1569" i="2"/>
  <c r="G1569" i="2"/>
  <c r="M1568" i="2"/>
  <c r="J1568" i="2"/>
  <c r="I1568" i="2"/>
  <c r="H1568" i="2"/>
  <c r="G1568" i="2"/>
  <c r="M1567" i="2"/>
  <c r="J1567" i="2" s="1"/>
  <c r="M1566" i="2"/>
  <c r="H1566" i="2"/>
  <c r="G1566" i="2"/>
  <c r="M1565" i="2"/>
  <c r="J1565" i="2" s="1"/>
  <c r="H1565" i="2"/>
  <c r="M1564" i="2"/>
  <c r="H1564" i="2" s="1"/>
  <c r="J1564" i="2"/>
  <c r="I1564" i="2"/>
  <c r="M1563" i="2"/>
  <c r="J1563" i="2"/>
  <c r="I1563" i="2"/>
  <c r="H1563" i="2"/>
  <c r="G1563" i="2"/>
  <c r="M1562" i="2"/>
  <c r="M1561" i="2"/>
  <c r="J1561" i="2"/>
  <c r="I1561" i="2"/>
  <c r="H1561" i="2"/>
  <c r="G1561" i="2"/>
  <c r="M1560" i="2"/>
  <c r="J1560" i="2"/>
  <c r="I1560" i="2"/>
  <c r="H1560" i="2"/>
  <c r="G1560" i="2"/>
  <c r="M1559" i="2"/>
  <c r="J1559" i="2"/>
  <c r="M1558" i="2"/>
  <c r="H1558" i="2"/>
  <c r="G1558" i="2"/>
  <c r="M1557" i="2"/>
  <c r="J1557" i="2" s="1"/>
  <c r="H1557" i="2"/>
  <c r="M1556" i="2"/>
  <c r="H1556" i="2" s="1"/>
  <c r="J1556" i="2"/>
  <c r="I1556" i="2"/>
  <c r="M1555" i="2"/>
  <c r="J1555" i="2"/>
  <c r="I1555" i="2"/>
  <c r="H1555" i="2"/>
  <c r="G1555" i="2"/>
  <c r="M1554" i="2"/>
  <c r="G1554" i="2"/>
  <c r="M1553" i="2"/>
  <c r="J1553" i="2"/>
  <c r="I1553" i="2"/>
  <c r="H1553" i="2"/>
  <c r="G1553" i="2"/>
  <c r="M1552" i="2"/>
  <c r="J1552" i="2" s="1"/>
  <c r="I1552" i="2"/>
  <c r="H1552" i="2"/>
  <c r="G1552" i="2"/>
  <c r="M1551" i="2"/>
  <c r="J1551" i="2"/>
  <c r="M1550" i="2"/>
  <c r="M1549" i="2"/>
  <c r="J1549" i="2" s="1"/>
  <c r="H1549" i="2"/>
  <c r="G1549" i="2"/>
  <c r="M1548" i="2"/>
  <c r="H1548" i="2" s="1"/>
  <c r="J1548" i="2"/>
  <c r="I1548" i="2"/>
  <c r="M1547" i="2"/>
  <c r="J1547" i="2"/>
  <c r="I1547" i="2"/>
  <c r="H1547" i="2"/>
  <c r="G1547" i="2"/>
  <c r="M1546" i="2"/>
  <c r="G1546" i="2"/>
  <c r="M1545" i="2"/>
  <c r="J1545" i="2"/>
  <c r="I1545" i="2"/>
  <c r="H1545" i="2"/>
  <c r="G1545" i="2"/>
  <c r="M1544" i="2"/>
  <c r="J1544" i="2" s="1"/>
  <c r="I1544" i="2"/>
  <c r="H1544" i="2"/>
  <c r="G1544" i="2"/>
  <c r="M1543" i="2"/>
  <c r="J1543" i="2" s="1"/>
  <c r="M1542" i="2"/>
  <c r="H1542" i="2"/>
  <c r="G1542" i="2"/>
  <c r="M1541" i="2"/>
  <c r="J1541" i="2" s="1"/>
  <c r="H1541" i="2"/>
  <c r="M1540" i="2"/>
  <c r="H1540" i="2" s="1"/>
  <c r="J1540" i="2"/>
  <c r="I1540" i="2"/>
  <c r="M1539" i="2"/>
  <c r="J1539" i="2"/>
  <c r="I1539" i="2"/>
  <c r="H1539" i="2"/>
  <c r="G1539" i="2"/>
  <c r="M1538" i="2"/>
  <c r="M1537" i="2"/>
  <c r="J1537" i="2"/>
  <c r="I1537" i="2"/>
  <c r="H1537" i="2"/>
  <c r="G1537" i="2"/>
  <c r="M1536" i="2"/>
  <c r="J1536" i="2"/>
  <c r="I1536" i="2"/>
  <c r="H1536" i="2"/>
  <c r="G1536" i="2"/>
  <c r="M1535" i="2"/>
  <c r="J1535" i="2"/>
  <c r="M1534" i="2"/>
  <c r="H1534" i="2"/>
  <c r="G1534" i="2"/>
  <c r="M1533" i="2"/>
  <c r="J1533" i="2" s="1"/>
  <c r="H1533" i="2"/>
  <c r="G1533" i="2"/>
  <c r="M1532" i="2"/>
  <c r="H1532" i="2" s="1"/>
  <c r="J1532" i="2"/>
  <c r="I1532" i="2"/>
  <c r="M1531" i="2"/>
  <c r="J1531" i="2"/>
  <c r="I1531" i="2"/>
  <c r="H1531" i="2"/>
  <c r="G1531" i="2"/>
  <c r="M1530" i="2"/>
  <c r="G1530" i="2"/>
  <c r="M1529" i="2"/>
  <c r="G1529" i="2" s="1"/>
  <c r="J1529" i="2"/>
  <c r="I1529" i="2"/>
  <c r="H1529" i="2"/>
  <c r="M1528" i="2"/>
  <c r="J1528" i="2"/>
  <c r="I1528" i="2"/>
  <c r="H1528" i="2"/>
  <c r="G1528" i="2"/>
  <c r="M1527" i="2"/>
  <c r="J1527" i="2" s="1"/>
  <c r="M1526" i="2"/>
  <c r="H1526" i="2" s="1"/>
  <c r="M1525" i="2"/>
  <c r="J1525" i="2" s="1"/>
  <c r="H1525" i="2"/>
  <c r="M1524" i="2"/>
  <c r="H1524" i="2" s="1"/>
  <c r="J1524" i="2"/>
  <c r="I1524" i="2"/>
  <c r="M1523" i="2"/>
  <c r="J1523" i="2"/>
  <c r="I1523" i="2"/>
  <c r="H1523" i="2"/>
  <c r="G1523" i="2"/>
  <c r="M1522" i="2"/>
  <c r="G1522" i="2"/>
  <c r="M1521" i="2"/>
  <c r="J1521" i="2"/>
  <c r="I1521" i="2"/>
  <c r="H1521" i="2"/>
  <c r="G1521" i="2"/>
  <c r="M1520" i="2"/>
  <c r="J1520" i="2"/>
  <c r="I1520" i="2"/>
  <c r="H1520" i="2"/>
  <c r="G1520" i="2"/>
  <c r="M1519" i="2"/>
  <c r="J1519" i="2"/>
  <c r="M1518" i="2"/>
  <c r="G1518" i="2" s="1"/>
  <c r="H1518" i="2"/>
  <c r="M1517" i="2"/>
  <c r="J1517" i="2" s="1"/>
  <c r="H1517" i="2"/>
  <c r="M1516" i="2"/>
  <c r="H1516" i="2" s="1"/>
  <c r="J1516" i="2"/>
  <c r="I1516" i="2"/>
  <c r="M1515" i="2"/>
  <c r="J1515" i="2"/>
  <c r="I1515" i="2"/>
  <c r="H1515" i="2"/>
  <c r="G1515" i="2"/>
  <c r="M1514" i="2"/>
  <c r="G1514" i="2" s="1"/>
  <c r="M1513" i="2"/>
  <c r="J1513" i="2"/>
  <c r="I1513" i="2"/>
  <c r="H1513" i="2"/>
  <c r="G1513" i="2"/>
  <c r="M1512" i="2"/>
  <c r="J1512" i="2"/>
  <c r="I1512" i="2"/>
  <c r="H1512" i="2"/>
  <c r="G1512" i="2"/>
  <c r="M1511" i="2"/>
  <c r="J1511" i="2" s="1"/>
  <c r="M1510" i="2"/>
  <c r="H1510" i="2"/>
  <c r="M1509" i="2"/>
  <c r="J1509" i="2" s="1"/>
  <c r="H1509" i="2"/>
  <c r="M1508" i="2"/>
  <c r="H1508" i="2" s="1"/>
  <c r="J1508" i="2"/>
  <c r="I1508" i="2"/>
  <c r="M1507" i="2"/>
  <c r="J1507" i="2"/>
  <c r="I1507" i="2"/>
  <c r="H1507" i="2"/>
  <c r="G1507" i="2"/>
  <c r="M1506" i="2"/>
  <c r="G1506" i="2"/>
  <c r="M1505" i="2"/>
  <c r="J1505" i="2"/>
  <c r="I1505" i="2"/>
  <c r="H1505" i="2"/>
  <c r="G1505" i="2"/>
  <c r="M1504" i="2"/>
  <c r="J1504" i="2" s="1"/>
  <c r="I1504" i="2"/>
  <c r="H1504" i="2"/>
  <c r="G1504" i="2"/>
  <c r="M1503" i="2"/>
  <c r="J1503" i="2"/>
  <c r="M1502" i="2"/>
  <c r="H1502" i="2" s="1"/>
  <c r="M1501" i="2"/>
  <c r="J1501" i="2" s="1"/>
  <c r="H1501" i="2"/>
  <c r="M1500" i="2"/>
  <c r="H1500" i="2" s="1"/>
  <c r="J1500" i="2"/>
  <c r="I1500" i="2"/>
  <c r="M1499" i="2"/>
  <c r="J1499" i="2"/>
  <c r="I1499" i="2"/>
  <c r="H1499" i="2"/>
  <c r="G1499" i="2"/>
  <c r="M1498" i="2"/>
  <c r="G1498" i="2"/>
  <c r="M1497" i="2"/>
  <c r="J1497" i="2"/>
  <c r="I1497" i="2"/>
  <c r="H1497" i="2"/>
  <c r="G1497" i="2"/>
  <c r="M1496" i="2"/>
  <c r="J1496" i="2" s="1"/>
  <c r="I1496" i="2"/>
  <c r="H1496" i="2"/>
  <c r="G1496" i="2"/>
  <c r="M1495" i="2"/>
  <c r="J1495" i="2" s="1"/>
  <c r="M1494" i="2"/>
  <c r="H1494" i="2"/>
  <c r="G1494" i="2"/>
  <c r="M1493" i="2"/>
  <c r="J1493" i="2" s="1"/>
  <c r="H1493" i="2"/>
  <c r="G1493" i="2"/>
  <c r="M1492" i="2"/>
  <c r="H1492" i="2" s="1"/>
  <c r="J1492" i="2"/>
  <c r="I1492" i="2"/>
  <c r="M1491" i="2"/>
  <c r="J1491" i="2"/>
  <c r="I1491" i="2"/>
  <c r="H1491" i="2"/>
  <c r="G1491" i="2"/>
  <c r="M1490" i="2"/>
  <c r="G1490" i="2" s="1"/>
  <c r="M1489" i="2"/>
  <c r="J1489" i="2"/>
  <c r="I1489" i="2"/>
  <c r="H1489" i="2"/>
  <c r="G1489" i="2"/>
  <c r="M1488" i="2"/>
  <c r="J1488" i="2" s="1"/>
  <c r="I1488" i="2"/>
  <c r="G1488" i="2"/>
  <c r="M1487" i="2"/>
  <c r="J1487" i="2"/>
  <c r="M1486" i="2"/>
  <c r="H1486" i="2" s="1"/>
  <c r="G1486" i="2"/>
  <c r="M1485" i="2"/>
  <c r="I1485" i="2" s="1"/>
  <c r="J1485" i="2"/>
  <c r="H1485" i="2"/>
  <c r="G1485" i="2"/>
  <c r="M1484" i="2"/>
  <c r="H1484" i="2" s="1"/>
  <c r="J1484" i="2"/>
  <c r="I1484" i="2"/>
  <c r="M1483" i="2"/>
  <c r="J1483" i="2"/>
  <c r="I1483" i="2"/>
  <c r="H1483" i="2"/>
  <c r="G1483" i="2"/>
  <c r="M1482" i="2"/>
  <c r="G1482" i="2"/>
  <c r="M1481" i="2"/>
  <c r="G1481" i="2" s="1"/>
  <c r="J1481" i="2"/>
  <c r="I1481" i="2"/>
  <c r="H1481" i="2"/>
  <c r="M1480" i="2"/>
  <c r="J1480" i="2" s="1"/>
  <c r="I1480" i="2"/>
  <c r="G1480" i="2"/>
  <c r="M1479" i="2"/>
  <c r="J1479" i="2" s="1"/>
  <c r="M1478" i="2"/>
  <c r="H1478" i="2"/>
  <c r="M1477" i="2"/>
  <c r="I1477" i="2" s="1"/>
  <c r="J1477" i="2"/>
  <c r="H1477" i="2"/>
  <c r="G1477" i="2"/>
  <c r="M1476" i="2"/>
  <c r="H1476" i="2" s="1"/>
  <c r="J1476" i="2"/>
  <c r="I1476" i="2"/>
  <c r="M1475" i="2"/>
  <c r="J1475" i="2"/>
  <c r="I1475" i="2"/>
  <c r="H1475" i="2"/>
  <c r="G1475" i="2"/>
  <c r="M1474" i="2"/>
  <c r="G1474" i="2"/>
  <c r="M1473" i="2"/>
  <c r="J1473" i="2"/>
  <c r="I1473" i="2"/>
  <c r="H1473" i="2"/>
  <c r="G1473" i="2"/>
  <c r="M1472" i="2"/>
  <c r="J1472" i="2" s="1"/>
  <c r="I1472" i="2"/>
  <c r="G1472" i="2"/>
  <c r="M1471" i="2"/>
  <c r="M1470" i="2"/>
  <c r="H1470" i="2"/>
  <c r="G1470" i="2"/>
  <c r="M1469" i="2"/>
  <c r="J1469" i="2" s="1"/>
  <c r="H1469" i="2"/>
  <c r="M1468" i="2"/>
  <c r="H1468" i="2" s="1"/>
  <c r="J1468" i="2"/>
  <c r="I1468" i="2"/>
  <c r="M1467" i="2"/>
  <c r="I1467" i="2" s="1"/>
  <c r="J1467" i="2"/>
  <c r="H1467" i="2"/>
  <c r="G1467" i="2"/>
  <c r="M1466" i="2"/>
  <c r="G1466" i="2"/>
  <c r="M1465" i="2"/>
  <c r="J1465" i="2"/>
  <c r="I1465" i="2"/>
  <c r="H1465" i="2"/>
  <c r="G1465" i="2"/>
  <c r="M1464" i="2"/>
  <c r="J1464" i="2" s="1"/>
  <c r="I1464" i="2"/>
  <c r="G1464" i="2"/>
  <c r="M1463" i="2"/>
  <c r="M1462" i="2"/>
  <c r="H1462" i="2"/>
  <c r="G1462" i="2"/>
  <c r="M1461" i="2"/>
  <c r="I1461" i="2" s="1"/>
  <c r="J1461" i="2"/>
  <c r="H1461" i="2"/>
  <c r="M1460" i="2"/>
  <c r="H1460" i="2" s="1"/>
  <c r="J1460" i="2"/>
  <c r="I1460" i="2"/>
  <c r="M1459" i="2"/>
  <c r="J1459" i="2"/>
  <c r="I1459" i="2"/>
  <c r="H1459" i="2"/>
  <c r="G1459" i="2"/>
  <c r="M1458" i="2"/>
  <c r="M1457" i="2"/>
  <c r="J1457" i="2"/>
  <c r="I1457" i="2"/>
  <c r="H1457" i="2"/>
  <c r="G1457" i="2"/>
  <c r="M1456" i="2"/>
  <c r="J1456" i="2" s="1"/>
  <c r="I1456" i="2"/>
  <c r="G1456" i="2"/>
  <c r="M1455" i="2"/>
  <c r="J1455" i="2"/>
  <c r="M1454" i="2"/>
  <c r="H1454" i="2"/>
  <c r="G1454" i="2"/>
  <c r="M1453" i="2"/>
  <c r="I1453" i="2" s="1"/>
  <c r="J1453" i="2"/>
  <c r="H1453" i="2"/>
  <c r="M1452" i="2"/>
  <c r="H1452" i="2" s="1"/>
  <c r="J1452" i="2"/>
  <c r="I1452" i="2"/>
  <c r="M1451" i="2"/>
  <c r="J1451" i="2"/>
  <c r="I1451" i="2"/>
  <c r="H1451" i="2"/>
  <c r="G1451" i="2"/>
  <c r="M1450" i="2"/>
  <c r="G1450" i="2"/>
  <c r="M1449" i="2"/>
  <c r="J1449" i="2"/>
  <c r="I1449" i="2"/>
  <c r="H1449" i="2"/>
  <c r="G1449" i="2"/>
  <c r="M1448" i="2"/>
  <c r="J1448" i="2" s="1"/>
  <c r="I1448" i="2"/>
  <c r="G1448" i="2"/>
  <c r="M1447" i="2"/>
  <c r="J1447" i="2"/>
  <c r="M1446" i="2"/>
  <c r="H1446" i="2"/>
  <c r="G1446" i="2"/>
  <c r="M1445" i="2"/>
  <c r="I1445" i="2" s="1"/>
  <c r="J1445" i="2"/>
  <c r="H1445" i="2"/>
  <c r="M1444" i="2"/>
  <c r="H1444" i="2" s="1"/>
  <c r="J1444" i="2"/>
  <c r="I1444" i="2"/>
  <c r="M1443" i="2"/>
  <c r="J1443" i="2"/>
  <c r="I1443" i="2"/>
  <c r="H1443" i="2"/>
  <c r="G1443" i="2"/>
  <c r="M1442" i="2"/>
  <c r="G1442" i="2"/>
  <c r="M1441" i="2"/>
  <c r="J1441" i="2"/>
  <c r="I1441" i="2"/>
  <c r="H1441" i="2"/>
  <c r="G1441" i="2"/>
  <c r="M1440" i="2"/>
  <c r="J1440" i="2" s="1"/>
  <c r="I1440" i="2"/>
  <c r="G1440" i="2"/>
  <c r="M1439" i="2"/>
  <c r="J1439" i="2"/>
  <c r="M1438" i="2"/>
  <c r="M1437" i="2"/>
  <c r="J1437" i="2" s="1"/>
  <c r="H1437" i="2"/>
  <c r="G1437" i="2"/>
  <c r="M1436" i="2"/>
  <c r="H1436" i="2" s="1"/>
  <c r="J1436" i="2"/>
  <c r="I1436" i="2"/>
  <c r="M1435" i="2"/>
  <c r="I1435" i="2" s="1"/>
  <c r="J1435" i="2"/>
  <c r="H1435" i="2"/>
  <c r="G1435" i="2"/>
  <c r="M1434" i="2"/>
  <c r="G1434" i="2" s="1"/>
  <c r="M1433" i="2"/>
  <c r="J1433" i="2"/>
  <c r="I1433" i="2"/>
  <c r="H1433" i="2"/>
  <c r="G1433" i="2"/>
  <c r="M1432" i="2"/>
  <c r="J1432" i="2" s="1"/>
  <c r="I1432" i="2"/>
  <c r="G1432" i="2"/>
  <c r="M1431" i="2"/>
  <c r="J1431" i="2"/>
  <c r="M1430" i="2"/>
  <c r="H1430" i="2" s="1"/>
  <c r="M1429" i="2"/>
  <c r="J1429" i="2" s="1"/>
  <c r="H1429" i="2"/>
  <c r="M1428" i="2"/>
  <c r="H1428" i="2" s="1"/>
  <c r="J1428" i="2"/>
  <c r="I1428" i="2"/>
  <c r="M1427" i="2"/>
  <c r="I1427" i="2" s="1"/>
  <c r="J1427" i="2"/>
  <c r="H1427" i="2"/>
  <c r="G1427" i="2"/>
  <c r="M1426" i="2"/>
  <c r="G1426" i="2" s="1"/>
  <c r="M1425" i="2"/>
  <c r="J1425" i="2"/>
  <c r="I1425" i="2"/>
  <c r="H1425" i="2"/>
  <c r="G1425" i="2"/>
  <c r="M1424" i="2"/>
  <c r="J1424" i="2" s="1"/>
  <c r="I1424" i="2"/>
  <c r="G1424" i="2"/>
  <c r="M1423" i="2"/>
  <c r="J1423" i="2"/>
  <c r="M1422" i="2"/>
  <c r="H1422" i="2" s="1"/>
  <c r="M1421" i="2"/>
  <c r="J1421" i="2" s="1"/>
  <c r="H1421" i="2"/>
  <c r="M1420" i="2"/>
  <c r="H1420" i="2" s="1"/>
  <c r="J1420" i="2"/>
  <c r="I1420" i="2"/>
  <c r="M1419" i="2"/>
  <c r="I1419" i="2" s="1"/>
  <c r="J1419" i="2"/>
  <c r="H1419" i="2"/>
  <c r="G1419" i="2"/>
  <c r="M1418" i="2"/>
  <c r="G1418" i="2" s="1"/>
  <c r="M1417" i="2"/>
  <c r="J1417" i="2"/>
  <c r="I1417" i="2"/>
  <c r="H1417" i="2"/>
  <c r="G1417" i="2"/>
  <c r="M1416" i="2"/>
  <c r="J1416" i="2" s="1"/>
  <c r="I1416" i="2"/>
  <c r="G1416" i="2"/>
  <c r="M1415" i="2"/>
  <c r="J1415" i="2"/>
  <c r="M1414" i="2"/>
  <c r="H1414" i="2" s="1"/>
  <c r="M1413" i="2"/>
  <c r="J1413" i="2" s="1"/>
  <c r="H1413" i="2"/>
  <c r="M1412" i="2"/>
  <c r="H1412" i="2" s="1"/>
  <c r="J1412" i="2"/>
  <c r="I1412" i="2"/>
  <c r="M1411" i="2"/>
  <c r="I1411" i="2" s="1"/>
  <c r="J1411" i="2"/>
  <c r="H1411" i="2"/>
  <c r="G1411" i="2"/>
  <c r="M1410" i="2"/>
  <c r="G1410" i="2" s="1"/>
  <c r="M1409" i="2"/>
  <c r="J1409" i="2"/>
  <c r="I1409" i="2"/>
  <c r="H1409" i="2"/>
  <c r="G1409" i="2"/>
  <c r="M1408" i="2"/>
  <c r="J1408" i="2" s="1"/>
  <c r="I1408" i="2"/>
  <c r="G1408" i="2"/>
  <c r="M1407" i="2"/>
  <c r="J1407" i="2"/>
  <c r="M1406" i="2"/>
  <c r="H1406" i="2" s="1"/>
  <c r="M1405" i="2"/>
  <c r="J1405" i="2" s="1"/>
  <c r="H1405" i="2"/>
  <c r="M1404" i="2"/>
  <c r="H1404" i="2" s="1"/>
  <c r="J1404" i="2"/>
  <c r="I1404" i="2"/>
  <c r="M1403" i="2"/>
  <c r="J1403" i="2"/>
  <c r="I1403" i="2"/>
  <c r="H1403" i="2"/>
  <c r="G1403" i="2"/>
  <c r="M1402" i="2"/>
  <c r="G1402" i="2"/>
  <c r="M1401" i="2"/>
  <c r="J1401" i="2"/>
  <c r="I1401" i="2"/>
  <c r="H1401" i="2"/>
  <c r="G1401" i="2"/>
  <c r="M1400" i="2"/>
  <c r="J1400" i="2" s="1"/>
  <c r="I1400" i="2"/>
  <c r="G1400" i="2"/>
  <c r="M1399" i="2"/>
  <c r="M1398" i="2"/>
  <c r="H1398" i="2"/>
  <c r="G1398" i="2"/>
  <c r="M1397" i="2"/>
  <c r="J1397" i="2" s="1"/>
  <c r="H1397" i="2"/>
  <c r="M1396" i="2"/>
  <c r="H1396" i="2" s="1"/>
  <c r="J1396" i="2"/>
  <c r="I1396" i="2"/>
  <c r="M1395" i="2"/>
  <c r="J1395" i="2"/>
  <c r="I1395" i="2"/>
  <c r="H1395" i="2"/>
  <c r="G1395" i="2"/>
  <c r="M1394" i="2"/>
  <c r="G1394" i="2" s="1"/>
  <c r="M1393" i="2"/>
  <c r="J1393" i="2"/>
  <c r="I1393" i="2"/>
  <c r="H1393" i="2"/>
  <c r="G1393" i="2"/>
  <c r="M1392" i="2"/>
  <c r="J1392" i="2" s="1"/>
  <c r="I1392" i="2"/>
  <c r="G1392" i="2"/>
  <c r="M1391" i="2"/>
  <c r="J1391" i="2" s="1"/>
  <c r="M1390" i="2"/>
  <c r="H1390" i="2"/>
  <c r="G1390" i="2"/>
  <c r="M1389" i="2"/>
  <c r="J1389" i="2" s="1"/>
  <c r="H1389" i="2"/>
  <c r="M1388" i="2"/>
  <c r="H1388" i="2" s="1"/>
  <c r="J1388" i="2"/>
  <c r="I1388" i="2"/>
  <c r="M1387" i="2"/>
  <c r="J1387" i="2"/>
  <c r="I1387" i="2"/>
  <c r="H1387" i="2"/>
  <c r="G1387" i="2"/>
  <c r="M1386" i="2"/>
  <c r="M1385" i="2"/>
  <c r="J1385" i="2"/>
  <c r="I1385" i="2"/>
  <c r="H1385" i="2"/>
  <c r="G1385" i="2"/>
  <c r="M1384" i="2"/>
  <c r="J1384" i="2" s="1"/>
  <c r="I1384" i="2"/>
  <c r="H1384" i="2"/>
  <c r="G1384" i="2"/>
  <c r="M1383" i="2"/>
  <c r="J1383" i="2"/>
  <c r="M1382" i="2"/>
  <c r="H1382" i="2" s="1"/>
  <c r="G1382" i="2"/>
  <c r="M1381" i="2"/>
  <c r="J1381" i="2" s="1"/>
  <c r="I1381" i="2"/>
  <c r="H1381" i="2"/>
  <c r="G1381" i="2"/>
  <c r="M1380" i="2"/>
  <c r="H1380" i="2" s="1"/>
  <c r="J1380" i="2"/>
  <c r="I1380" i="2"/>
  <c r="M1379" i="2"/>
  <c r="I1379" i="2" s="1"/>
  <c r="J1379" i="2"/>
  <c r="H1379" i="2"/>
  <c r="G1379" i="2"/>
  <c r="M1378" i="2"/>
  <c r="G1378" i="2"/>
  <c r="M1377" i="2"/>
  <c r="G1377" i="2" s="1"/>
  <c r="J1377" i="2"/>
  <c r="I1377" i="2"/>
  <c r="H1377" i="2"/>
  <c r="M1376" i="2"/>
  <c r="J1376" i="2" s="1"/>
  <c r="I1376" i="2"/>
  <c r="G1376" i="2"/>
  <c r="M1375" i="2"/>
  <c r="J1375" i="2"/>
  <c r="M1374" i="2"/>
  <c r="H1374" i="2"/>
  <c r="G1374" i="2"/>
  <c r="M1373" i="2"/>
  <c r="J1373" i="2"/>
  <c r="I1373" i="2"/>
  <c r="H1373" i="2"/>
  <c r="G1373" i="2"/>
  <c r="M1372" i="2"/>
  <c r="H1372" i="2" s="1"/>
  <c r="J1372" i="2"/>
  <c r="I1372" i="2"/>
  <c r="M1371" i="2"/>
  <c r="I1371" i="2" s="1"/>
  <c r="J1371" i="2"/>
  <c r="H1371" i="2"/>
  <c r="G1371" i="2"/>
  <c r="M1370" i="2"/>
  <c r="G1370" i="2" s="1"/>
  <c r="M1369" i="2"/>
  <c r="G1369" i="2" s="1"/>
  <c r="J1369" i="2"/>
  <c r="I1369" i="2"/>
  <c r="H1369" i="2"/>
  <c r="M1368" i="2"/>
  <c r="J1368" i="2" s="1"/>
  <c r="I1368" i="2"/>
  <c r="H1368" i="2"/>
  <c r="G1368" i="2"/>
  <c r="M1367" i="2"/>
  <c r="J1367" i="2"/>
  <c r="M1366" i="2"/>
  <c r="H1366" i="2" s="1"/>
  <c r="M1365" i="2"/>
  <c r="J1365" i="2" s="1"/>
  <c r="H1365" i="2"/>
  <c r="G1365" i="2"/>
  <c r="M1364" i="2"/>
  <c r="H1364" i="2" s="1"/>
  <c r="J1364" i="2"/>
  <c r="I1364" i="2"/>
  <c r="M1363" i="2"/>
  <c r="J1363" i="2"/>
  <c r="I1363" i="2"/>
  <c r="H1363" i="2"/>
  <c r="G1363" i="2"/>
  <c r="M1362" i="2"/>
  <c r="G1362" i="2"/>
  <c r="M1361" i="2"/>
  <c r="G1361" i="2" s="1"/>
  <c r="J1361" i="2"/>
  <c r="I1361" i="2"/>
  <c r="H1361" i="2"/>
  <c r="M1360" i="2"/>
  <c r="J1360" i="2" s="1"/>
  <c r="I1360" i="2"/>
  <c r="H1360" i="2"/>
  <c r="G1360" i="2"/>
  <c r="M1359" i="2"/>
  <c r="J1359" i="2" s="1"/>
  <c r="M1358" i="2"/>
  <c r="H1358" i="2"/>
  <c r="G1358" i="2"/>
  <c r="M1357" i="2"/>
  <c r="J1357" i="2" s="1"/>
  <c r="H1357" i="2"/>
  <c r="G1357" i="2"/>
  <c r="M1356" i="2"/>
  <c r="H1356" i="2" s="1"/>
  <c r="J1356" i="2"/>
  <c r="I1356" i="2"/>
  <c r="M1355" i="2"/>
  <c r="J1355" i="2"/>
  <c r="I1355" i="2"/>
  <c r="H1355" i="2"/>
  <c r="G1355" i="2"/>
  <c r="M1354" i="2"/>
  <c r="G1354" i="2" s="1"/>
  <c r="M1353" i="2"/>
  <c r="J1353" i="2"/>
  <c r="I1353" i="2"/>
  <c r="H1353" i="2"/>
  <c r="G1353" i="2"/>
  <c r="M1352" i="2"/>
  <c r="J1352" i="2"/>
  <c r="I1352" i="2"/>
  <c r="H1352" i="2"/>
  <c r="G1352" i="2"/>
  <c r="M1351" i="2"/>
  <c r="J1351" i="2" s="1"/>
  <c r="M1350" i="2"/>
  <c r="H1350" i="2" s="1"/>
  <c r="M1349" i="2"/>
  <c r="J1349" i="2" s="1"/>
  <c r="H1349" i="2"/>
  <c r="G1349" i="2"/>
  <c r="M1348" i="2"/>
  <c r="H1348" i="2" s="1"/>
  <c r="J1348" i="2"/>
  <c r="I1348" i="2"/>
  <c r="M1347" i="2"/>
  <c r="J1347" i="2"/>
  <c r="I1347" i="2"/>
  <c r="H1347" i="2"/>
  <c r="G1347" i="2"/>
  <c r="M1346" i="2"/>
  <c r="G1346" i="2" s="1"/>
  <c r="M1345" i="2"/>
  <c r="J1345" i="2"/>
  <c r="I1345" i="2"/>
  <c r="H1345" i="2"/>
  <c r="G1345" i="2"/>
  <c r="M1344" i="2"/>
  <c r="J1344" i="2" s="1"/>
  <c r="I1344" i="2"/>
  <c r="H1344" i="2"/>
  <c r="G1344" i="2"/>
  <c r="M1343" i="2"/>
  <c r="M1342" i="2"/>
  <c r="H1342" i="2"/>
  <c r="G1342" i="2"/>
  <c r="M1341" i="2"/>
  <c r="J1341" i="2" s="1"/>
  <c r="H1341" i="2"/>
  <c r="M1340" i="2"/>
  <c r="H1340" i="2" s="1"/>
  <c r="J1340" i="2"/>
  <c r="I1340" i="2"/>
  <c r="M1339" i="2"/>
  <c r="J1339" i="2"/>
  <c r="I1339" i="2"/>
  <c r="H1339" i="2"/>
  <c r="G1339" i="2"/>
  <c r="M1338" i="2"/>
  <c r="G1338" i="2"/>
  <c r="M1337" i="2"/>
  <c r="J1337" i="2"/>
  <c r="I1337" i="2"/>
  <c r="H1337" i="2"/>
  <c r="G1337" i="2"/>
  <c r="M1336" i="2"/>
  <c r="J1336" i="2"/>
  <c r="I1336" i="2"/>
  <c r="H1336" i="2"/>
  <c r="G1336" i="2"/>
  <c r="M1335" i="2"/>
  <c r="J1335" i="2"/>
  <c r="M1334" i="2"/>
  <c r="H1334" i="2" s="1"/>
  <c r="G1334" i="2"/>
  <c r="M1333" i="2"/>
  <c r="J1333" i="2" s="1"/>
  <c r="H1333" i="2"/>
  <c r="G1333" i="2"/>
  <c r="M1332" i="2"/>
  <c r="H1332" i="2" s="1"/>
  <c r="J1332" i="2"/>
  <c r="I1332" i="2"/>
  <c r="M1331" i="2"/>
  <c r="J1331" i="2"/>
  <c r="I1331" i="2"/>
  <c r="H1331" i="2"/>
  <c r="G1331" i="2"/>
  <c r="M1330" i="2"/>
  <c r="G1330" i="2"/>
  <c r="M1329" i="2"/>
  <c r="J1329" i="2"/>
  <c r="I1329" i="2"/>
  <c r="H1329" i="2"/>
  <c r="G1329" i="2"/>
  <c r="M1328" i="2"/>
  <c r="J1328" i="2"/>
  <c r="I1328" i="2"/>
  <c r="H1328" i="2"/>
  <c r="G1328" i="2"/>
  <c r="M1327" i="2"/>
  <c r="J1327" i="2"/>
  <c r="M1326" i="2"/>
  <c r="H1326" i="2" s="1"/>
  <c r="M1325" i="2"/>
  <c r="J1325" i="2" s="1"/>
  <c r="H1325" i="2"/>
  <c r="G1325" i="2"/>
  <c r="M1324" i="2"/>
  <c r="H1324" i="2" s="1"/>
  <c r="J1324" i="2"/>
  <c r="I1324" i="2"/>
  <c r="M1323" i="2"/>
  <c r="I1323" i="2" s="1"/>
  <c r="J1323" i="2"/>
  <c r="H1323" i="2"/>
  <c r="G1323" i="2"/>
  <c r="M1322" i="2"/>
  <c r="G1322" i="2"/>
  <c r="M1321" i="2"/>
  <c r="J1321" i="2"/>
  <c r="I1321" i="2"/>
  <c r="H1321" i="2"/>
  <c r="G1321" i="2"/>
  <c r="M1320" i="2"/>
  <c r="J1320" i="2"/>
  <c r="I1320" i="2"/>
  <c r="H1320" i="2"/>
  <c r="G1320" i="2"/>
  <c r="M1319" i="2"/>
  <c r="J1319" i="2"/>
  <c r="M1318" i="2"/>
  <c r="G1318" i="2" s="1"/>
  <c r="H1318" i="2"/>
  <c r="M1317" i="2"/>
  <c r="J1317" i="2" s="1"/>
  <c r="I1317" i="2"/>
  <c r="H1317" i="2"/>
  <c r="G1317" i="2"/>
  <c r="M1316" i="2"/>
  <c r="H1316" i="2" s="1"/>
  <c r="J1316" i="2"/>
  <c r="I1316" i="2"/>
  <c r="M1315" i="2"/>
  <c r="I1315" i="2" s="1"/>
  <c r="J1315" i="2"/>
  <c r="H1315" i="2"/>
  <c r="G1315" i="2"/>
  <c r="M1314" i="2"/>
  <c r="G1314" i="2"/>
  <c r="M1313" i="2"/>
  <c r="G1313" i="2" s="1"/>
  <c r="J1313" i="2"/>
  <c r="I1313" i="2"/>
  <c r="H1313" i="2"/>
  <c r="M1312" i="2"/>
  <c r="J1312" i="2"/>
  <c r="I1312" i="2"/>
  <c r="H1312" i="2"/>
  <c r="G1312" i="2"/>
  <c r="M1311" i="2"/>
  <c r="J1311" i="2" s="1"/>
  <c r="M1310" i="2"/>
  <c r="H1310" i="2" s="1"/>
  <c r="M1309" i="2"/>
  <c r="J1309" i="2" s="1"/>
  <c r="I1309" i="2"/>
  <c r="H1309" i="2"/>
  <c r="G1309" i="2"/>
  <c r="M1308" i="2"/>
  <c r="H1308" i="2" s="1"/>
  <c r="J1308" i="2"/>
  <c r="I1308" i="2"/>
  <c r="M1307" i="2"/>
  <c r="I1307" i="2" s="1"/>
  <c r="J1307" i="2"/>
  <c r="H1307" i="2"/>
  <c r="G1307" i="2"/>
  <c r="M1306" i="2"/>
  <c r="G1306" i="2" s="1"/>
  <c r="M1305" i="2"/>
  <c r="G1305" i="2" s="1"/>
  <c r="J1305" i="2"/>
  <c r="I1305" i="2"/>
  <c r="H1305" i="2"/>
  <c r="M1304" i="2"/>
  <c r="J1304" i="2"/>
  <c r="I1304" i="2"/>
  <c r="H1304" i="2"/>
  <c r="G1304" i="2"/>
  <c r="M1303" i="2"/>
  <c r="M1302" i="2"/>
  <c r="H1302" i="2"/>
  <c r="G1302" i="2"/>
  <c r="M1301" i="2"/>
  <c r="J1301" i="2" s="1"/>
  <c r="H1301" i="2"/>
  <c r="G1301" i="2"/>
  <c r="M1300" i="2"/>
  <c r="H1300" i="2" s="1"/>
  <c r="J1300" i="2"/>
  <c r="I1300" i="2"/>
  <c r="M1299" i="2"/>
  <c r="I1299" i="2" s="1"/>
  <c r="J1299" i="2"/>
  <c r="H1299" i="2"/>
  <c r="G1299" i="2"/>
  <c r="M1298" i="2"/>
  <c r="G1298" i="2"/>
  <c r="M1297" i="2"/>
  <c r="G1297" i="2" s="1"/>
  <c r="J1297" i="2"/>
  <c r="I1297" i="2"/>
  <c r="H1297" i="2"/>
  <c r="M1296" i="2"/>
  <c r="J1296" i="2"/>
  <c r="I1296" i="2"/>
  <c r="H1296" i="2"/>
  <c r="G1296" i="2"/>
  <c r="M1295" i="2"/>
  <c r="J1295" i="2"/>
  <c r="M1294" i="2"/>
  <c r="G1294" i="2" s="1"/>
  <c r="H1294" i="2"/>
  <c r="M1293" i="2"/>
  <c r="J1293" i="2" s="1"/>
  <c r="I1293" i="2"/>
  <c r="H1293" i="2"/>
  <c r="G1293" i="2"/>
  <c r="M1292" i="2"/>
  <c r="H1292" i="2" s="1"/>
  <c r="J1292" i="2"/>
  <c r="I1292" i="2"/>
  <c r="M1291" i="2"/>
  <c r="J1291" i="2"/>
  <c r="I1291" i="2"/>
  <c r="H1291" i="2"/>
  <c r="G1291" i="2"/>
  <c r="M1290" i="2"/>
  <c r="G1290" i="2"/>
  <c r="M1289" i="2"/>
  <c r="G1289" i="2" s="1"/>
  <c r="J1289" i="2"/>
  <c r="I1289" i="2"/>
  <c r="H1289" i="2"/>
  <c r="M1288" i="2"/>
  <c r="J1288" i="2"/>
  <c r="I1288" i="2"/>
  <c r="H1288" i="2"/>
  <c r="G1288" i="2"/>
  <c r="M1287" i="2"/>
  <c r="J1287" i="2"/>
  <c r="M1286" i="2"/>
  <c r="M1285" i="2"/>
  <c r="J1285" i="2" s="1"/>
  <c r="H1285" i="2"/>
  <c r="G1285" i="2"/>
  <c r="M1284" i="2"/>
  <c r="H1284" i="2" s="1"/>
  <c r="J1284" i="2"/>
  <c r="I1284" i="2"/>
  <c r="M1283" i="2"/>
  <c r="I1283" i="2" s="1"/>
  <c r="J1283" i="2"/>
  <c r="H1283" i="2"/>
  <c r="G1283" i="2"/>
  <c r="M1282" i="2"/>
  <c r="G1282" i="2" s="1"/>
  <c r="M1281" i="2"/>
  <c r="J1281" i="2"/>
  <c r="I1281" i="2"/>
  <c r="H1281" i="2"/>
  <c r="G1281" i="2"/>
  <c r="M1280" i="2"/>
  <c r="J1280" i="2"/>
  <c r="I1280" i="2"/>
  <c r="H1280" i="2"/>
  <c r="G1280" i="2"/>
  <c r="M1279" i="2"/>
  <c r="J1279" i="2" s="1"/>
  <c r="M1278" i="2"/>
  <c r="H1278" i="2"/>
  <c r="G1278" i="2"/>
  <c r="M1277" i="2"/>
  <c r="J1277" i="2" s="1"/>
  <c r="H1277" i="2"/>
  <c r="M1276" i="2"/>
  <c r="H1276" i="2" s="1"/>
  <c r="J1276" i="2"/>
  <c r="I1276" i="2"/>
  <c r="M1275" i="2"/>
  <c r="I1275" i="2" s="1"/>
  <c r="J1275" i="2"/>
  <c r="H1275" i="2"/>
  <c r="G1275" i="2"/>
  <c r="M1274" i="2"/>
  <c r="G1274" i="2" s="1"/>
  <c r="M1273" i="2"/>
  <c r="J1273" i="2"/>
  <c r="I1273" i="2"/>
  <c r="H1273" i="2"/>
  <c r="G1273" i="2"/>
  <c r="M1272" i="2"/>
  <c r="J1272" i="2"/>
  <c r="I1272" i="2"/>
  <c r="H1272" i="2"/>
  <c r="G1272" i="2"/>
  <c r="M1271" i="2"/>
  <c r="J1271" i="2"/>
  <c r="M1270" i="2"/>
  <c r="H1270" i="2" s="1"/>
  <c r="G1270" i="2"/>
  <c r="M1269" i="2"/>
  <c r="J1269" i="2" s="1"/>
  <c r="H1269" i="2"/>
  <c r="M1268" i="2"/>
  <c r="H1268" i="2" s="1"/>
  <c r="J1268" i="2"/>
  <c r="I1268" i="2"/>
  <c r="M1267" i="2"/>
  <c r="J1267" i="2"/>
  <c r="I1267" i="2"/>
  <c r="H1267" i="2"/>
  <c r="G1267" i="2"/>
  <c r="M1266" i="2"/>
  <c r="G1266" i="2"/>
  <c r="M1265" i="2"/>
  <c r="J1265" i="2"/>
  <c r="I1265" i="2"/>
  <c r="H1265" i="2"/>
  <c r="G1265" i="2"/>
  <c r="M1264" i="2"/>
  <c r="J1264" i="2"/>
  <c r="I1264" i="2"/>
  <c r="H1264" i="2"/>
  <c r="G1264" i="2"/>
  <c r="M1263" i="2"/>
  <c r="J1263" i="2"/>
  <c r="M1262" i="2"/>
  <c r="M1261" i="2"/>
  <c r="J1261" i="2" s="1"/>
  <c r="H1261" i="2"/>
  <c r="G1261" i="2"/>
  <c r="M1260" i="2"/>
  <c r="H1260" i="2" s="1"/>
  <c r="J1260" i="2"/>
  <c r="I1260" i="2"/>
  <c r="M1259" i="2"/>
  <c r="J1259" i="2"/>
  <c r="I1259" i="2"/>
  <c r="H1259" i="2"/>
  <c r="G1259" i="2"/>
  <c r="M1258" i="2"/>
  <c r="G1258" i="2"/>
  <c r="M1257" i="2"/>
  <c r="J1257" i="2"/>
  <c r="I1257" i="2"/>
  <c r="H1257" i="2"/>
  <c r="G1257" i="2"/>
  <c r="M1256" i="2"/>
  <c r="J1256" i="2"/>
  <c r="I1256" i="2"/>
  <c r="H1256" i="2"/>
  <c r="G1256" i="2"/>
  <c r="M1255" i="2"/>
  <c r="J1255" i="2"/>
  <c r="M1254" i="2"/>
  <c r="H1254" i="2" s="1"/>
  <c r="M1253" i="2"/>
  <c r="J1253" i="2" s="1"/>
  <c r="H1253" i="2"/>
  <c r="G1253" i="2"/>
  <c r="M1252" i="2"/>
  <c r="H1252" i="2" s="1"/>
  <c r="J1252" i="2"/>
  <c r="I1252" i="2"/>
  <c r="M1251" i="2"/>
  <c r="J1251" i="2"/>
  <c r="I1251" i="2"/>
  <c r="H1251" i="2"/>
  <c r="G1251" i="2"/>
  <c r="M1250" i="2"/>
  <c r="G1250" i="2"/>
  <c r="M1249" i="2"/>
  <c r="J1249" i="2"/>
  <c r="I1249" i="2"/>
  <c r="H1249" i="2"/>
  <c r="G1249" i="2"/>
  <c r="M1248" i="2"/>
  <c r="J1248" i="2"/>
  <c r="I1248" i="2"/>
  <c r="H1248" i="2"/>
  <c r="G1248" i="2"/>
  <c r="M1247" i="2"/>
  <c r="J1247" i="2"/>
  <c r="M1246" i="2"/>
  <c r="M1245" i="2"/>
  <c r="J1245" i="2" s="1"/>
  <c r="H1245" i="2"/>
  <c r="G1245" i="2"/>
  <c r="M1244" i="2"/>
  <c r="H1244" i="2" s="1"/>
  <c r="J1244" i="2"/>
  <c r="I1244" i="2"/>
  <c r="M1243" i="2"/>
  <c r="J1243" i="2"/>
  <c r="I1243" i="2"/>
  <c r="H1243" i="2"/>
  <c r="G1243" i="2"/>
  <c r="M1242" i="2"/>
  <c r="G1242" i="2"/>
  <c r="M1241" i="2"/>
  <c r="G1241" i="2" s="1"/>
  <c r="J1241" i="2"/>
  <c r="I1241" i="2"/>
  <c r="H1241" i="2"/>
  <c r="M1240" i="2"/>
  <c r="J1240" i="2"/>
  <c r="I1240" i="2"/>
  <c r="H1240" i="2"/>
  <c r="G1240" i="2"/>
  <c r="M1239" i="2"/>
  <c r="J1239" i="2" s="1"/>
  <c r="M1238" i="2"/>
  <c r="H1238" i="2"/>
  <c r="G1238" i="2"/>
  <c r="M1237" i="2"/>
  <c r="J1237" i="2" s="1"/>
  <c r="H1237" i="2"/>
  <c r="G1237" i="2"/>
  <c r="M1236" i="2"/>
  <c r="H1236" i="2" s="1"/>
  <c r="J1236" i="2"/>
  <c r="I1236" i="2"/>
  <c r="M1235" i="2"/>
  <c r="J1235" i="2"/>
  <c r="I1235" i="2"/>
  <c r="H1235" i="2"/>
  <c r="G1235" i="2"/>
  <c r="M1234" i="2"/>
  <c r="G1234" i="2" s="1"/>
  <c r="M1233" i="2"/>
  <c r="G1233" i="2" s="1"/>
  <c r="J1233" i="2"/>
  <c r="I1233" i="2"/>
  <c r="H1233" i="2"/>
  <c r="M1232" i="2"/>
  <c r="J1232" i="2"/>
  <c r="I1232" i="2"/>
  <c r="H1232" i="2"/>
  <c r="G1232" i="2"/>
  <c r="M1231" i="2"/>
  <c r="J1231" i="2" s="1"/>
  <c r="M1230" i="2"/>
  <c r="H1230" i="2"/>
  <c r="G1230" i="2"/>
  <c r="M1229" i="2"/>
  <c r="J1229" i="2" s="1"/>
  <c r="H1229" i="2"/>
  <c r="G1229" i="2"/>
  <c r="M1228" i="2"/>
  <c r="H1228" i="2" s="1"/>
  <c r="J1228" i="2"/>
  <c r="I1228" i="2"/>
  <c r="M1227" i="2"/>
  <c r="J1227" i="2"/>
  <c r="I1227" i="2"/>
  <c r="H1227" i="2"/>
  <c r="G1227" i="2"/>
  <c r="M1226" i="2"/>
  <c r="G1226" i="2" s="1"/>
  <c r="M1225" i="2"/>
  <c r="J1225" i="2"/>
  <c r="I1225" i="2"/>
  <c r="H1225" i="2"/>
  <c r="G1225" i="2"/>
  <c r="M1224" i="2"/>
  <c r="J1224" i="2"/>
  <c r="I1224" i="2"/>
  <c r="H1224" i="2"/>
  <c r="G1224" i="2"/>
  <c r="M1223" i="2"/>
  <c r="M1222" i="2"/>
  <c r="H1222" i="2"/>
  <c r="G1222" i="2"/>
  <c r="M1221" i="2"/>
  <c r="J1221" i="2" s="1"/>
  <c r="H1221" i="2"/>
  <c r="G1221" i="2"/>
  <c r="M1220" i="2"/>
  <c r="H1220" i="2" s="1"/>
  <c r="J1220" i="2"/>
  <c r="I1220" i="2"/>
  <c r="M1219" i="2"/>
  <c r="J1219" i="2"/>
  <c r="I1219" i="2"/>
  <c r="H1219" i="2"/>
  <c r="G1219" i="2"/>
  <c r="M1218" i="2"/>
  <c r="M1217" i="2"/>
  <c r="J1217" i="2"/>
  <c r="I1217" i="2"/>
  <c r="H1217" i="2"/>
  <c r="G1217" i="2"/>
  <c r="M1216" i="2"/>
  <c r="J1216" i="2"/>
  <c r="I1216" i="2"/>
  <c r="H1216" i="2"/>
  <c r="G1216" i="2"/>
  <c r="M1215" i="2"/>
  <c r="J1215" i="2" s="1"/>
  <c r="M1214" i="2"/>
  <c r="H1214" i="2"/>
  <c r="G1214" i="2"/>
  <c r="M1213" i="2"/>
  <c r="J1213" i="2" s="1"/>
  <c r="H1213" i="2"/>
  <c r="G1213" i="2"/>
  <c r="M1212" i="2"/>
  <c r="H1212" i="2" s="1"/>
  <c r="J1212" i="2"/>
  <c r="I1212" i="2"/>
  <c r="M1211" i="2"/>
  <c r="J1211" i="2"/>
  <c r="I1211" i="2"/>
  <c r="H1211" i="2"/>
  <c r="G1211" i="2"/>
  <c r="M1210" i="2"/>
  <c r="G1210" i="2" s="1"/>
  <c r="M1209" i="2"/>
  <c r="G1209" i="2" s="1"/>
  <c r="I1209" i="2"/>
  <c r="H1209" i="2"/>
  <c r="M1208" i="2"/>
  <c r="J1208" i="2"/>
  <c r="I1208" i="2"/>
  <c r="H1208" i="2"/>
  <c r="G1208" i="2"/>
  <c r="M1207" i="2"/>
  <c r="J1207" i="2"/>
  <c r="M1206" i="2"/>
  <c r="M1205" i="2"/>
  <c r="J1205" i="2" s="1"/>
  <c r="H1205" i="2"/>
  <c r="G1205" i="2"/>
  <c r="M1204" i="2"/>
  <c r="H1204" i="2" s="1"/>
  <c r="J1204" i="2"/>
  <c r="I1204" i="2"/>
  <c r="M1203" i="2"/>
  <c r="J1203" i="2"/>
  <c r="I1203" i="2"/>
  <c r="H1203" i="2"/>
  <c r="G1203" i="2"/>
  <c r="M1202" i="2"/>
  <c r="G1202" i="2"/>
  <c r="M1201" i="2"/>
  <c r="G1201" i="2" s="1"/>
  <c r="I1201" i="2"/>
  <c r="H1201" i="2"/>
  <c r="M1200" i="2"/>
  <c r="J1200" i="2" s="1"/>
  <c r="I1200" i="2"/>
  <c r="H1200" i="2"/>
  <c r="G1200" i="2"/>
  <c r="M1199" i="2"/>
  <c r="J1199" i="2" s="1"/>
  <c r="M1198" i="2"/>
  <c r="I1198" i="2" s="1"/>
  <c r="H1198" i="2"/>
  <c r="G1198" i="2"/>
  <c r="M1197" i="2"/>
  <c r="J1197" i="2" s="1"/>
  <c r="I1197" i="2"/>
  <c r="H1197" i="2"/>
  <c r="G1197" i="2"/>
  <c r="M1196" i="2"/>
  <c r="H1196" i="2" s="1"/>
  <c r="J1196" i="2"/>
  <c r="I1196" i="2"/>
  <c r="M1195" i="2"/>
  <c r="J1195" i="2"/>
  <c r="I1195" i="2"/>
  <c r="H1195" i="2"/>
  <c r="G1195" i="2"/>
  <c r="M1194" i="2"/>
  <c r="G1194" i="2" s="1"/>
  <c r="M1193" i="2"/>
  <c r="I1193" i="2"/>
  <c r="H1193" i="2"/>
  <c r="M1192" i="2"/>
  <c r="J1192" i="2" s="1"/>
  <c r="I1192" i="2"/>
  <c r="H1192" i="2"/>
  <c r="G1192" i="2"/>
  <c r="M1191" i="2"/>
  <c r="J1191" i="2"/>
  <c r="M1190" i="2"/>
  <c r="J1190" i="2" s="1"/>
  <c r="H1190" i="2"/>
  <c r="G1190" i="2"/>
  <c r="M1189" i="2"/>
  <c r="J1189" i="2" s="1"/>
  <c r="H1189" i="2"/>
  <c r="G1189" i="2"/>
  <c r="M1188" i="2"/>
  <c r="J1188" i="2" s="1"/>
  <c r="M1187" i="2"/>
  <c r="J1187" i="2"/>
  <c r="I1187" i="2"/>
  <c r="H1187" i="2"/>
  <c r="G1187" i="2"/>
  <c r="M1186" i="2"/>
  <c r="G1186" i="2" s="1"/>
  <c r="M1185" i="2"/>
  <c r="G1185" i="2" s="1"/>
  <c r="J1185" i="2"/>
  <c r="I1185" i="2"/>
  <c r="M1184" i="2"/>
  <c r="J1184" i="2"/>
  <c r="I1184" i="2"/>
  <c r="H1184" i="2"/>
  <c r="G1184" i="2"/>
  <c r="M1183" i="2"/>
  <c r="J1183" i="2"/>
  <c r="M1182" i="2"/>
  <c r="J1182" i="2" s="1"/>
  <c r="I1182" i="2"/>
  <c r="H1182" i="2"/>
  <c r="G1182" i="2"/>
  <c r="M1181" i="2"/>
  <c r="J1181" i="2" s="1"/>
  <c r="H1181" i="2"/>
  <c r="G1181" i="2"/>
  <c r="M1180" i="2"/>
  <c r="J1180" i="2" s="1"/>
  <c r="I1180" i="2"/>
  <c r="M1179" i="2"/>
  <c r="J1179" i="2"/>
  <c r="I1179" i="2"/>
  <c r="H1179" i="2"/>
  <c r="G1179" i="2"/>
  <c r="M1178" i="2"/>
  <c r="G1178" i="2" s="1"/>
  <c r="M1177" i="2"/>
  <c r="G1177" i="2" s="1"/>
  <c r="J1177" i="2"/>
  <c r="I1177" i="2"/>
  <c r="H1177" i="2"/>
  <c r="M1176" i="2"/>
  <c r="J1176" i="2"/>
  <c r="I1176" i="2"/>
  <c r="H1176" i="2"/>
  <c r="G1176" i="2"/>
  <c r="M1175" i="2"/>
  <c r="J1175" i="2" s="1"/>
  <c r="M1174" i="2"/>
  <c r="H1174" i="2" s="1"/>
  <c r="J1174" i="2"/>
  <c r="I1174" i="2"/>
  <c r="M1173" i="2"/>
  <c r="J1173" i="2" s="1"/>
  <c r="H1173" i="2"/>
  <c r="G1173" i="2"/>
  <c r="M1172" i="2"/>
  <c r="J1172" i="2"/>
  <c r="I1172" i="2"/>
  <c r="M1171" i="2"/>
  <c r="J1171" i="2"/>
  <c r="I1171" i="2"/>
  <c r="H1171" i="2"/>
  <c r="G1171" i="2"/>
  <c r="M1170" i="2"/>
  <c r="G1170" i="2"/>
  <c r="M1169" i="2"/>
  <c r="M1168" i="2"/>
  <c r="J1168" i="2"/>
  <c r="I1168" i="2"/>
  <c r="H1168" i="2"/>
  <c r="G1168" i="2"/>
  <c r="M1167" i="2"/>
  <c r="J1167" i="2" s="1"/>
  <c r="M1166" i="2"/>
  <c r="J1166" i="2"/>
  <c r="I1166" i="2"/>
  <c r="H1166" i="2"/>
  <c r="G1166" i="2"/>
  <c r="M1165" i="2"/>
  <c r="J1165" i="2" s="1"/>
  <c r="H1165" i="2"/>
  <c r="G1165" i="2"/>
  <c r="M1164" i="2"/>
  <c r="J1164" i="2"/>
  <c r="I1164" i="2"/>
  <c r="M1163" i="2"/>
  <c r="J1163" i="2"/>
  <c r="I1163" i="2"/>
  <c r="H1163" i="2"/>
  <c r="G1163" i="2"/>
  <c r="M1162" i="2"/>
  <c r="G1162" i="2"/>
  <c r="M1161" i="2"/>
  <c r="G1161" i="2" s="1"/>
  <c r="J1161" i="2"/>
  <c r="I1161" i="2"/>
  <c r="H1161" i="2"/>
  <c r="M1160" i="2"/>
  <c r="J1160" i="2" s="1"/>
  <c r="I1160" i="2"/>
  <c r="H1160" i="2"/>
  <c r="G1160" i="2"/>
  <c r="M1159" i="2"/>
  <c r="J1159" i="2"/>
  <c r="M1158" i="2"/>
  <c r="M1157" i="2"/>
  <c r="J1157" i="2" s="1"/>
  <c r="H1157" i="2"/>
  <c r="G1157" i="2"/>
  <c r="M1156" i="2"/>
  <c r="J1156" i="2"/>
  <c r="M1155" i="2"/>
  <c r="J1155" i="2"/>
  <c r="I1155" i="2"/>
  <c r="H1155" i="2"/>
  <c r="G1155" i="2"/>
  <c r="M1154" i="2"/>
  <c r="G1154" i="2"/>
  <c r="M1153" i="2"/>
  <c r="G1153" i="2" s="1"/>
  <c r="I1153" i="2"/>
  <c r="H1153" i="2"/>
  <c r="M1152" i="2"/>
  <c r="J1152" i="2" s="1"/>
  <c r="I1152" i="2"/>
  <c r="H1152" i="2"/>
  <c r="G1152" i="2"/>
  <c r="M1151" i="2"/>
  <c r="J1151" i="2" s="1"/>
  <c r="M1150" i="2"/>
  <c r="J1150" i="2"/>
  <c r="I1150" i="2"/>
  <c r="H1150" i="2"/>
  <c r="G1150" i="2"/>
  <c r="M1149" i="2"/>
  <c r="J1149" i="2" s="1"/>
  <c r="H1149" i="2"/>
  <c r="G1149" i="2"/>
  <c r="M1148" i="2"/>
  <c r="J1148" i="2"/>
  <c r="I1148" i="2"/>
  <c r="M1147" i="2"/>
  <c r="J1147" i="2"/>
  <c r="I1147" i="2"/>
  <c r="H1147" i="2"/>
  <c r="G1147" i="2"/>
  <c r="M1146" i="2"/>
  <c r="G1146" i="2"/>
  <c r="M1145" i="2"/>
  <c r="G1145" i="2" s="1"/>
  <c r="J1145" i="2"/>
  <c r="I1145" i="2"/>
  <c r="H1145" i="2"/>
  <c r="M1144" i="2"/>
  <c r="J1144" i="2" s="1"/>
  <c r="I1144" i="2"/>
  <c r="H1144" i="2"/>
  <c r="G1144" i="2"/>
  <c r="M1143" i="2"/>
  <c r="J1143" i="2"/>
  <c r="M1142" i="2"/>
  <c r="J1142" i="2" s="1"/>
  <c r="M1141" i="2"/>
  <c r="J1141" i="2" s="1"/>
  <c r="H1141" i="2"/>
  <c r="G1141" i="2"/>
  <c r="M1140" i="2"/>
  <c r="J1140" i="2"/>
  <c r="M1139" i="2"/>
  <c r="J1139" i="2"/>
  <c r="I1139" i="2"/>
  <c r="H1139" i="2"/>
  <c r="G1139" i="2"/>
  <c r="M1138" i="2"/>
  <c r="G1138" i="2"/>
  <c r="M1137" i="2"/>
  <c r="G1137" i="2" s="1"/>
  <c r="I1137" i="2"/>
  <c r="H1137" i="2"/>
  <c r="M1136" i="2"/>
  <c r="J1136" i="2" s="1"/>
  <c r="I1136" i="2"/>
  <c r="H1136" i="2"/>
  <c r="G1136" i="2"/>
  <c r="M1135" i="2"/>
  <c r="J1135" i="2" s="1"/>
  <c r="M1134" i="2"/>
  <c r="J1134" i="2"/>
  <c r="I1134" i="2"/>
  <c r="H1134" i="2"/>
  <c r="G1134" i="2"/>
  <c r="M1133" i="2"/>
  <c r="M1132" i="2"/>
  <c r="J1132" i="2" s="1"/>
  <c r="I1132" i="2"/>
  <c r="H1132" i="2"/>
  <c r="G1132" i="2"/>
  <c r="M1131" i="2"/>
  <c r="J1131" i="2" s="1"/>
  <c r="I1131" i="2"/>
  <c r="H1131" i="2"/>
  <c r="G1131" i="2"/>
  <c r="M1130" i="2"/>
  <c r="H1130" i="2" s="1"/>
  <c r="J1130" i="2"/>
  <c r="I1130" i="2"/>
  <c r="M1129" i="2"/>
  <c r="J1129" i="2"/>
  <c r="I1129" i="2"/>
  <c r="H1129" i="2"/>
  <c r="G1129" i="2"/>
  <c r="M1128" i="2"/>
  <c r="M1127" i="2"/>
  <c r="G1127" i="2" s="1"/>
  <c r="J1127" i="2"/>
  <c r="I1127" i="2"/>
  <c r="H1127" i="2"/>
  <c r="M1126" i="2"/>
  <c r="J1126" i="2"/>
  <c r="I1126" i="2"/>
  <c r="H1126" i="2"/>
  <c r="G1126" i="2"/>
  <c r="M1125" i="2"/>
  <c r="M1124" i="2"/>
  <c r="J1124" i="2" s="1"/>
  <c r="I1124" i="2"/>
  <c r="H1124" i="2"/>
  <c r="G1124" i="2"/>
  <c r="M1123" i="2"/>
  <c r="J1123" i="2" s="1"/>
  <c r="I1123" i="2"/>
  <c r="H1123" i="2"/>
  <c r="G1123" i="2"/>
  <c r="M1122" i="2"/>
  <c r="H1122" i="2" s="1"/>
  <c r="J1122" i="2"/>
  <c r="I1122" i="2"/>
  <c r="M1121" i="2"/>
  <c r="J1121" i="2"/>
  <c r="I1121" i="2"/>
  <c r="H1121" i="2"/>
  <c r="G1121" i="2"/>
  <c r="M1120" i="2"/>
  <c r="M1119" i="2"/>
  <c r="G1119" i="2" s="1"/>
  <c r="J1119" i="2"/>
  <c r="I1119" i="2"/>
  <c r="H1119" i="2"/>
  <c r="M1118" i="2"/>
  <c r="J1118" i="2"/>
  <c r="I1118" i="2"/>
  <c r="H1118" i="2"/>
  <c r="G1118" i="2"/>
  <c r="M1117" i="2"/>
  <c r="J1117" i="2"/>
  <c r="M1116" i="2"/>
  <c r="J1116" i="2" s="1"/>
  <c r="I1116" i="2"/>
  <c r="H1116" i="2"/>
  <c r="G1116" i="2"/>
  <c r="M1115" i="2"/>
  <c r="J1115" i="2" s="1"/>
  <c r="I1115" i="2"/>
  <c r="H1115" i="2"/>
  <c r="G1115" i="2"/>
  <c r="M1114" i="2"/>
  <c r="H1114" i="2" s="1"/>
  <c r="J1114" i="2"/>
  <c r="I1114" i="2"/>
  <c r="M1113" i="2"/>
  <c r="J1113" i="2"/>
  <c r="I1113" i="2"/>
  <c r="H1113" i="2"/>
  <c r="G1113" i="2"/>
  <c r="M1112" i="2"/>
  <c r="M1111" i="2"/>
  <c r="G1111" i="2" s="1"/>
  <c r="J1111" i="2"/>
  <c r="I1111" i="2"/>
  <c r="H1111" i="2"/>
  <c r="M1110" i="2"/>
  <c r="J1110" i="2"/>
  <c r="I1110" i="2"/>
  <c r="H1110" i="2"/>
  <c r="G1110" i="2"/>
  <c r="M1109" i="2"/>
  <c r="M1108" i="2"/>
  <c r="J1108" i="2" s="1"/>
  <c r="I1108" i="2"/>
  <c r="H1108" i="2"/>
  <c r="G1108" i="2"/>
  <c r="M1107" i="2"/>
  <c r="J1107" i="2" s="1"/>
  <c r="I1107" i="2"/>
  <c r="H1107" i="2"/>
  <c r="G1107" i="2"/>
  <c r="M1106" i="2"/>
  <c r="H1106" i="2" s="1"/>
  <c r="J1106" i="2"/>
  <c r="I1106" i="2"/>
  <c r="M1105" i="2"/>
  <c r="J1105" i="2"/>
  <c r="I1105" i="2"/>
  <c r="H1105" i="2"/>
  <c r="G1105" i="2"/>
  <c r="M1104" i="2"/>
  <c r="M1103" i="2"/>
  <c r="G1103" i="2" s="1"/>
  <c r="J1103" i="2"/>
  <c r="I1103" i="2"/>
  <c r="H1103" i="2"/>
  <c r="M1102" i="2"/>
  <c r="J1102" i="2"/>
  <c r="I1102" i="2"/>
  <c r="H1102" i="2"/>
  <c r="G1102" i="2"/>
  <c r="M1101" i="2"/>
  <c r="J1101" i="2"/>
  <c r="M1100" i="2"/>
  <c r="J1100" i="2" s="1"/>
  <c r="I1100" i="2"/>
  <c r="H1100" i="2"/>
  <c r="G1100" i="2"/>
  <c r="M1099" i="2"/>
  <c r="J1099" i="2" s="1"/>
  <c r="I1099" i="2"/>
  <c r="H1099" i="2"/>
  <c r="G1099" i="2"/>
  <c r="M1098" i="2"/>
  <c r="H1098" i="2" s="1"/>
  <c r="J1098" i="2"/>
  <c r="I1098" i="2"/>
  <c r="M1097" i="2"/>
  <c r="J1097" i="2"/>
  <c r="I1097" i="2"/>
  <c r="H1097" i="2"/>
  <c r="G1097" i="2"/>
  <c r="M1096" i="2"/>
  <c r="M1095" i="2"/>
  <c r="G1095" i="2" s="1"/>
  <c r="J1095" i="2"/>
  <c r="I1095" i="2"/>
  <c r="H1095" i="2"/>
  <c r="M1094" i="2"/>
  <c r="J1094" i="2"/>
  <c r="I1094" i="2"/>
  <c r="H1094" i="2"/>
  <c r="G1094" i="2"/>
  <c r="M1093" i="2"/>
  <c r="M1092" i="2"/>
  <c r="J1092" i="2" s="1"/>
  <c r="I1092" i="2"/>
  <c r="H1092" i="2"/>
  <c r="G1092" i="2"/>
  <c r="M1091" i="2"/>
  <c r="J1091" i="2" s="1"/>
  <c r="I1091" i="2"/>
  <c r="H1091" i="2"/>
  <c r="G1091" i="2"/>
  <c r="M1090" i="2"/>
  <c r="H1090" i="2" s="1"/>
  <c r="J1090" i="2"/>
  <c r="I1090" i="2"/>
  <c r="M1089" i="2"/>
  <c r="J1089" i="2"/>
  <c r="I1089" i="2"/>
  <c r="H1089" i="2"/>
  <c r="G1089" i="2"/>
  <c r="M1088" i="2"/>
  <c r="M1087" i="2"/>
  <c r="G1087" i="2" s="1"/>
  <c r="J1087" i="2"/>
  <c r="I1087" i="2"/>
  <c r="H1087" i="2"/>
  <c r="M1086" i="2"/>
  <c r="J1086" i="2"/>
  <c r="I1086" i="2"/>
  <c r="H1086" i="2"/>
  <c r="G1086" i="2"/>
  <c r="M1085" i="2"/>
  <c r="J1085" i="2"/>
  <c r="M1084" i="2"/>
  <c r="J1084" i="2" s="1"/>
  <c r="I1084" i="2"/>
  <c r="H1084" i="2"/>
  <c r="G1084" i="2"/>
  <c r="M1083" i="2"/>
  <c r="J1083" i="2" s="1"/>
  <c r="I1083" i="2"/>
  <c r="H1083" i="2"/>
  <c r="G1083" i="2"/>
  <c r="M1082" i="2"/>
  <c r="H1082" i="2" s="1"/>
  <c r="J1082" i="2"/>
  <c r="I1082" i="2"/>
  <c r="M1081" i="2"/>
  <c r="J1081" i="2"/>
  <c r="I1081" i="2"/>
  <c r="H1081" i="2"/>
  <c r="G1081" i="2"/>
  <c r="M1080" i="2"/>
  <c r="M1079" i="2"/>
  <c r="G1079" i="2" s="1"/>
  <c r="J1079" i="2"/>
  <c r="I1079" i="2"/>
  <c r="H1079" i="2"/>
  <c r="M1078" i="2"/>
  <c r="J1078" i="2"/>
  <c r="I1078" i="2"/>
  <c r="H1078" i="2"/>
  <c r="G1078" i="2"/>
  <c r="M1077" i="2"/>
  <c r="M1076" i="2"/>
  <c r="J1076" i="2" s="1"/>
  <c r="I1076" i="2"/>
  <c r="H1076" i="2"/>
  <c r="G1076" i="2"/>
  <c r="M1075" i="2"/>
  <c r="J1075" i="2" s="1"/>
  <c r="I1075" i="2"/>
  <c r="H1075" i="2"/>
  <c r="G1075" i="2"/>
  <c r="M1074" i="2"/>
  <c r="H1074" i="2" s="1"/>
  <c r="J1074" i="2"/>
  <c r="I1074" i="2"/>
  <c r="M1073" i="2"/>
  <c r="J1073" i="2"/>
  <c r="I1073" i="2"/>
  <c r="H1073" i="2"/>
  <c r="G1073" i="2"/>
  <c r="M1072" i="2"/>
  <c r="M1071" i="2"/>
  <c r="G1071" i="2" s="1"/>
  <c r="J1071" i="2"/>
  <c r="I1071" i="2"/>
  <c r="H1071" i="2"/>
  <c r="M1070" i="2"/>
  <c r="J1070" i="2"/>
  <c r="I1070" i="2"/>
  <c r="H1070" i="2"/>
  <c r="G1070" i="2"/>
  <c r="M1069" i="2"/>
  <c r="J1069" i="2"/>
  <c r="M1068" i="2"/>
  <c r="J1068" i="2" s="1"/>
  <c r="I1068" i="2"/>
  <c r="H1068" i="2"/>
  <c r="G1068" i="2"/>
  <c r="M1067" i="2"/>
  <c r="J1067" i="2" s="1"/>
  <c r="I1067" i="2"/>
  <c r="H1067" i="2"/>
  <c r="G1067" i="2"/>
  <c r="M1066" i="2"/>
  <c r="H1066" i="2" s="1"/>
  <c r="J1066" i="2"/>
  <c r="I1066" i="2"/>
  <c r="M1065" i="2"/>
  <c r="J1065" i="2"/>
  <c r="I1065" i="2"/>
  <c r="H1065" i="2"/>
  <c r="G1065" i="2"/>
  <c r="M1064" i="2"/>
  <c r="M1063" i="2"/>
  <c r="G1063" i="2" s="1"/>
  <c r="J1063" i="2"/>
  <c r="I1063" i="2"/>
  <c r="H1063" i="2"/>
  <c r="M1062" i="2"/>
  <c r="J1062" i="2"/>
  <c r="I1062" i="2"/>
  <c r="H1062" i="2"/>
  <c r="G1062" i="2"/>
  <c r="M1061" i="2"/>
  <c r="J1061" i="2" s="1"/>
  <c r="M1060" i="2"/>
  <c r="J1060" i="2" s="1"/>
  <c r="I1060" i="2"/>
  <c r="H1060" i="2"/>
  <c r="G1060" i="2"/>
  <c r="M1059" i="2"/>
  <c r="J1059" i="2" s="1"/>
  <c r="I1059" i="2"/>
  <c r="H1059" i="2"/>
  <c r="G1059" i="2"/>
  <c r="M1058" i="2"/>
  <c r="H1058" i="2" s="1"/>
  <c r="J1058" i="2"/>
  <c r="I1058" i="2"/>
  <c r="M1057" i="2"/>
  <c r="J1057" i="2"/>
  <c r="I1057" i="2"/>
  <c r="H1057" i="2"/>
  <c r="G1057" i="2"/>
  <c r="M1056" i="2"/>
  <c r="M1055" i="2"/>
  <c r="G1055" i="2" s="1"/>
  <c r="J1055" i="2"/>
  <c r="I1055" i="2"/>
  <c r="H1055" i="2"/>
  <c r="M1054" i="2"/>
  <c r="J1054" i="2"/>
  <c r="I1054" i="2"/>
  <c r="H1054" i="2"/>
  <c r="G1054" i="2"/>
  <c r="M1053" i="2"/>
  <c r="J1053" i="2"/>
  <c r="M1052" i="2"/>
  <c r="J1052" i="2" s="1"/>
  <c r="I1052" i="2"/>
  <c r="H1052" i="2"/>
  <c r="G1052" i="2"/>
  <c r="M1051" i="2"/>
  <c r="J1051" i="2" s="1"/>
  <c r="I1051" i="2"/>
  <c r="H1051" i="2"/>
  <c r="G1051" i="2"/>
  <c r="M1050" i="2"/>
  <c r="H1050" i="2" s="1"/>
  <c r="J1050" i="2"/>
  <c r="I1050" i="2"/>
  <c r="M1049" i="2"/>
  <c r="J1049" i="2"/>
  <c r="I1049" i="2"/>
  <c r="H1049" i="2"/>
  <c r="G1049" i="2"/>
  <c r="M1048" i="2"/>
  <c r="M1047" i="2"/>
  <c r="G1047" i="2" s="1"/>
  <c r="J1047" i="2"/>
  <c r="I1047" i="2"/>
  <c r="H1047" i="2"/>
  <c r="M1046" i="2"/>
  <c r="J1046" i="2"/>
  <c r="I1046" i="2"/>
  <c r="H1046" i="2"/>
  <c r="G1046" i="2"/>
  <c r="M1045" i="2"/>
  <c r="J1045" i="2" s="1"/>
  <c r="M1044" i="2"/>
  <c r="J1044" i="2" s="1"/>
  <c r="I1044" i="2"/>
  <c r="H1044" i="2"/>
  <c r="G1044" i="2"/>
  <c r="M1043" i="2"/>
  <c r="J1043" i="2" s="1"/>
  <c r="I1043" i="2"/>
  <c r="H1043" i="2"/>
  <c r="G1043" i="2"/>
  <c r="M1042" i="2"/>
  <c r="H1042" i="2" s="1"/>
  <c r="J1042" i="2"/>
  <c r="I1042" i="2"/>
  <c r="M1041" i="2"/>
  <c r="J1041" i="2"/>
  <c r="I1041" i="2"/>
  <c r="H1041" i="2"/>
  <c r="G1041" i="2"/>
  <c r="M1040" i="2"/>
  <c r="M1039" i="2"/>
  <c r="G1039" i="2" s="1"/>
  <c r="J1039" i="2"/>
  <c r="I1039" i="2"/>
  <c r="H1039" i="2"/>
  <c r="M1038" i="2"/>
  <c r="J1038" i="2"/>
  <c r="I1038" i="2"/>
  <c r="H1038" i="2"/>
  <c r="G1038" i="2"/>
  <c r="M1037" i="2"/>
  <c r="J1037" i="2"/>
  <c r="M1036" i="2"/>
  <c r="J1036" i="2" s="1"/>
  <c r="I1036" i="2"/>
  <c r="H1036" i="2"/>
  <c r="G1036" i="2"/>
  <c r="M1035" i="2"/>
  <c r="J1035" i="2" s="1"/>
  <c r="I1035" i="2"/>
  <c r="H1035" i="2"/>
  <c r="G1035" i="2"/>
  <c r="M1034" i="2"/>
  <c r="H1034" i="2" s="1"/>
  <c r="J1034" i="2"/>
  <c r="I1034" i="2"/>
  <c r="M1033" i="2"/>
  <c r="J1033" i="2"/>
  <c r="I1033" i="2"/>
  <c r="H1033" i="2"/>
  <c r="G1033" i="2"/>
  <c r="M1032" i="2"/>
  <c r="M1031" i="2"/>
  <c r="G1031" i="2" s="1"/>
  <c r="J1031" i="2"/>
  <c r="I1031" i="2"/>
  <c r="H1031" i="2"/>
  <c r="M1030" i="2"/>
  <c r="J1030" i="2"/>
  <c r="I1030" i="2"/>
  <c r="H1030" i="2"/>
  <c r="G1030" i="2"/>
  <c r="M1029" i="2"/>
  <c r="J1029" i="2" s="1"/>
  <c r="M1028" i="2"/>
  <c r="J1028" i="2" s="1"/>
  <c r="I1028" i="2"/>
  <c r="H1028" i="2"/>
  <c r="G1028" i="2"/>
  <c r="M1027" i="2"/>
  <c r="J1027" i="2" s="1"/>
  <c r="I1027" i="2"/>
  <c r="H1027" i="2"/>
  <c r="G1027" i="2"/>
  <c r="M1026" i="2"/>
  <c r="H1026" i="2" s="1"/>
  <c r="J1026" i="2"/>
  <c r="I1026" i="2"/>
  <c r="M1025" i="2"/>
  <c r="J1025" i="2"/>
  <c r="I1025" i="2"/>
  <c r="H1025" i="2"/>
  <c r="G1025" i="2"/>
  <c r="M1024" i="2"/>
  <c r="M1023" i="2"/>
  <c r="G1023" i="2" s="1"/>
  <c r="J1023" i="2"/>
  <c r="I1023" i="2"/>
  <c r="H1023" i="2"/>
  <c r="M1022" i="2"/>
  <c r="J1022" i="2"/>
  <c r="I1022" i="2"/>
  <c r="H1022" i="2"/>
  <c r="G1022" i="2"/>
  <c r="M1021" i="2"/>
  <c r="J1021" i="2"/>
  <c r="M1020" i="2"/>
  <c r="J1020" i="2" s="1"/>
  <c r="I1020" i="2"/>
  <c r="H1020" i="2"/>
  <c r="G1020" i="2"/>
  <c r="M1019" i="2"/>
  <c r="J1019" i="2" s="1"/>
  <c r="I1019" i="2"/>
  <c r="H1019" i="2"/>
  <c r="G1019" i="2"/>
  <c r="M1018" i="2"/>
  <c r="H1018" i="2" s="1"/>
  <c r="J1018" i="2"/>
  <c r="I1018" i="2"/>
  <c r="M1017" i="2"/>
  <c r="J1017" i="2"/>
  <c r="I1017" i="2"/>
  <c r="H1017" i="2"/>
  <c r="G1017" i="2"/>
  <c r="M1016" i="2"/>
  <c r="M1015" i="2"/>
  <c r="G1015" i="2" s="1"/>
  <c r="J1015" i="2"/>
  <c r="I1015" i="2"/>
  <c r="H1015" i="2"/>
  <c r="M1014" i="2"/>
  <c r="J1014" i="2"/>
  <c r="I1014" i="2"/>
  <c r="H1014" i="2"/>
  <c r="G1014" i="2"/>
  <c r="M1013" i="2"/>
  <c r="M1012" i="2"/>
  <c r="J1012" i="2" s="1"/>
  <c r="I1012" i="2"/>
  <c r="H1012" i="2"/>
  <c r="G1012" i="2"/>
  <c r="M1011" i="2"/>
  <c r="J1011" i="2" s="1"/>
  <c r="I1011" i="2"/>
  <c r="H1011" i="2"/>
  <c r="G1011" i="2"/>
  <c r="M1010" i="2"/>
  <c r="H1010" i="2" s="1"/>
  <c r="J1010" i="2"/>
  <c r="I1010" i="2"/>
  <c r="M1009" i="2"/>
  <c r="I1009" i="2" s="1"/>
  <c r="J1009" i="2"/>
  <c r="H1009" i="2"/>
  <c r="G1009" i="2"/>
  <c r="M1008" i="2"/>
  <c r="M1007" i="2"/>
  <c r="G1007" i="2" s="1"/>
  <c r="J1007" i="2"/>
  <c r="I1007" i="2"/>
  <c r="H1007" i="2"/>
  <c r="M1006" i="2"/>
  <c r="J1006" i="2"/>
  <c r="I1006" i="2"/>
  <c r="H1006" i="2"/>
  <c r="G1006" i="2"/>
  <c r="M1005" i="2"/>
  <c r="J1005" i="2" s="1"/>
  <c r="M1004" i="2"/>
  <c r="J1004" i="2" s="1"/>
  <c r="I1004" i="2"/>
  <c r="H1004" i="2"/>
  <c r="G1004" i="2"/>
  <c r="M1003" i="2"/>
  <c r="J1003" i="2" s="1"/>
  <c r="I1003" i="2"/>
  <c r="H1003" i="2"/>
  <c r="G1003" i="2"/>
  <c r="M1002" i="2"/>
  <c r="H1002" i="2" s="1"/>
  <c r="J1002" i="2"/>
  <c r="I1002" i="2"/>
  <c r="M1001" i="2"/>
  <c r="I1001" i="2" s="1"/>
  <c r="J1001" i="2"/>
  <c r="H1001" i="2"/>
  <c r="G1001" i="2"/>
  <c r="M1000" i="2"/>
  <c r="M999" i="2"/>
  <c r="G999" i="2" s="1"/>
  <c r="J999" i="2"/>
  <c r="I999" i="2"/>
  <c r="H999" i="2"/>
  <c r="M998" i="2"/>
  <c r="J998" i="2"/>
  <c r="I998" i="2"/>
  <c r="H998" i="2"/>
  <c r="G998" i="2"/>
  <c r="M997" i="2"/>
  <c r="J997" i="2"/>
  <c r="M996" i="2"/>
  <c r="J996" i="2" s="1"/>
  <c r="I996" i="2"/>
  <c r="H996" i="2"/>
  <c r="G996" i="2"/>
  <c r="M995" i="2"/>
  <c r="J995" i="2" s="1"/>
  <c r="I995" i="2"/>
  <c r="H995" i="2"/>
  <c r="G995" i="2"/>
  <c r="M994" i="2"/>
  <c r="H994" i="2" s="1"/>
  <c r="J994" i="2"/>
  <c r="I994" i="2"/>
  <c r="M993" i="2"/>
  <c r="I993" i="2" s="1"/>
  <c r="J993" i="2"/>
  <c r="H993" i="2"/>
  <c r="G993" i="2"/>
  <c r="M992" i="2"/>
  <c r="M991" i="2"/>
  <c r="G991" i="2" s="1"/>
  <c r="J991" i="2"/>
  <c r="I991" i="2"/>
  <c r="H991" i="2"/>
  <c r="M990" i="2"/>
  <c r="J990" i="2"/>
  <c r="I990" i="2"/>
  <c r="H990" i="2"/>
  <c r="G990" i="2"/>
  <c r="M989" i="2"/>
  <c r="M988" i="2"/>
  <c r="J988" i="2" s="1"/>
  <c r="I988" i="2"/>
  <c r="H988" i="2"/>
  <c r="G988" i="2"/>
  <c r="M987" i="2"/>
  <c r="J987" i="2" s="1"/>
  <c r="I987" i="2"/>
  <c r="H987" i="2"/>
  <c r="G987" i="2"/>
  <c r="M986" i="2"/>
  <c r="H986" i="2" s="1"/>
  <c r="J986" i="2"/>
  <c r="I986" i="2"/>
  <c r="M985" i="2"/>
  <c r="I985" i="2" s="1"/>
  <c r="J985" i="2"/>
  <c r="H985" i="2"/>
  <c r="G985" i="2"/>
  <c r="M984" i="2"/>
  <c r="M983" i="2"/>
  <c r="G983" i="2" s="1"/>
  <c r="J983" i="2"/>
  <c r="I983" i="2"/>
  <c r="H983" i="2"/>
  <c r="M982" i="2"/>
  <c r="J982" i="2"/>
  <c r="I982" i="2"/>
  <c r="H982" i="2"/>
  <c r="G982" i="2"/>
  <c r="M981" i="2"/>
  <c r="J981" i="2"/>
  <c r="M980" i="2"/>
  <c r="J980" i="2" s="1"/>
  <c r="I980" i="2"/>
  <c r="H980" i="2"/>
  <c r="G980" i="2"/>
  <c r="M979" i="2"/>
  <c r="J979" i="2" s="1"/>
  <c r="I979" i="2"/>
  <c r="H979" i="2"/>
  <c r="G979" i="2"/>
  <c r="M978" i="2"/>
  <c r="H978" i="2" s="1"/>
  <c r="J978" i="2"/>
  <c r="I978" i="2"/>
  <c r="M977" i="2"/>
  <c r="I977" i="2" s="1"/>
  <c r="J977" i="2"/>
  <c r="H977" i="2"/>
  <c r="G977" i="2"/>
  <c r="M976" i="2"/>
  <c r="M975" i="2"/>
  <c r="G975" i="2" s="1"/>
  <c r="J975" i="2"/>
  <c r="I975" i="2"/>
  <c r="H975" i="2"/>
  <c r="M974" i="2"/>
  <c r="J974" i="2"/>
  <c r="I974" i="2"/>
  <c r="H974" i="2"/>
  <c r="G974" i="2"/>
  <c r="M973" i="2"/>
  <c r="J973" i="2"/>
  <c r="M972" i="2"/>
  <c r="J972" i="2" s="1"/>
  <c r="I972" i="2"/>
  <c r="H972" i="2"/>
  <c r="G972" i="2"/>
  <c r="M971" i="2"/>
  <c r="J971" i="2" s="1"/>
  <c r="I971" i="2"/>
  <c r="H971" i="2"/>
  <c r="G971" i="2"/>
  <c r="M970" i="2"/>
  <c r="H970" i="2" s="1"/>
  <c r="J970" i="2"/>
  <c r="I970" i="2"/>
  <c r="M969" i="2"/>
  <c r="I969" i="2" s="1"/>
  <c r="J969" i="2"/>
  <c r="H969" i="2"/>
  <c r="G969" i="2"/>
  <c r="M968" i="2"/>
  <c r="M967" i="2"/>
  <c r="G967" i="2" s="1"/>
  <c r="J967" i="2"/>
  <c r="I967" i="2"/>
  <c r="H967" i="2"/>
  <c r="M966" i="2"/>
  <c r="J966" i="2"/>
  <c r="I966" i="2"/>
  <c r="H966" i="2"/>
  <c r="G966" i="2"/>
  <c r="M965" i="2"/>
  <c r="J965" i="2" s="1"/>
  <c r="M964" i="2"/>
  <c r="J964" i="2" s="1"/>
  <c r="I964" i="2"/>
  <c r="H964" i="2"/>
  <c r="G964" i="2"/>
  <c r="M963" i="2"/>
  <c r="J963" i="2" s="1"/>
  <c r="I963" i="2"/>
  <c r="H963" i="2"/>
  <c r="G963" i="2"/>
  <c r="M962" i="2"/>
  <c r="H962" i="2" s="1"/>
  <c r="J962" i="2"/>
  <c r="I962" i="2"/>
  <c r="M961" i="2"/>
  <c r="I961" i="2" s="1"/>
  <c r="J961" i="2"/>
  <c r="H961" i="2"/>
  <c r="G961" i="2"/>
  <c r="M960" i="2"/>
  <c r="M959" i="2"/>
  <c r="G959" i="2" s="1"/>
  <c r="J959" i="2"/>
  <c r="I959" i="2"/>
  <c r="H959" i="2"/>
  <c r="M958" i="2"/>
  <c r="J958" i="2"/>
  <c r="I958" i="2"/>
  <c r="H958" i="2"/>
  <c r="G958" i="2"/>
  <c r="M957" i="2"/>
  <c r="J957" i="2"/>
  <c r="M956" i="2"/>
  <c r="J956" i="2" s="1"/>
  <c r="I956" i="2"/>
  <c r="H956" i="2"/>
  <c r="G956" i="2"/>
  <c r="M955" i="2"/>
  <c r="J955" i="2" s="1"/>
  <c r="I955" i="2"/>
  <c r="H955" i="2"/>
  <c r="G955" i="2"/>
  <c r="M954" i="2"/>
  <c r="H954" i="2" s="1"/>
  <c r="J954" i="2"/>
  <c r="I954" i="2"/>
  <c r="M953" i="2"/>
  <c r="I953" i="2" s="1"/>
  <c r="J953" i="2"/>
  <c r="H953" i="2"/>
  <c r="G953" i="2"/>
  <c r="M952" i="2"/>
  <c r="M951" i="2"/>
  <c r="G951" i="2" s="1"/>
  <c r="J951" i="2"/>
  <c r="I951" i="2"/>
  <c r="H951" i="2"/>
  <c r="M950" i="2"/>
  <c r="J950" i="2"/>
  <c r="I950" i="2"/>
  <c r="H950" i="2"/>
  <c r="G950" i="2"/>
  <c r="M949" i="2"/>
  <c r="J949" i="2"/>
  <c r="M948" i="2"/>
  <c r="J948" i="2" s="1"/>
  <c r="I948" i="2"/>
  <c r="H948" i="2"/>
  <c r="G948" i="2"/>
  <c r="M947" i="2"/>
  <c r="J947" i="2" s="1"/>
  <c r="I947" i="2"/>
  <c r="H947" i="2"/>
  <c r="G947" i="2"/>
  <c r="M946" i="2"/>
  <c r="H946" i="2" s="1"/>
  <c r="J946" i="2"/>
  <c r="I946" i="2"/>
  <c r="M945" i="2"/>
  <c r="I945" i="2" s="1"/>
  <c r="J945" i="2"/>
  <c r="H945" i="2"/>
  <c r="G945" i="2"/>
  <c r="M944" i="2"/>
  <c r="M943" i="2"/>
  <c r="G943" i="2" s="1"/>
  <c r="J943" i="2"/>
  <c r="I943" i="2"/>
  <c r="H943" i="2"/>
  <c r="M942" i="2"/>
  <c r="J942" i="2"/>
  <c r="I942" i="2"/>
  <c r="H942" i="2"/>
  <c r="G942" i="2"/>
  <c r="M941" i="2"/>
  <c r="J941" i="2" s="1"/>
  <c r="M940" i="2"/>
  <c r="J940" i="2" s="1"/>
  <c r="I940" i="2"/>
  <c r="H940" i="2"/>
  <c r="G940" i="2"/>
  <c r="M939" i="2"/>
  <c r="J939" i="2" s="1"/>
  <c r="I939" i="2"/>
  <c r="H939" i="2"/>
  <c r="G939" i="2"/>
  <c r="M938" i="2"/>
  <c r="H938" i="2" s="1"/>
  <c r="J938" i="2"/>
  <c r="I938" i="2"/>
  <c r="M937" i="2"/>
  <c r="I937" i="2" s="1"/>
  <c r="J937" i="2"/>
  <c r="H937" i="2"/>
  <c r="G937" i="2"/>
  <c r="M936" i="2"/>
  <c r="M935" i="2"/>
  <c r="G935" i="2" s="1"/>
  <c r="J935" i="2"/>
  <c r="I935" i="2"/>
  <c r="H935" i="2"/>
  <c r="M934" i="2"/>
  <c r="J934" i="2"/>
  <c r="I934" i="2"/>
  <c r="H934" i="2"/>
  <c r="G934" i="2"/>
  <c r="M933" i="2"/>
  <c r="J933" i="2"/>
  <c r="M932" i="2"/>
  <c r="J932" i="2" s="1"/>
  <c r="I932" i="2"/>
  <c r="H932" i="2"/>
  <c r="G932" i="2"/>
  <c r="M931" i="2"/>
  <c r="J931" i="2" s="1"/>
  <c r="I931" i="2"/>
  <c r="H931" i="2"/>
  <c r="G931" i="2"/>
  <c r="M930" i="2"/>
  <c r="H930" i="2" s="1"/>
  <c r="J930" i="2"/>
  <c r="I930" i="2"/>
  <c r="M929" i="2"/>
  <c r="I929" i="2" s="1"/>
  <c r="J929" i="2"/>
  <c r="H929" i="2"/>
  <c r="G929" i="2"/>
  <c r="M928" i="2"/>
  <c r="M927" i="2"/>
  <c r="G927" i="2" s="1"/>
  <c r="J927" i="2"/>
  <c r="I927" i="2"/>
  <c r="H927" i="2"/>
  <c r="M926" i="2"/>
  <c r="J926" i="2"/>
  <c r="I926" i="2"/>
  <c r="H926" i="2"/>
  <c r="G926" i="2"/>
  <c r="M925" i="2"/>
  <c r="M924" i="2"/>
  <c r="J924" i="2" s="1"/>
  <c r="I924" i="2"/>
  <c r="H924" i="2"/>
  <c r="G924" i="2"/>
  <c r="M923" i="2"/>
  <c r="J923" i="2" s="1"/>
  <c r="I923" i="2"/>
  <c r="H923" i="2"/>
  <c r="G923" i="2"/>
  <c r="M922" i="2"/>
  <c r="H922" i="2" s="1"/>
  <c r="J922" i="2"/>
  <c r="I922" i="2"/>
  <c r="M921" i="2"/>
  <c r="I921" i="2" s="1"/>
  <c r="J921" i="2"/>
  <c r="H921" i="2"/>
  <c r="G921" i="2"/>
  <c r="M920" i="2"/>
  <c r="M919" i="2"/>
  <c r="G919" i="2" s="1"/>
  <c r="J919" i="2"/>
  <c r="I919" i="2"/>
  <c r="H919" i="2"/>
  <c r="M918" i="2"/>
  <c r="J918" i="2"/>
  <c r="I918" i="2"/>
  <c r="H918" i="2"/>
  <c r="G918" i="2"/>
  <c r="M917" i="2"/>
  <c r="J917" i="2"/>
  <c r="M916" i="2"/>
  <c r="J916" i="2" s="1"/>
  <c r="I916" i="2"/>
  <c r="H916" i="2"/>
  <c r="G916" i="2"/>
  <c r="M915" i="2"/>
  <c r="J915" i="2" s="1"/>
  <c r="I915" i="2"/>
  <c r="H915" i="2"/>
  <c r="G915" i="2"/>
  <c r="M914" i="2"/>
  <c r="H914" i="2" s="1"/>
  <c r="J914" i="2"/>
  <c r="I914" i="2"/>
  <c r="M913" i="2"/>
  <c r="I913" i="2" s="1"/>
  <c r="J913" i="2"/>
  <c r="H913" i="2"/>
  <c r="G913" i="2"/>
  <c r="M912" i="2"/>
  <c r="M911" i="2"/>
  <c r="G911" i="2" s="1"/>
  <c r="J911" i="2"/>
  <c r="I911" i="2"/>
  <c r="H911" i="2"/>
  <c r="M910" i="2"/>
  <c r="J910" i="2"/>
  <c r="I910" i="2"/>
  <c r="H910" i="2"/>
  <c r="G910" i="2"/>
  <c r="M909" i="2"/>
  <c r="J909" i="2"/>
  <c r="M908" i="2"/>
  <c r="J908" i="2" s="1"/>
  <c r="I908" i="2"/>
  <c r="H908" i="2"/>
  <c r="G908" i="2"/>
  <c r="M907" i="2"/>
  <c r="J907" i="2" s="1"/>
  <c r="I907" i="2"/>
  <c r="H907" i="2"/>
  <c r="G907" i="2"/>
  <c r="M906" i="2"/>
  <c r="H906" i="2" s="1"/>
  <c r="J906" i="2"/>
  <c r="I906" i="2"/>
  <c r="M905" i="2"/>
  <c r="I905" i="2" s="1"/>
  <c r="J905" i="2"/>
  <c r="H905" i="2"/>
  <c r="G905" i="2"/>
  <c r="M904" i="2"/>
  <c r="M903" i="2"/>
  <c r="J903" i="2"/>
  <c r="I903" i="2"/>
  <c r="H903" i="2"/>
  <c r="G903" i="2"/>
  <c r="M902" i="2"/>
  <c r="J902" i="2"/>
  <c r="I902" i="2"/>
  <c r="H902" i="2"/>
  <c r="G902" i="2"/>
  <c r="M901" i="2"/>
  <c r="J901" i="2" s="1"/>
  <c r="M900" i="2"/>
  <c r="J900" i="2" s="1"/>
  <c r="I900" i="2"/>
  <c r="H900" i="2"/>
  <c r="G900" i="2"/>
  <c r="M899" i="2"/>
  <c r="J899" i="2" s="1"/>
  <c r="I899" i="2"/>
  <c r="H899" i="2"/>
  <c r="M898" i="2"/>
  <c r="H898" i="2" s="1"/>
  <c r="J898" i="2"/>
  <c r="I898" i="2"/>
  <c r="M897" i="2"/>
  <c r="I897" i="2" s="1"/>
  <c r="J897" i="2"/>
  <c r="H897" i="2"/>
  <c r="G897" i="2"/>
  <c r="M896" i="2"/>
  <c r="M895" i="2"/>
  <c r="J895" i="2"/>
  <c r="I895" i="2"/>
  <c r="H895" i="2"/>
  <c r="G895" i="2"/>
  <c r="M894" i="2"/>
  <c r="J894" i="2"/>
  <c r="I894" i="2"/>
  <c r="H894" i="2"/>
  <c r="G894" i="2"/>
  <c r="M893" i="2"/>
  <c r="J893" i="2"/>
  <c r="M892" i="2"/>
  <c r="J892" i="2" s="1"/>
  <c r="I892" i="2"/>
  <c r="H892" i="2"/>
  <c r="G892" i="2"/>
  <c r="M891" i="2"/>
  <c r="J891" i="2" s="1"/>
  <c r="I891" i="2"/>
  <c r="H891" i="2"/>
  <c r="M890" i="2"/>
  <c r="H890" i="2" s="1"/>
  <c r="J890" i="2"/>
  <c r="I890" i="2"/>
  <c r="M889" i="2"/>
  <c r="I889" i="2" s="1"/>
  <c r="J889" i="2"/>
  <c r="H889" i="2"/>
  <c r="G889" i="2"/>
  <c r="M888" i="2"/>
  <c r="M887" i="2"/>
  <c r="J887" i="2"/>
  <c r="I887" i="2"/>
  <c r="H887" i="2"/>
  <c r="G887" i="2"/>
  <c r="M886" i="2"/>
  <c r="J886" i="2"/>
  <c r="I886" i="2"/>
  <c r="H886" i="2"/>
  <c r="G886" i="2"/>
  <c r="M885" i="2"/>
  <c r="M884" i="2"/>
  <c r="J884" i="2" s="1"/>
  <c r="I884" i="2"/>
  <c r="H884" i="2"/>
  <c r="G884" i="2"/>
  <c r="M883" i="2"/>
  <c r="J883" i="2" s="1"/>
  <c r="I883" i="2"/>
  <c r="H883" i="2"/>
  <c r="G883" i="2"/>
  <c r="M882" i="2"/>
  <c r="H882" i="2" s="1"/>
  <c r="J882" i="2"/>
  <c r="I882" i="2"/>
  <c r="M881" i="2"/>
  <c r="I881" i="2" s="1"/>
  <c r="J881" i="2"/>
  <c r="H881" i="2"/>
  <c r="G881" i="2"/>
  <c r="M880" i="2"/>
  <c r="M879" i="2"/>
  <c r="J879" i="2"/>
  <c r="I879" i="2"/>
  <c r="H879" i="2"/>
  <c r="G879" i="2"/>
  <c r="M878" i="2"/>
  <c r="J878" i="2"/>
  <c r="I878" i="2"/>
  <c r="H878" i="2"/>
  <c r="G878" i="2"/>
  <c r="M877" i="2"/>
  <c r="J877" i="2"/>
  <c r="M876" i="2"/>
  <c r="J876" i="2" s="1"/>
  <c r="I876" i="2"/>
  <c r="H876" i="2"/>
  <c r="G876" i="2"/>
  <c r="M875" i="2"/>
  <c r="J875" i="2" s="1"/>
  <c r="I875" i="2"/>
  <c r="H875" i="2"/>
  <c r="M874" i="2"/>
  <c r="H874" i="2" s="1"/>
  <c r="J874" i="2"/>
  <c r="I874" i="2"/>
  <c r="M873" i="2"/>
  <c r="J873" i="2" s="1"/>
  <c r="H873" i="2"/>
  <c r="G873" i="2"/>
  <c r="M872" i="2"/>
  <c r="M871" i="2"/>
  <c r="J871" i="2"/>
  <c r="I871" i="2"/>
  <c r="H871" i="2"/>
  <c r="G871" i="2"/>
  <c r="M870" i="2"/>
  <c r="J870" i="2"/>
  <c r="I870" i="2"/>
  <c r="H870" i="2"/>
  <c r="G870" i="2"/>
  <c r="M869" i="2"/>
  <c r="J869" i="2"/>
  <c r="M868" i="2"/>
  <c r="J868" i="2" s="1"/>
  <c r="I868" i="2"/>
  <c r="H868" i="2"/>
  <c r="G868" i="2"/>
  <c r="M867" i="2"/>
  <c r="J867" i="2" s="1"/>
  <c r="I867" i="2"/>
  <c r="H867" i="2"/>
  <c r="M866" i="2"/>
  <c r="H866" i="2" s="1"/>
  <c r="J866" i="2"/>
  <c r="I866" i="2"/>
  <c r="M865" i="2"/>
  <c r="J865" i="2" s="1"/>
  <c r="H865" i="2"/>
  <c r="G865" i="2"/>
  <c r="M864" i="2"/>
  <c r="M863" i="2"/>
  <c r="J863" i="2"/>
  <c r="I863" i="2"/>
  <c r="H863" i="2"/>
  <c r="G863" i="2"/>
  <c r="M862" i="2"/>
  <c r="J862" i="2"/>
  <c r="I862" i="2"/>
  <c r="H862" i="2"/>
  <c r="G862" i="2"/>
  <c r="M861" i="2"/>
  <c r="M860" i="2"/>
  <c r="J860" i="2" s="1"/>
  <c r="I860" i="2"/>
  <c r="H860" i="2"/>
  <c r="G860" i="2"/>
  <c r="M859" i="2"/>
  <c r="J859" i="2" s="1"/>
  <c r="I859" i="2"/>
  <c r="H859" i="2"/>
  <c r="M858" i="2"/>
  <c r="H858" i="2" s="1"/>
  <c r="J858" i="2"/>
  <c r="I858" i="2"/>
  <c r="M857" i="2"/>
  <c r="J857" i="2" s="1"/>
  <c r="H857" i="2"/>
  <c r="G857" i="2"/>
  <c r="M856" i="2"/>
  <c r="K856" i="2"/>
  <c r="K855" i="2"/>
  <c r="M854" i="2"/>
  <c r="G854" i="2" s="1"/>
  <c r="K854" i="2"/>
  <c r="J854" i="2"/>
  <c r="I854" i="2"/>
  <c r="H854" i="2"/>
  <c r="K853" i="2"/>
  <c r="M853" i="2" s="1"/>
  <c r="M852" i="2"/>
  <c r="K852" i="2"/>
  <c r="K851" i="2"/>
  <c r="M850" i="2"/>
  <c r="G850" i="2" s="1"/>
  <c r="K850" i="2"/>
  <c r="J850" i="2"/>
  <c r="I850" i="2"/>
  <c r="H850" i="2"/>
  <c r="K849" i="2"/>
  <c r="M849" i="2" s="1"/>
  <c r="H849" i="2" s="1"/>
  <c r="G849" i="2"/>
  <c r="M848" i="2"/>
  <c r="K848" i="2"/>
  <c r="J848" i="2" s="1"/>
  <c r="K847" i="2"/>
  <c r="M846" i="2"/>
  <c r="G846" i="2" s="1"/>
  <c r="K846" i="2"/>
  <c r="J846" i="2"/>
  <c r="I846" i="2"/>
  <c r="H846" i="2"/>
  <c r="K845" i="2"/>
  <c r="M845" i="2" s="1"/>
  <c r="H845" i="2" s="1"/>
  <c r="G845" i="2"/>
  <c r="M844" i="2"/>
  <c r="K844" i="2"/>
  <c r="K843" i="2"/>
  <c r="M842" i="2"/>
  <c r="G842" i="2" s="1"/>
  <c r="K842" i="2"/>
  <c r="J842" i="2"/>
  <c r="I842" i="2"/>
  <c r="H842" i="2"/>
  <c r="K841" i="2"/>
  <c r="M841" i="2" s="1"/>
  <c r="H841" i="2" s="1"/>
  <c r="M840" i="2"/>
  <c r="K840" i="2"/>
  <c r="J840" i="2" s="1"/>
  <c r="K839" i="2"/>
  <c r="M838" i="2"/>
  <c r="G838" i="2" s="1"/>
  <c r="K838" i="2"/>
  <c r="J838" i="2"/>
  <c r="I838" i="2"/>
  <c r="H838" i="2"/>
  <c r="K837" i="2"/>
  <c r="M837" i="2" s="1"/>
  <c r="H837" i="2" s="1"/>
  <c r="G837" i="2"/>
  <c r="M836" i="2"/>
  <c r="K836" i="2"/>
  <c r="J836" i="2" s="1"/>
  <c r="K835" i="2"/>
  <c r="M834" i="2"/>
  <c r="G834" i="2" s="1"/>
  <c r="K834" i="2"/>
  <c r="J834" i="2"/>
  <c r="I834" i="2"/>
  <c r="H834" i="2"/>
  <c r="K833" i="2"/>
  <c r="M833" i="2" s="1"/>
  <c r="M832" i="2"/>
  <c r="K832" i="2"/>
  <c r="K831" i="2"/>
  <c r="M830" i="2"/>
  <c r="G830" i="2" s="1"/>
  <c r="K830" i="2"/>
  <c r="J830" i="2"/>
  <c r="I830" i="2"/>
  <c r="H830" i="2"/>
  <c r="K829" i="2"/>
  <c r="M829" i="2" s="1"/>
  <c r="H829" i="2" s="1"/>
  <c r="M828" i="2"/>
  <c r="K828" i="2"/>
  <c r="J828" i="2" s="1"/>
  <c r="K827" i="2"/>
  <c r="M826" i="2"/>
  <c r="G826" i="2" s="1"/>
  <c r="K826" i="2"/>
  <c r="J826" i="2"/>
  <c r="I826" i="2"/>
  <c r="H826" i="2"/>
  <c r="K825" i="2"/>
  <c r="M825" i="2" s="1"/>
  <c r="H825" i="2" s="1"/>
  <c r="G825" i="2"/>
  <c r="M824" i="2"/>
  <c r="K824" i="2"/>
  <c r="J824" i="2" s="1"/>
  <c r="K823" i="2"/>
  <c r="M822" i="2"/>
  <c r="G822" i="2" s="1"/>
  <c r="K822" i="2"/>
  <c r="J822" i="2"/>
  <c r="I822" i="2"/>
  <c r="H822" i="2"/>
  <c r="K821" i="2"/>
  <c r="M821" i="2" s="1"/>
  <c r="M820" i="2"/>
  <c r="K820" i="2"/>
  <c r="K819" i="2"/>
  <c r="M818" i="2"/>
  <c r="G818" i="2" s="1"/>
  <c r="K818" i="2"/>
  <c r="J818" i="2"/>
  <c r="I818" i="2"/>
  <c r="H818" i="2"/>
  <c r="K817" i="2"/>
  <c r="M817" i="2" s="1"/>
  <c r="H817" i="2" s="1"/>
  <c r="G817" i="2"/>
  <c r="M816" i="2"/>
  <c r="K816" i="2"/>
  <c r="J816" i="2" s="1"/>
  <c r="K815" i="2"/>
  <c r="M814" i="2"/>
  <c r="G814" i="2" s="1"/>
  <c r="K814" i="2"/>
  <c r="J814" i="2"/>
  <c r="I814" i="2"/>
  <c r="H814" i="2"/>
  <c r="K813" i="2"/>
  <c r="M813" i="2" s="1"/>
  <c r="H813" i="2" s="1"/>
  <c r="G813" i="2"/>
  <c r="M812" i="2"/>
  <c r="K812" i="2"/>
  <c r="K811" i="2"/>
  <c r="M810" i="2"/>
  <c r="G810" i="2" s="1"/>
  <c r="K810" i="2"/>
  <c r="J810" i="2"/>
  <c r="I810" i="2"/>
  <c r="H810" i="2"/>
  <c r="K809" i="2"/>
  <c r="M809" i="2" s="1"/>
  <c r="H809" i="2" s="1"/>
  <c r="M808" i="2"/>
  <c r="K808" i="2"/>
  <c r="K807" i="2"/>
  <c r="M806" i="2"/>
  <c r="G806" i="2" s="1"/>
  <c r="K806" i="2"/>
  <c r="J806" i="2"/>
  <c r="I806" i="2"/>
  <c r="H806" i="2"/>
  <c r="K805" i="2"/>
  <c r="M805" i="2" s="1"/>
  <c r="H805" i="2" s="1"/>
  <c r="G805" i="2"/>
  <c r="M804" i="2"/>
  <c r="K804" i="2"/>
  <c r="J804" i="2" s="1"/>
  <c r="K803" i="2"/>
  <c r="M802" i="2"/>
  <c r="G802" i="2" s="1"/>
  <c r="K802" i="2"/>
  <c r="J802" i="2"/>
  <c r="I802" i="2"/>
  <c r="H802" i="2"/>
  <c r="K801" i="2"/>
  <c r="M801" i="2" s="1"/>
  <c r="H801" i="2" s="1"/>
  <c r="M800" i="2"/>
  <c r="K800" i="2"/>
  <c r="K799" i="2"/>
  <c r="M798" i="2"/>
  <c r="G798" i="2" s="1"/>
  <c r="K798" i="2"/>
  <c r="J798" i="2"/>
  <c r="I798" i="2"/>
  <c r="H798" i="2"/>
  <c r="K797" i="2"/>
  <c r="M797" i="2" s="1"/>
  <c r="H797" i="2" s="1"/>
  <c r="M796" i="2"/>
  <c r="K796" i="2"/>
  <c r="J796" i="2" s="1"/>
  <c r="K795" i="2"/>
  <c r="M794" i="2"/>
  <c r="G794" i="2" s="1"/>
  <c r="K794" i="2"/>
  <c r="J794" i="2"/>
  <c r="I794" i="2"/>
  <c r="H794" i="2"/>
  <c r="K793" i="2"/>
  <c r="M793" i="2" s="1"/>
  <c r="H793" i="2" s="1"/>
  <c r="G793" i="2"/>
  <c r="M792" i="2"/>
  <c r="K792" i="2"/>
  <c r="J792" i="2" s="1"/>
  <c r="K791" i="2"/>
  <c r="M790" i="2"/>
  <c r="G790" i="2" s="1"/>
  <c r="K790" i="2"/>
  <c r="J790" i="2"/>
  <c r="I790" i="2"/>
  <c r="H790" i="2"/>
  <c r="K789" i="2"/>
  <c r="M789" i="2" s="1"/>
  <c r="M788" i="2"/>
  <c r="K788" i="2"/>
  <c r="K787" i="2"/>
  <c r="M786" i="2"/>
  <c r="G786" i="2" s="1"/>
  <c r="K786" i="2"/>
  <c r="J786" i="2"/>
  <c r="I786" i="2"/>
  <c r="H786" i="2"/>
  <c r="M785" i="2"/>
  <c r="K785" i="2"/>
  <c r="J785" i="2" s="1"/>
  <c r="I785" i="2"/>
  <c r="H785" i="2"/>
  <c r="G785" i="2"/>
  <c r="M784" i="2"/>
  <c r="M783" i="2"/>
  <c r="G783" i="2" s="1"/>
  <c r="J783" i="2"/>
  <c r="I783" i="2"/>
  <c r="H783" i="2"/>
  <c r="M782" i="2"/>
  <c r="J782" i="2" s="1"/>
  <c r="H782" i="2"/>
  <c r="G782" i="2"/>
  <c r="M781" i="2"/>
  <c r="M780" i="2"/>
  <c r="J780" i="2"/>
  <c r="I780" i="2"/>
  <c r="H780" i="2"/>
  <c r="G780" i="2"/>
  <c r="M779" i="2"/>
  <c r="J779" i="2"/>
  <c r="I779" i="2"/>
  <c r="H779" i="2"/>
  <c r="G779" i="2"/>
  <c r="M777" i="2"/>
  <c r="H777" i="2" s="1"/>
  <c r="J777" i="2"/>
  <c r="I777" i="2"/>
  <c r="M776" i="2"/>
  <c r="J776" i="2" s="1"/>
  <c r="I776" i="2"/>
  <c r="H776" i="2"/>
  <c r="G776" i="2"/>
  <c r="M775" i="2"/>
  <c r="K774" i="2"/>
  <c r="K773" i="2"/>
  <c r="M773" i="2" s="1"/>
  <c r="H773" i="2"/>
  <c r="K772" i="2"/>
  <c r="M772" i="2" s="1"/>
  <c r="K771" i="2"/>
  <c r="K770" i="2"/>
  <c r="K769" i="2"/>
  <c r="M769" i="2" s="1"/>
  <c r="K768" i="2"/>
  <c r="M768" i="2" s="1"/>
  <c r="K767" i="2"/>
  <c r="K766" i="2"/>
  <c r="K765" i="2"/>
  <c r="M765" i="2" s="1"/>
  <c r="H765" i="2" s="1"/>
  <c r="K764" i="2"/>
  <c r="M764" i="2" s="1"/>
  <c r="K763" i="2"/>
  <c r="M762" i="2"/>
  <c r="G762" i="2" s="1"/>
  <c r="J762" i="2"/>
  <c r="I762" i="2"/>
  <c r="H762" i="2"/>
  <c r="M761" i="2"/>
  <c r="J761" i="2" s="1"/>
  <c r="K761" i="2"/>
  <c r="I761" i="2"/>
  <c r="H761" i="2"/>
  <c r="G761" i="2"/>
  <c r="M760" i="2"/>
  <c r="K760" i="2"/>
  <c r="K759" i="2"/>
  <c r="K758" i="2"/>
  <c r="M757" i="2"/>
  <c r="J757" i="2" s="1"/>
  <c r="K757" i="2"/>
  <c r="I757" i="2"/>
  <c r="H757" i="2"/>
  <c r="G757" i="2"/>
  <c r="M756" i="2"/>
  <c r="K756" i="2"/>
  <c r="K755" i="2"/>
  <c r="K754" i="2"/>
  <c r="M753" i="2"/>
  <c r="K753" i="2"/>
  <c r="J753" i="2" s="1"/>
  <c r="I753" i="2"/>
  <c r="H753" i="2"/>
  <c r="G753" i="2"/>
  <c r="M752" i="2"/>
  <c r="K752" i="2"/>
  <c r="K751" i="2"/>
  <c r="K750" i="2"/>
  <c r="M749" i="2"/>
  <c r="K749" i="2"/>
  <c r="J749" i="2" s="1"/>
  <c r="I749" i="2"/>
  <c r="H749" i="2"/>
  <c r="G749" i="2"/>
  <c r="M748" i="2"/>
  <c r="K748" i="2"/>
  <c r="K747" i="2"/>
  <c r="K746" i="2"/>
  <c r="M745" i="2"/>
  <c r="K745" i="2"/>
  <c r="J745" i="2" s="1"/>
  <c r="I745" i="2"/>
  <c r="H745" i="2"/>
  <c r="G745" i="2"/>
  <c r="M744" i="2"/>
  <c r="K744" i="2"/>
  <c r="K743" i="2"/>
  <c r="K742" i="2"/>
  <c r="M741" i="2"/>
  <c r="K741" i="2"/>
  <c r="J741" i="2" s="1"/>
  <c r="I741" i="2"/>
  <c r="H741" i="2"/>
  <c r="G741" i="2"/>
  <c r="M740" i="2"/>
  <c r="K740" i="2"/>
  <c r="K739" i="2"/>
  <c r="K738" i="2"/>
  <c r="M737" i="2"/>
  <c r="K737" i="2"/>
  <c r="J737" i="2" s="1"/>
  <c r="I737" i="2"/>
  <c r="H737" i="2"/>
  <c r="G737" i="2"/>
  <c r="M736" i="2"/>
  <c r="K736" i="2"/>
  <c r="K735" i="2"/>
  <c r="K734" i="2"/>
  <c r="M733" i="2"/>
  <c r="K733" i="2"/>
  <c r="J733" i="2" s="1"/>
  <c r="I733" i="2"/>
  <c r="H733" i="2"/>
  <c r="G733" i="2"/>
  <c r="M730" i="2"/>
  <c r="K730" i="2"/>
  <c r="K729" i="2"/>
  <c r="K728" i="2"/>
  <c r="M727" i="2"/>
  <c r="K727" i="2"/>
  <c r="J727" i="2" s="1"/>
  <c r="I727" i="2"/>
  <c r="H727" i="2"/>
  <c r="G727" i="2"/>
  <c r="M726" i="2"/>
  <c r="K725" i="2"/>
  <c r="K720" i="2"/>
  <c r="M720" i="2" s="1"/>
  <c r="J720" i="2" s="1"/>
  <c r="I720" i="2"/>
  <c r="H720" i="2"/>
  <c r="G720" i="2"/>
  <c r="K719" i="2"/>
  <c r="M719" i="2" s="1"/>
  <c r="M718" i="2"/>
  <c r="K718" i="2"/>
  <c r="K717" i="2"/>
  <c r="K716" i="2"/>
  <c r="M716" i="2" s="1"/>
  <c r="I716" i="2"/>
  <c r="K715" i="2"/>
  <c r="M715" i="2" s="1"/>
  <c r="H715" i="2" s="1"/>
  <c r="G715" i="2"/>
  <c r="K714" i="2"/>
  <c r="K713" i="2"/>
  <c r="K712" i="2"/>
  <c r="M712" i="2" s="1"/>
  <c r="J712" i="2" s="1"/>
  <c r="K711" i="2"/>
  <c r="M711" i="2" s="1"/>
  <c r="H711" i="2" s="1"/>
  <c r="G711" i="2"/>
  <c r="M710" i="2"/>
  <c r="K710" i="2"/>
  <c r="K709" i="2"/>
  <c r="K708" i="2"/>
  <c r="M708" i="2" s="1"/>
  <c r="J708" i="2" s="1"/>
  <c r="I708" i="2"/>
  <c r="H708" i="2"/>
  <c r="G708" i="2"/>
  <c r="K707" i="2"/>
  <c r="M707" i="2" s="1"/>
  <c r="H707" i="2" s="1"/>
  <c r="G707" i="2"/>
  <c r="K706" i="2"/>
  <c r="K705" i="2"/>
  <c r="M704" i="2"/>
  <c r="K704" i="2"/>
  <c r="J704" i="2"/>
  <c r="I704" i="2"/>
  <c r="H704" i="2"/>
  <c r="G704" i="2"/>
  <c r="K703" i="2"/>
  <c r="M703" i="2" s="1"/>
  <c r="H703" i="2"/>
  <c r="G703" i="2"/>
  <c r="K702" i="2"/>
  <c r="K701" i="2"/>
  <c r="M700" i="2"/>
  <c r="K700" i="2"/>
  <c r="J700" i="2"/>
  <c r="I700" i="2"/>
  <c r="H700" i="2"/>
  <c r="G700" i="2"/>
  <c r="K699" i="2"/>
  <c r="M699" i="2" s="1"/>
  <c r="H699" i="2"/>
  <c r="G699" i="2"/>
  <c r="M698" i="2"/>
  <c r="K698" i="2"/>
  <c r="M697" i="2"/>
  <c r="J697" i="2" s="1"/>
  <c r="K697" i="2"/>
  <c r="K696" i="2"/>
  <c r="M696" i="2" s="1"/>
  <c r="H696" i="2" s="1"/>
  <c r="J696" i="2"/>
  <c r="I696" i="2"/>
  <c r="G696" i="2"/>
  <c r="K695" i="2"/>
  <c r="M695" i="2" s="1"/>
  <c r="H695" i="2"/>
  <c r="G695" i="2"/>
  <c r="K694" i="2"/>
  <c r="M693" i="2"/>
  <c r="J693" i="2" s="1"/>
  <c r="K693" i="2"/>
  <c r="K692" i="2"/>
  <c r="M692" i="2" s="1"/>
  <c r="G692" i="2" s="1"/>
  <c r="J692" i="2"/>
  <c r="I692" i="2"/>
  <c r="H692" i="2"/>
  <c r="K691" i="2"/>
  <c r="K690" i="2"/>
  <c r="M689" i="2"/>
  <c r="J689" i="2" s="1"/>
  <c r="K689" i="2"/>
  <c r="I689" i="2" s="1"/>
  <c r="K688" i="2"/>
  <c r="M688" i="2" s="1"/>
  <c r="G688" i="2" s="1"/>
  <c r="J688" i="2"/>
  <c r="I688" i="2"/>
  <c r="H688" i="2"/>
  <c r="K687" i="2"/>
  <c r="K686" i="2"/>
  <c r="M685" i="2"/>
  <c r="J685" i="2" s="1"/>
  <c r="K685" i="2"/>
  <c r="I685" i="2" s="1"/>
  <c r="K684" i="2"/>
  <c r="M684" i="2" s="1"/>
  <c r="G684" i="2" s="1"/>
  <c r="J684" i="2"/>
  <c r="I684" i="2"/>
  <c r="H684" i="2"/>
  <c r="K683" i="2"/>
  <c r="K682" i="2"/>
  <c r="M681" i="2"/>
  <c r="J681" i="2" s="1"/>
  <c r="K681" i="2"/>
  <c r="I681" i="2" s="1"/>
  <c r="K680" i="2"/>
  <c r="M680" i="2" s="1"/>
  <c r="G680" i="2" s="1"/>
  <c r="J680" i="2"/>
  <c r="I680" i="2"/>
  <c r="H680" i="2"/>
  <c r="K679" i="2"/>
  <c r="K678" i="2"/>
  <c r="M677" i="2"/>
  <c r="J677" i="2" s="1"/>
  <c r="K677" i="2"/>
  <c r="K676" i="2"/>
  <c r="M676" i="2" s="1"/>
  <c r="G676" i="2" s="1"/>
  <c r="J676" i="2"/>
  <c r="I676" i="2"/>
  <c r="H676" i="2"/>
  <c r="K675" i="2"/>
  <c r="K674" i="2"/>
  <c r="M673" i="2"/>
  <c r="J673" i="2" s="1"/>
  <c r="K673" i="2"/>
  <c r="K672" i="2"/>
  <c r="M672" i="2" s="1"/>
  <c r="G672" i="2" s="1"/>
  <c r="J672" i="2"/>
  <c r="I672" i="2"/>
  <c r="H672" i="2"/>
  <c r="K671" i="2"/>
  <c r="K670" i="2"/>
  <c r="M669" i="2"/>
  <c r="J669" i="2" s="1"/>
  <c r="K669" i="2"/>
  <c r="I669" i="2" s="1"/>
  <c r="K668" i="2"/>
  <c r="M668" i="2" s="1"/>
  <c r="G668" i="2" s="1"/>
  <c r="J668" i="2"/>
  <c r="I668" i="2"/>
  <c r="H668" i="2"/>
  <c r="K667" i="2"/>
  <c r="K666" i="2"/>
  <c r="M665" i="2"/>
  <c r="J665" i="2" s="1"/>
  <c r="K665" i="2"/>
  <c r="K664" i="2"/>
  <c r="M664" i="2" s="1"/>
  <c r="J664" i="2"/>
  <c r="I664" i="2"/>
  <c r="H664" i="2"/>
  <c r="G664" i="2"/>
  <c r="K663" i="2"/>
  <c r="K662" i="2"/>
  <c r="M661" i="2"/>
  <c r="J661" i="2" s="1"/>
  <c r="K661" i="2"/>
  <c r="I661" i="2" s="1"/>
  <c r="K660" i="2"/>
  <c r="M660" i="2" s="1"/>
  <c r="J660" i="2"/>
  <c r="I660" i="2"/>
  <c r="H660" i="2"/>
  <c r="G660" i="2"/>
  <c r="K659" i="2"/>
  <c r="K658" i="2"/>
  <c r="M657" i="2"/>
  <c r="J657" i="2" s="1"/>
  <c r="K657" i="2"/>
  <c r="I657" i="2" s="1"/>
  <c r="K656" i="2"/>
  <c r="M656" i="2" s="1"/>
  <c r="J656" i="2"/>
  <c r="I656" i="2"/>
  <c r="H656" i="2"/>
  <c r="G656" i="2"/>
  <c r="K655" i="2"/>
  <c r="K654" i="2"/>
  <c r="M653" i="2"/>
  <c r="J653" i="2" s="1"/>
  <c r="K653" i="2"/>
  <c r="K652" i="2"/>
  <c r="M652" i="2" s="1"/>
  <c r="G652" i="2" s="1"/>
  <c r="J652" i="2"/>
  <c r="I652" i="2"/>
  <c r="H652" i="2"/>
  <c r="K651" i="2"/>
  <c r="K650" i="2"/>
  <c r="M649" i="2"/>
  <c r="J649" i="2" s="1"/>
  <c r="K649" i="2"/>
  <c r="I649" i="2" s="1"/>
  <c r="K648" i="2"/>
  <c r="M648" i="2" s="1"/>
  <c r="J648" i="2"/>
  <c r="I648" i="2"/>
  <c r="H648" i="2"/>
  <c r="G648" i="2"/>
  <c r="K647" i="2"/>
  <c r="K646" i="2"/>
  <c r="M645" i="2"/>
  <c r="J645" i="2" s="1"/>
  <c r="K645" i="2"/>
  <c r="I645" i="2" s="1"/>
  <c r="K644" i="2"/>
  <c r="M644" i="2" s="1"/>
  <c r="G644" i="2" s="1"/>
  <c r="J644" i="2"/>
  <c r="I644" i="2"/>
  <c r="H644" i="2"/>
  <c r="K643" i="2"/>
  <c r="K642" i="2"/>
  <c r="M641" i="2"/>
  <c r="J641" i="2" s="1"/>
  <c r="K641" i="2"/>
  <c r="I641" i="2" s="1"/>
  <c r="K640" i="2"/>
  <c r="M640" i="2" s="1"/>
  <c r="G640" i="2" s="1"/>
  <c r="J640" i="2"/>
  <c r="I640" i="2"/>
  <c r="H640" i="2"/>
  <c r="K639" i="2"/>
  <c r="K638" i="2"/>
  <c r="M637" i="2"/>
  <c r="J637" i="2" s="1"/>
  <c r="K637" i="2"/>
  <c r="I637" i="2" s="1"/>
  <c r="K636" i="2"/>
  <c r="M636" i="2" s="1"/>
  <c r="J636" i="2"/>
  <c r="I636" i="2"/>
  <c r="H636" i="2"/>
  <c r="G636" i="2"/>
  <c r="K635" i="2"/>
  <c r="K634" i="2"/>
  <c r="M633" i="2"/>
  <c r="J633" i="2" s="1"/>
  <c r="K633" i="2"/>
  <c r="I633" i="2" s="1"/>
  <c r="K632" i="2"/>
  <c r="M632" i="2" s="1"/>
  <c r="J632" i="2"/>
  <c r="I632" i="2"/>
  <c r="H632" i="2"/>
  <c r="G632" i="2"/>
  <c r="K631" i="2"/>
  <c r="K630" i="2"/>
  <c r="M629" i="2"/>
  <c r="J629" i="2" s="1"/>
  <c r="K629" i="2"/>
  <c r="I629" i="2" s="1"/>
  <c r="K628" i="2"/>
  <c r="M628" i="2" s="1"/>
  <c r="J628" i="2"/>
  <c r="I628" i="2"/>
  <c r="H628" i="2"/>
  <c r="G628" i="2"/>
  <c r="K627" i="2"/>
  <c r="K626" i="2"/>
  <c r="J626" i="2"/>
  <c r="H626" i="2"/>
  <c r="K625" i="2"/>
  <c r="M624" i="2"/>
  <c r="J624" i="2" s="1"/>
  <c r="K624" i="2"/>
  <c r="I624" i="2"/>
  <c r="H624" i="2"/>
  <c r="G624" i="2"/>
  <c r="M623" i="2"/>
  <c r="J623" i="2" s="1"/>
  <c r="K623" i="2"/>
  <c r="K622" i="2"/>
  <c r="K621" i="2"/>
  <c r="M620" i="2"/>
  <c r="K620" i="2"/>
  <c r="J620" i="2"/>
  <c r="I620" i="2"/>
  <c r="H620" i="2"/>
  <c r="G620" i="2"/>
  <c r="M619" i="2"/>
  <c r="I619" i="2" s="1"/>
  <c r="K619" i="2"/>
  <c r="J619" i="2"/>
  <c r="H619" i="2"/>
  <c r="G619" i="2"/>
  <c r="M618" i="2"/>
  <c r="J618" i="2" s="1"/>
  <c r="K618" i="2"/>
  <c r="H618" i="2" s="1"/>
  <c r="K617" i="2"/>
  <c r="K616" i="2"/>
  <c r="M616" i="2" s="1"/>
  <c r="M615" i="2"/>
  <c r="K615" i="2"/>
  <c r="K614" i="2"/>
  <c r="M613" i="2"/>
  <c r="J613" i="2" s="1"/>
  <c r="K613" i="2"/>
  <c r="M612" i="2"/>
  <c r="K612" i="2"/>
  <c r="K611" i="2"/>
  <c r="K610" i="2"/>
  <c r="M610" i="2" s="1"/>
  <c r="H610" i="2"/>
  <c r="G610" i="2"/>
  <c r="K609" i="2"/>
  <c r="M609" i="2" s="1"/>
  <c r="K608" i="2"/>
  <c r="K607" i="2"/>
  <c r="K606" i="2"/>
  <c r="M606" i="2" s="1"/>
  <c r="H606" i="2"/>
  <c r="G606" i="2"/>
  <c r="K605" i="2"/>
  <c r="M605" i="2" s="1"/>
  <c r="M604" i="2"/>
  <c r="K604" i="2"/>
  <c r="K603" i="2"/>
  <c r="K602" i="2"/>
  <c r="M602" i="2" s="1"/>
  <c r="H602" i="2" s="1"/>
  <c r="K601" i="2"/>
  <c r="M601" i="2" s="1"/>
  <c r="K600" i="2"/>
  <c r="K599" i="2"/>
  <c r="K598" i="2"/>
  <c r="M598" i="2" s="1"/>
  <c r="K597" i="2"/>
  <c r="M597" i="2" s="1"/>
  <c r="K596" i="2"/>
  <c r="M595" i="2"/>
  <c r="G595" i="2" s="1"/>
  <c r="J595" i="2"/>
  <c r="I595" i="2"/>
  <c r="H595" i="2"/>
  <c r="M594" i="2"/>
  <c r="J594" i="2" s="1"/>
  <c r="K594" i="2"/>
  <c r="G594" i="2"/>
  <c r="M593" i="2"/>
  <c r="K593" i="2"/>
  <c r="I593" i="2" s="1"/>
  <c r="K592" i="2"/>
  <c r="K591" i="2"/>
  <c r="M590" i="2"/>
  <c r="J590" i="2" s="1"/>
  <c r="K590" i="2"/>
  <c r="G590" i="2"/>
  <c r="M589" i="2"/>
  <c r="K589" i="2"/>
  <c r="K588" i="2"/>
  <c r="K587" i="2"/>
  <c r="M586" i="2"/>
  <c r="J586" i="2" s="1"/>
  <c r="K586" i="2"/>
  <c r="G586" i="2"/>
  <c r="M585" i="2"/>
  <c r="K585" i="2"/>
  <c r="I585" i="2" s="1"/>
  <c r="K584" i="2"/>
  <c r="K583" i="2"/>
  <c r="M582" i="2"/>
  <c r="I582" i="2" s="1"/>
  <c r="K582" i="2"/>
  <c r="J582" i="2" s="1"/>
  <c r="G582" i="2"/>
  <c r="M581" i="2"/>
  <c r="K581" i="2"/>
  <c r="I581" i="2" s="1"/>
  <c r="K580" i="2"/>
  <c r="K579" i="2"/>
  <c r="M578" i="2"/>
  <c r="I578" i="2" s="1"/>
  <c r="K578" i="2"/>
  <c r="J578" i="2" s="1"/>
  <c r="G578" i="2"/>
  <c r="M577" i="2"/>
  <c r="K577" i="2"/>
  <c r="I577" i="2" s="1"/>
  <c r="K576" i="2"/>
  <c r="K575" i="2"/>
  <c r="M574" i="2"/>
  <c r="I574" i="2" s="1"/>
  <c r="K574" i="2"/>
  <c r="J574" i="2" s="1"/>
  <c r="G574" i="2"/>
  <c r="M573" i="2"/>
  <c r="K573" i="2"/>
  <c r="K572" i="2"/>
  <c r="K571" i="2"/>
  <c r="M570" i="2"/>
  <c r="I570" i="2" s="1"/>
  <c r="K570" i="2"/>
  <c r="J570" i="2" s="1"/>
  <c r="G570" i="2"/>
  <c r="M569" i="2"/>
  <c r="K569" i="2"/>
  <c r="I569" i="2" s="1"/>
  <c r="K568" i="2"/>
  <c r="K567" i="2"/>
  <c r="M566" i="2"/>
  <c r="I566" i="2" s="1"/>
  <c r="K566" i="2"/>
  <c r="J566" i="2" s="1"/>
  <c r="G566" i="2"/>
  <c r="M565" i="2"/>
  <c r="K565" i="2"/>
  <c r="I565" i="2" s="1"/>
  <c r="K564" i="2"/>
  <c r="K563" i="2"/>
  <c r="M562" i="2"/>
  <c r="I562" i="2" s="1"/>
  <c r="K562" i="2"/>
  <c r="J562" i="2" s="1"/>
  <c r="G562" i="2"/>
  <c r="M561" i="2"/>
  <c r="K561" i="2"/>
  <c r="I561" i="2" s="1"/>
  <c r="K560" i="2"/>
  <c r="K559" i="2"/>
  <c r="M558" i="2"/>
  <c r="I558" i="2" s="1"/>
  <c r="K558" i="2"/>
  <c r="J558" i="2" s="1"/>
  <c r="G558" i="2"/>
  <c r="M557" i="2"/>
  <c r="K557" i="2"/>
  <c r="I557" i="2" s="1"/>
  <c r="K556" i="2"/>
  <c r="K555" i="2"/>
  <c r="M554" i="2"/>
  <c r="I554" i="2" s="1"/>
  <c r="K554" i="2"/>
  <c r="J554" i="2" s="1"/>
  <c r="G554" i="2"/>
  <c r="M553" i="2"/>
  <c r="K553" i="2"/>
  <c r="I553" i="2" s="1"/>
  <c r="K552" i="2"/>
  <c r="K551" i="2"/>
  <c r="M550" i="2"/>
  <c r="K550" i="2"/>
  <c r="J550" i="2" s="1"/>
  <c r="I550" i="2"/>
  <c r="H550" i="2"/>
  <c r="G550" i="2"/>
  <c r="M549" i="2"/>
  <c r="K549" i="2"/>
  <c r="I549" i="2" s="1"/>
  <c r="K548" i="2"/>
  <c r="K547" i="2"/>
  <c r="M546" i="2"/>
  <c r="I546" i="2" s="1"/>
  <c r="K546" i="2"/>
  <c r="J546" i="2" s="1"/>
  <c r="G546" i="2"/>
  <c r="M545" i="2"/>
  <c r="K545" i="2"/>
  <c r="K544" i="2"/>
  <c r="K543" i="2"/>
  <c r="J543" i="2"/>
  <c r="I543" i="2"/>
  <c r="H543" i="2"/>
  <c r="G543" i="2"/>
  <c r="M542" i="2"/>
  <c r="K542" i="2"/>
  <c r="J542" i="2" s="1"/>
  <c r="M541" i="2"/>
  <c r="K541" i="2"/>
  <c r="M540" i="2"/>
  <c r="H540" i="2" s="1"/>
  <c r="K540" i="2"/>
  <c r="J540" i="2"/>
  <c r="I540" i="2"/>
  <c r="G540" i="2"/>
  <c r="K539" i="2"/>
  <c r="M539" i="2" s="1"/>
  <c r="G539" i="2" s="1"/>
  <c r="H539" i="2"/>
  <c r="K538" i="2"/>
  <c r="M538" i="2" s="1"/>
  <c r="K537" i="2"/>
  <c r="M536" i="2"/>
  <c r="H536" i="2" s="1"/>
  <c r="K536" i="2"/>
  <c r="J536" i="2"/>
  <c r="I536" i="2"/>
  <c r="G536" i="2"/>
  <c r="K535" i="2"/>
  <c r="M535" i="2" s="1"/>
  <c r="H535" i="2"/>
  <c r="G535" i="2"/>
  <c r="K534" i="2"/>
  <c r="M534" i="2" s="1"/>
  <c r="M533" i="2"/>
  <c r="K533" i="2"/>
  <c r="M532" i="2"/>
  <c r="H532" i="2" s="1"/>
  <c r="K532" i="2"/>
  <c r="J532" i="2"/>
  <c r="I532" i="2"/>
  <c r="G532" i="2"/>
  <c r="K531" i="2"/>
  <c r="M531" i="2" s="1"/>
  <c r="H531" i="2"/>
  <c r="K530" i="2"/>
  <c r="M530" i="2" s="1"/>
  <c r="K529" i="2"/>
  <c r="M528" i="2"/>
  <c r="H528" i="2" s="1"/>
  <c r="K528" i="2"/>
  <c r="J528" i="2"/>
  <c r="I528" i="2"/>
  <c r="G528" i="2"/>
  <c r="K527" i="2"/>
  <c r="M527" i="2" s="1"/>
  <c r="H527" i="2" s="1"/>
  <c r="K526" i="2"/>
  <c r="M526" i="2" s="1"/>
  <c r="K525" i="2"/>
  <c r="M524" i="2"/>
  <c r="H524" i="2" s="1"/>
  <c r="K524" i="2"/>
  <c r="J524" i="2"/>
  <c r="I524" i="2"/>
  <c r="G524" i="2"/>
  <c r="K523" i="2"/>
  <c r="M523" i="2" s="1"/>
  <c r="H523" i="2"/>
  <c r="G523" i="2"/>
  <c r="K522" i="2"/>
  <c r="M522" i="2" s="1"/>
  <c r="K521" i="2"/>
  <c r="M520" i="2"/>
  <c r="H520" i="2" s="1"/>
  <c r="K520" i="2"/>
  <c r="J520" i="2"/>
  <c r="I520" i="2"/>
  <c r="G520" i="2"/>
  <c r="K519" i="2"/>
  <c r="M519" i="2" s="1"/>
  <c r="K518" i="2"/>
  <c r="M518" i="2" s="1"/>
  <c r="K517" i="2"/>
  <c r="M516" i="2"/>
  <c r="H516" i="2" s="1"/>
  <c r="K516" i="2"/>
  <c r="J516" i="2"/>
  <c r="I516" i="2"/>
  <c r="G516" i="2"/>
  <c r="K515" i="2"/>
  <c r="M515" i="2" s="1"/>
  <c r="H515" i="2"/>
  <c r="G515" i="2"/>
  <c r="K514" i="2"/>
  <c r="M514" i="2" s="1"/>
  <c r="K513" i="2"/>
  <c r="M512" i="2"/>
  <c r="H512" i="2" s="1"/>
  <c r="K512" i="2"/>
  <c r="J512" i="2"/>
  <c r="I512" i="2"/>
  <c r="G512" i="2"/>
  <c r="K511" i="2"/>
  <c r="M511" i="2" s="1"/>
  <c r="H511" i="2"/>
  <c r="G511" i="2"/>
  <c r="K510" i="2"/>
  <c r="M510" i="2" s="1"/>
  <c r="M509" i="2"/>
  <c r="K509" i="2"/>
  <c r="M508" i="2"/>
  <c r="H508" i="2" s="1"/>
  <c r="K508" i="2"/>
  <c r="J508" i="2"/>
  <c r="I508" i="2"/>
  <c r="G508" i="2"/>
  <c r="K507" i="2"/>
  <c r="M507" i="2" s="1"/>
  <c r="G507" i="2" s="1"/>
  <c r="H507" i="2"/>
  <c r="K506" i="2"/>
  <c r="M506" i="2" s="1"/>
  <c r="K505" i="2"/>
  <c r="M504" i="2"/>
  <c r="H504" i="2" s="1"/>
  <c r="K504" i="2"/>
  <c r="J504" i="2"/>
  <c r="I504" i="2"/>
  <c r="G504" i="2"/>
  <c r="K503" i="2"/>
  <c r="M503" i="2" s="1"/>
  <c r="H503" i="2"/>
  <c r="G503" i="2"/>
  <c r="K502" i="2"/>
  <c r="M502" i="2" s="1"/>
  <c r="M501" i="2"/>
  <c r="K501" i="2"/>
  <c r="M500" i="2"/>
  <c r="H500" i="2" s="1"/>
  <c r="K500" i="2"/>
  <c r="J500" i="2"/>
  <c r="I500" i="2"/>
  <c r="G500" i="2"/>
  <c r="K499" i="2"/>
  <c r="M499" i="2" s="1"/>
  <c r="H499" i="2" s="1"/>
  <c r="K498" i="2"/>
  <c r="M498" i="2" s="1"/>
  <c r="K497" i="2"/>
  <c r="M496" i="2"/>
  <c r="H496" i="2" s="1"/>
  <c r="K496" i="2"/>
  <c r="J496" i="2"/>
  <c r="I496" i="2"/>
  <c r="G496" i="2"/>
  <c r="K495" i="2"/>
  <c r="M495" i="2" s="1"/>
  <c r="H495" i="2" s="1"/>
  <c r="K494" i="2"/>
  <c r="M494" i="2" s="1"/>
  <c r="K493" i="2"/>
  <c r="M492" i="2"/>
  <c r="H492" i="2" s="1"/>
  <c r="K492" i="2"/>
  <c r="J492" i="2"/>
  <c r="I492" i="2"/>
  <c r="G492" i="2"/>
  <c r="K491" i="2"/>
  <c r="M491" i="2" s="1"/>
  <c r="H491" i="2"/>
  <c r="G491" i="2"/>
  <c r="K490" i="2"/>
  <c r="M490" i="2" s="1"/>
  <c r="K489" i="2"/>
  <c r="M488" i="2"/>
  <c r="H488" i="2" s="1"/>
  <c r="K488" i="2"/>
  <c r="J488" i="2"/>
  <c r="I488" i="2"/>
  <c r="G488" i="2"/>
  <c r="K487" i="2"/>
  <c r="M487" i="2" s="1"/>
  <c r="K486" i="2"/>
  <c r="M486" i="2" s="1"/>
  <c r="K485" i="2"/>
  <c r="M484" i="2"/>
  <c r="H484" i="2" s="1"/>
  <c r="K484" i="2"/>
  <c r="J484" i="2"/>
  <c r="I484" i="2"/>
  <c r="G484" i="2"/>
  <c r="K483" i="2"/>
  <c r="M483" i="2" s="1"/>
  <c r="H483" i="2"/>
  <c r="G483" i="2"/>
  <c r="K482" i="2"/>
  <c r="M482" i="2" s="1"/>
  <c r="M481" i="2"/>
  <c r="K481" i="2"/>
  <c r="M480" i="2"/>
  <c r="H480" i="2" s="1"/>
  <c r="K480" i="2"/>
  <c r="J480" i="2"/>
  <c r="I480" i="2"/>
  <c r="G480" i="2"/>
  <c r="K479" i="2"/>
  <c r="M479" i="2" s="1"/>
  <c r="H479" i="2"/>
  <c r="G479" i="2"/>
  <c r="K478" i="2"/>
  <c r="M478" i="2" s="1"/>
  <c r="M477" i="2"/>
  <c r="K477" i="2"/>
  <c r="M476" i="2"/>
  <c r="H476" i="2" s="1"/>
  <c r="K476" i="2"/>
  <c r="J476" i="2"/>
  <c r="I476" i="2"/>
  <c r="G476" i="2"/>
  <c r="K475" i="2"/>
  <c r="M475" i="2" s="1"/>
  <c r="G475" i="2" s="1"/>
  <c r="H475" i="2"/>
  <c r="K474" i="2"/>
  <c r="M474" i="2" s="1"/>
  <c r="K473" i="2"/>
  <c r="M472" i="2"/>
  <c r="H472" i="2" s="1"/>
  <c r="K472" i="2"/>
  <c r="J472" i="2"/>
  <c r="I472" i="2"/>
  <c r="G472" i="2"/>
  <c r="K471" i="2"/>
  <c r="M471" i="2" s="1"/>
  <c r="H471" i="2"/>
  <c r="G471" i="2"/>
  <c r="K470" i="2"/>
  <c r="M470" i="2" s="1"/>
  <c r="H470" i="2" s="1"/>
  <c r="M469" i="2"/>
  <c r="K469" i="2"/>
  <c r="M468" i="2"/>
  <c r="H468" i="2" s="1"/>
  <c r="K468" i="2"/>
  <c r="J468" i="2"/>
  <c r="I468" i="2"/>
  <c r="K467" i="2"/>
  <c r="M467" i="2" s="1"/>
  <c r="H467" i="2"/>
  <c r="G467" i="2"/>
  <c r="K466" i="2"/>
  <c r="M466" i="2" s="1"/>
  <c r="H466" i="2" s="1"/>
  <c r="M465" i="2"/>
  <c r="K465" i="2"/>
  <c r="M464" i="2"/>
  <c r="H464" i="2" s="1"/>
  <c r="K464" i="2"/>
  <c r="J464" i="2"/>
  <c r="I464" i="2"/>
  <c r="K463" i="2"/>
  <c r="M463" i="2" s="1"/>
  <c r="K462" i="2"/>
  <c r="M462" i="2" s="1"/>
  <c r="H462" i="2" s="1"/>
  <c r="K461" i="2"/>
  <c r="M460" i="2"/>
  <c r="H460" i="2" s="1"/>
  <c r="K460" i="2"/>
  <c r="J460" i="2"/>
  <c r="I460" i="2"/>
  <c r="K459" i="2"/>
  <c r="M459" i="2" s="1"/>
  <c r="H459" i="2" s="1"/>
  <c r="K458" i="2"/>
  <c r="M458" i="2" s="1"/>
  <c r="H458" i="2" s="1"/>
  <c r="K457" i="2"/>
  <c r="M456" i="2"/>
  <c r="G456" i="2" s="1"/>
  <c r="K456" i="2"/>
  <c r="H456" i="2" s="1"/>
  <c r="J456" i="2"/>
  <c r="I456" i="2"/>
  <c r="K455" i="2"/>
  <c r="M455" i="2" s="1"/>
  <c r="H455" i="2"/>
  <c r="G455" i="2"/>
  <c r="K454" i="2"/>
  <c r="M454" i="2" s="1"/>
  <c r="H454" i="2" s="1"/>
  <c r="M453" i="2"/>
  <c r="K453" i="2"/>
  <c r="M452" i="2"/>
  <c r="G452" i="2" s="1"/>
  <c r="K452" i="2"/>
  <c r="H452" i="2" s="1"/>
  <c r="J452" i="2"/>
  <c r="I452" i="2"/>
  <c r="K451" i="2"/>
  <c r="M451" i="2" s="1"/>
  <c r="H451" i="2"/>
  <c r="G451" i="2"/>
  <c r="K450" i="2"/>
  <c r="M450" i="2" s="1"/>
  <c r="H450" i="2" s="1"/>
  <c r="M449" i="2"/>
  <c r="K449" i="2"/>
  <c r="M448" i="2"/>
  <c r="G448" i="2" s="1"/>
  <c r="K448" i="2"/>
  <c r="H448" i="2" s="1"/>
  <c r="J448" i="2"/>
  <c r="I448" i="2"/>
  <c r="K447" i="2"/>
  <c r="M447" i="2" s="1"/>
  <c r="K446" i="2"/>
  <c r="M446" i="2" s="1"/>
  <c r="H446" i="2" s="1"/>
  <c r="K445" i="2"/>
  <c r="M444" i="2"/>
  <c r="G444" i="2" s="1"/>
  <c r="K444" i="2"/>
  <c r="H444" i="2" s="1"/>
  <c r="J444" i="2"/>
  <c r="K443" i="2"/>
  <c r="M443" i="2" s="1"/>
  <c r="I443" i="2" s="1"/>
  <c r="K442" i="2"/>
  <c r="M442" i="2" s="1"/>
  <c r="H442" i="2"/>
  <c r="M441" i="2"/>
  <c r="K441" i="2"/>
  <c r="M440" i="2"/>
  <c r="G440" i="2" s="1"/>
  <c r="K440" i="2"/>
  <c r="K439" i="2"/>
  <c r="M439" i="2" s="1"/>
  <c r="I439" i="2" s="1"/>
  <c r="J439" i="2"/>
  <c r="H439" i="2"/>
  <c r="M438" i="2"/>
  <c r="I438" i="2" s="1"/>
  <c r="J438" i="2"/>
  <c r="G438" i="2"/>
  <c r="M437" i="2"/>
  <c r="H437" i="2" s="1"/>
  <c r="J437" i="2"/>
  <c r="I437" i="2"/>
  <c r="G437" i="2"/>
  <c r="K436" i="2"/>
  <c r="M436" i="2" s="1"/>
  <c r="I436" i="2" s="1"/>
  <c r="J436" i="2"/>
  <c r="G436" i="2"/>
  <c r="K435" i="2"/>
  <c r="M435" i="2" s="1"/>
  <c r="H435" i="2"/>
  <c r="M434" i="2"/>
  <c r="K434" i="2"/>
  <c r="M433" i="2"/>
  <c r="G433" i="2" s="1"/>
  <c r="K433" i="2"/>
  <c r="H433" i="2" s="1"/>
  <c r="I433" i="2"/>
  <c r="K432" i="2"/>
  <c r="M432" i="2" s="1"/>
  <c r="I432" i="2" s="1"/>
  <c r="J432" i="2"/>
  <c r="H432" i="2"/>
  <c r="G432" i="2"/>
  <c r="K431" i="2"/>
  <c r="M431" i="2" s="1"/>
  <c r="H431" i="2"/>
  <c r="K430" i="2"/>
  <c r="M429" i="2"/>
  <c r="G429" i="2" s="1"/>
  <c r="K429" i="2"/>
  <c r="H429" i="2" s="1"/>
  <c r="J429" i="2"/>
  <c r="I429" i="2"/>
  <c r="M428" i="2"/>
  <c r="K428" i="2"/>
  <c r="J428" i="2"/>
  <c r="I428" i="2"/>
  <c r="H428" i="2"/>
  <c r="G428" i="2"/>
  <c r="K427" i="2"/>
  <c r="M427" i="2" s="1"/>
  <c r="H427" i="2"/>
  <c r="K426" i="2"/>
  <c r="M425" i="2"/>
  <c r="G425" i="2" s="1"/>
  <c r="K425" i="2"/>
  <c r="H425" i="2" s="1"/>
  <c r="J425" i="2"/>
  <c r="I425" i="2"/>
  <c r="M424" i="2"/>
  <c r="K424" i="2"/>
  <c r="J424" i="2"/>
  <c r="I424" i="2"/>
  <c r="H424" i="2"/>
  <c r="G424" i="2"/>
  <c r="K423" i="2"/>
  <c r="M423" i="2" s="1"/>
  <c r="H423" i="2"/>
  <c r="M422" i="2"/>
  <c r="K422" i="2"/>
  <c r="M421" i="2"/>
  <c r="G421" i="2" s="1"/>
  <c r="K421" i="2"/>
  <c r="H421" i="2" s="1"/>
  <c r="M420" i="2"/>
  <c r="K420" i="2"/>
  <c r="J420" i="2"/>
  <c r="I420" i="2"/>
  <c r="H420" i="2"/>
  <c r="G420" i="2"/>
  <c r="K419" i="2"/>
  <c r="M419" i="2" s="1"/>
  <c r="H419" i="2"/>
  <c r="K418" i="2"/>
  <c r="M417" i="2"/>
  <c r="K417" i="2"/>
  <c r="M416" i="2"/>
  <c r="K416" i="2"/>
  <c r="J416" i="2"/>
  <c r="I416" i="2"/>
  <c r="H416" i="2"/>
  <c r="G416" i="2"/>
  <c r="K415" i="2"/>
  <c r="M415" i="2" s="1"/>
  <c r="H415" i="2"/>
  <c r="K414" i="2"/>
  <c r="M413" i="2"/>
  <c r="G413" i="2" s="1"/>
  <c r="K413" i="2"/>
  <c r="H413" i="2" s="1"/>
  <c r="J413" i="2"/>
  <c r="I413" i="2"/>
  <c r="M412" i="2"/>
  <c r="K412" i="2"/>
  <c r="J412" i="2"/>
  <c r="I412" i="2"/>
  <c r="H412" i="2"/>
  <c r="G412" i="2"/>
  <c r="K411" i="2"/>
  <c r="M411" i="2" s="1"/>
  <c r="H411" i="2"/>
  <c r="K410" i="2"/>
  <c r="M409" i="2"/>
  <c r="G409" i="2" s="1"/>
  <c r="K409" i="2"/>
  <c r="H409" i="2" s="1"/>
  <c r="J409" i="2"/>
  <c r="I409" i="2"/>
  <c r="M408" i="2"/>
  <c r="K408" i="2"/>
  <c r="J408" i="2"/>
  <c r="I408" i="2"/>
  <c r="H408" i="2"/>
  <c r="G408" i="2"/>
  <c r="K407" i="2"/>
  <c r="M407" i="2" s="1"/>
  <c r="H407" i="2"/>
  <c r="K406" i="2"/>
  <c r="E406" i="2"/>
  <c r="K405" i="2"/>
  <c r="K404" i="2"/>
  <c r="M403" i="2"/>
  <c r="H403" i="2" s="1"/>
  <c r="K403" i="2"/>
  <c r="J403" i="2" s="1"/>
  <c r="I403" i="2"/>
  <c r="G403" i="2"/>
  <c r="K402" i="2"/>
  <c r="K401" i="2"/>
  <c r="K400" i="2"/>
  <c r="M399" i="2"/>
  <c r="J399" i="2" s="1"/>
  <c r="K399" i="2"/>
  <c r="I399" i="2"/>
  <c r="G399" i="2"/>
  <c r="M398" i="2"/>
  <c r="G398" i="2" s="1"/>
  <c r="K398" i="2"/>
  <c r="K397" i="2"/>
  <c r="K396" i="2"/>
  <c r="M395" i="2"/>
  <c r="H395" i="2" s="1"/>
  <c r="K395" i="2"/>
  <c r="J395" i="2" s="1"/>
  <c r="I395" i="2"/>
  <c r="G395" i="2"/>
  <c r="M394" i="2"/>
  <c r="G394" i="2" s="1"/>
  <c r="K394" i="2"/>
  <c r="K393" i="2"/>
  <c r="K392" i="2"/>
  <c r="M391" i="2"/>
  <c r="H391" i="2" s="1"/>
  <c r="K391" i="2"/>
  <c r="J391" i="2" s="1"/>
  <c r="I391" i="2"/>
  <c r="G391" i="2"/>
  <c r="K390" i="2"/>
  <c r="K389" i="2"/>
  <c r="K388" i="2"/>
  <c r="M387" i="2"/>
  <c r="H387" i="2" s="1"/>
  <c r="K387" i="2"/>
  <c r="J387" i="2" s="1"/>
  <c r="I387" i="2"/>
  <c r="G387" i="2"/>
  <c r="K386" i="2"/>
  <c r="K385" i="2"/>
  <c r="K384" i="2"/>
  <c r="M383" i="2"/>
  <c r="H383" i="2" s="1"/>
  <c r="K383" i="2"/>
  <c r="J383" i="2" s="1"/>
  <c r="I383" i="2"/>
  <c r="G383" i="2"/>
  <c r="M382" i="2"/>
  <c r="G382" i="2" s="1"/>
  <c r="K382" i="2"/>
  <c r="K381" i="2"/>
  <c r="K380" i="2"/>
  <c r="M379" i="2"/>
  <c r="H379" i="2" s="1"/>
  <c r="K379" i="2"/>
  <c r="J379" i="2" s="1"/>
  <c r="I379" i="2"/>
  <c r="G379" i="2"/>
  <c r="M378" i="2"/>
  <c r="G378" i="2" s="1"/>
  <c r="K378" i="2"/>
  <c r="K377" i="2"/>
  <c r="K376" i="2"/>
  <c r="M375" i="2"/>
  <c r="H375" i="2" s="1"/>
  <c r="K375" i="2"/>
  <c r="J375" i="2" s="1"/>
  <c r="I375" i="2"/>
  <c r="G375" i="2"/>
  <c r="K374" i="2"/>
  <c r="K373" i="2"/>
  <c r="K372" i="2"/>
  <c r="M371" i="2"/>
  <c r="K371" i="2"/>
  <c r="J371" i="2" s="1"/>
  <c r="I371" i="2"/>
  <c r="H371" i="2"/>
  <c r="G371" i="2"/>
  <c r="M370" i="2"/>
  <c r="K370" i="2"/>
  <c r="J370" i="2"/>
  <c r="G370" i="2"/>
  <c r="K369" i="2"/>
  <c r="M369" i="2" s="1"/>
  <c r="J369" i="2"/>
  <c r="G369" i="2"/>
  <c r="K368" i="2"/>
  <c r="M367" i="2"/>
  <c r="I367" i="2" s="1"/>
  <c r="K367" i="2"/>
  <c r="G367" i="2"/>
  <c r="K366" i="2"/>
  <c r="K365" i="2"/>
  <c r="M365" i="2" s="1"/>
  <c r="J365" i="2" s="1"/>
  <c r="I365" i="2"/>
  <c r="H365" i="2"/>
  <c r="G365" i="2"/>
  <c r="K364" i="2"/>
  <c r="K363" i="2"/>
  <c r="M362" i="2"/>
  <c r="J362" i="2" s="1"/>
  <c r="K362" i="2"/>
  <c r="I362" i="2" s="1"/>
  <c r="K361" i="2"/>
  <c r="K360" i="2"/>
  <c r="M360" i="2" s="1"/>
  <c r="I360" i="2"/>
  <c r="H360" i="2"/>
  <c r="G360" i="2"/>
  <c r="M359" i="2"/>
  <c r="I359" i="2" s="1"/>
  <c r="K359" i="2"/>
  <c r="K358" i="2"/>
  <c r="M357" i="2"/>
  <c r="K357" i="2"/>
  <c r="J357" i="2" s="1"/>
  <c r="I357" i="2"/>
  <c r="H357" i="2"/>
  <c r="G357" i="2"/>
  <c r="K356" i="2"/>
  <c r="K355" i="2"/>
  <c r="M354" i="2"/>
  <c r="K354" i="2"/>
  <c r="J354" i="2" s="1"/>
  <c r="I354" i="2"/>
  <c r="G354" i="2"/>
  <c r="M353" i="2"/>
  <c r="K353" i="2"/>
  <c r="K352" i="2"/>
  <c r="M352" i="2" s="1"/>
  <c r="J352" i="2"/>
  <c r="I352" i="2"/>
  <c r="H352" i="2"/>
  <c r="M351" i="2"/>
  <c r="K351" i="2"/>
  <c r="I351" i="2" s="1"/>
  <c r="H351" i="2"/>
  <c r="G351" i="2"/>
  <c r="M350" i="2"/>
  <c r="K350" i="2"/>
  <c r="K349" i="2"/>
  <c r="K348" i="2"/>
  <c r="M348" i="2" s="1"/>
  <c r="H348" i="2"/>
  <c r="G348" i="2"/>
  <c r="M347" i="2"/>
  <c r="K347" i="2"/>
  <c r="K346" i="2"/>
  <c r="K345" i="2"/>
  <c r="M345" i="2" s="1"/>
  <c r="K344" i="2"/>
  <c r="K343" i="2"/>
  <c r="K342" i="2"/>
  <c r="K341" i="2"/>
  <c r="K340" i="2"/>
  <c r="M340" i="2" s="1"/>
  <c r="J340" i="2"/>
  <c r="I340" i="2"/>
  <c r="H340" i="2"/>
  <c r="G340" i="2"/>
  <c r="K339" i="2"/>
  <c r="K338" i="2"/>
  <c r="M337" i="2"/>
  <c r="K337" i="2"/>
  <c r="J337" i="2"/>
  <c r="I337" i="2"/>
  <c r="H337" i="2"/>
  <c r="G337" i="2"/>
  <c r="M336" i="2"/>
  <c r="K336" i="2"/>
  <c r="J336" i="2" s="1"/>
  <c r="H336" i="2"/>
  <c r="G336" i="2"/>
  <c r="M335" i="2"/>
  <c r="K335" i="2"/>
  <c r="K334" i="2"/>
  <c r="M333" i="2"/>
  <c r="K333" i="2"/>
  <c r="J333" i="2"/>
  <c r="I333" i="2"/>
  <c r="H333" i="2"/>
  <c r="G333" i="2"/>
  <c r="K332" i="2"/>
  <c r="M332" i="2" s="1"/>
  <c r="M331" i="2"/>
  <c r="K331" i="2"/>
  <c r="K330" i="2"/>
  <c r="M329" i="2"/>
  <c r="K329" i="2"/>
  <c r="J329" i="2"/>
  <c r="I329" i="2"/>
  <c r="H329" i="2"/>
  <c r="G329" i="2"/>
  <c r="K328" i="2"/>
  <c r="M328" i="2" s="1"/>
  <c r="M327" i="2"/>
  <c r="K327" i="2"/>
  <c r="K326" i="2"/>
  <c r="M325" i="2"/>
  <c r="K325" i="2"/>
  <c r="J325" i="2"/>
  <c r="I325" i="2"/>
  <c r="H325" i="2"/>
  <c r="G325" i="2"/>
  <c r="K324" i="2"/>
  <c r="M324" i="2" s="1"/>
  <c r="M323" i="2"/>
  <c r="K323" i="2"/>
  <c r="K322" i="2"/>
  <c r="M321" i="2"/>
  <c r="K321" i="2"/>
  <c r="J321" i="2"/>
  <c r="I321" i="2"/>
  <c r="H321" i="2"/>
  <c r="G321" i="2"/>
  <c r="K320" i="2"/>
  <c r="M320" i="2" s="1"/>
  <c r="M319" i="2"/>
  <c r="K319" i="2"/>
  <c r="K318" i="2"/>
  <c r="M317" i="2"/>
  <c r="K317" i="2"/>
  <c r="J317" i="2"/>
  <c r="I317" i="2"/>
  <c r="H317" i="2"/>
  <c r="G317" i="2"/>
  <c r="K316" i="2"/>
  <c r="M316" i="2" s="1"/>
  <c r="M315" i="2"/>
  <c r="K315" i="2"/>
  <c r="K314" i="2"/>
  <c r="M313" i="2"/>
  <c r="K313" i="2"/>
  <c r="J313" i="2"/>
  <c r="I313" i="2"/>
  <c r="H313" i="2"/>
  <c r="G313" i="2"/>
  <c r="K312" i="2"/>
  <c r="M312" i="2" s="1"/>
  <c r="M311" i="2"/>
  <c r="K311" i="2"/>
  <c r="K310" i="2"/>
  <c r="M309" i="2"/>
  <c r="K309" i="2"/>
  <c r="J309" i="2"/>
  <c r="I309" i="2"/>
  <c r="H309" i="2"/>
  <c r="G309" i="2"/>
  <c r="K308" i="2"/>
  <c r="M308" i="2" s="1"/>
  <c r="M307" i="2"/>
  <c r="K307" i="2"/>
  <c r="K306" i="2"/>
  <c r="M305" i="2"/>
  <c r="K305" i="2"/>
  <c r="J305" i="2"/>
  <c r="I305" i="2"/>
  <c r="H305" i="2"/>
  <c r="G305" i="2"/>
  <c r="K304" i="2"/>
  <c r="M304" i="2" s="1"/>
  <c r="M303" i="2"/>
  <c r="K303" i="2"/>
  <c r="K302" i="2"/>
  <c r="M301" i="2"/>
  <c r="K301" i="2"/>
  <c r="J301" i="2"/>
  <c r="I301" i="2"/>
  <c r="H301" i="2"/>
  <c r="G301" i="2"/>
  <c r="K300" i="2"/>
  <c r="M300" i="2" s="1"/>
  <c r="M299" i="2"/>
  <c r="K299" i="2"/>
  <c r="K298" i="2"/>
  <c r="M297" i="2"/>
  <c r="K297" i="2"/>
  <c r="J297" i="2"/>
  <c r="I297" i="2"/>
  <c r="H297" i="2"/>
  <c r="G297" i="2"/>
  <c r="K296" i="2"/>
  <c r="M296" i="2" s="1"/>
  <c r="M295" i="2"/>
  <c r="K295" i="2"/>
  <c r="K294" i="2"/>
  <c r="M293" i="2"/>
  <c r="K293" i="2"/>
  <c r="J293" i="2"/>
  <c r="I293" i="2"/>
  <c r="H293" i="2"/>
  <c r="G293" i="2"/>
  <c r="K292" i="2"/>
  <c r="M292" i="2" s="1"/>
  <c r="M291" i="2"/>
  <c r="K291" i="2"/>
  <c r="K290" i="2"/>
  <c r="M289" i="2"/>
  <c r="K289" i="2"/>
  <c r="J289" i="2"/>
  <c r="I289" i="2"/>
  <c r="H289" i="2"/>
  <c r="G289" i="2"/>
  <c r="K288" i="2"/>
  <c r="M288" i="2" s="1"/>
  <c r="M287" i="2"/>
  <c r="K287" i="2"/>
  <c r="K286" i="2"/>
  <c r="M285" i="2"/>
  <c r="K285" i="2"/>
  <c r="J285" i="2"/>
  <c r="I285" i="2"/>
  <c r="H285" i="2"/>
  <c r="G285" i="2"/>
  <c r="K284" i="2"/>
  <c r="M284" i="2" s="1"/>
  <c r="M283" i="2"/>
  <c r="K283" i="2"/>
  <c r="K282" i="2"/>
  <c r="M281" i="2"/>
  <c r="K281" i="2"/>
  <c r="J281" i="2"/>
  <c r="I281" i="2"/>
  <c r="H281" i="2"/>
  <c r="G281" i="2"/>
  <c r="K280" i="2"/>
  <c r="M280" i="2" s="1"/>
  <c r="M279" i="2"/>
  <c r="K279" i="2"/>
  <c r="K278" i="2"/>
  <c r="M277" i="2"/>
  <c r="K277" i="2"/>
  <c r="J277" i="2"/>
  <c r="I277" i="2"/>
  <c r="H277" i="2"/>
  <c r="G277" i="2"/>
  <c r="K276" i="2"/>
  <c r="M276" i="2" s="1"/>
  <c r="M275" i="2"/>
  <c r="K275" i="2"/>
  <c r="K274" i="2"/>
  <c r="M273" i="2"/>
  <c r="K273" i="2"/>
  <c r="J273" i="2"/>
  <c r="I273" i="2"/>
  <c r="H273" i="2"/>
  <c r="G273" i="2"/>
  <c r="K272" i="2"/>
  <c r="M272" i="2" s="1"/>
  <c r="M271" i="2"/>
  <c r="K271" i="2"/>
  <c r="K270" i="2"/>
  <c r="M269" i="2"/>
  <c r="K269" i="2"/>
  <c r="J269" i="2"/>
  <c r="I269" i="2"/>
  <c r="H269" i="2"/>
  <c r="G269" i="2"/>
  <c r="K268" i="2"/>
  <c r="M268" i="2" s="1"/>
  <c r="M267" i="2"/>
  <c r="K267" i="2"/>
  <c r="K266" i="2"/>
  <c r="M265" i="2"/>
  <c r="K265" i="2"/>
  <c r="J265" i="2"/>
  <c r="I265" i="2"/>
  <c r="H265" i="2"/>
  <c r="G265" i="2"/>
  <c r="K264" i="2"/>
  <c r="M264" i="2" s="1"/>
  <c r="M263" i="2"/>
  <c r="K263" i="2"/>
  <c r="K262" i="2"/>
  <c r="M261" i="2"/>
  <c r="K261" i="2"/>
  <c r="J261" i="2"/>
  <c r="I261" i="2"/>
  <c r="H261" i="2"/>
  <c r="G261" i="2"/>
  <c r="K260" i="2"/>
  <c r="M260" i="2" s="1"/>
  <c r="M259" i="2"/>
  <c r="K259" i="2"/>
  <c r="K258" i="2"/>
  <c r="M257" i="2"/>
  <c r="K257" i="2"/>
  <c r="J257" i="2"/>
  <c r="I257" i="2"/>
  <c r="H257" i="2"/>
  <c r="G257" i="2"/>
  <c r="K256" i="2"/>
  <c r="M256" i="2" s="1"/>
  <c r="M255" i="2"/>
  <c r="K255" i="2"/>
  <c r="K254" i="2"/>
  <c r="M253" i="2"/>
  <c r="K253" i="2"/>
  <c r="J253" i="2"/>
  <c r="I253" i="2"/>
  <c r="H253" i="2"/>
  <c r="G253" i="2"/>
  <c r="K252" i="2"/>
  <c r="M252" i="2" s="1"/>
  <c r="M251" i="2"/>
  <c r="K251" i="2"/>
  <c r="K250" i="2"/>
  <c r="M249" i="2"/>
  <c r="K249" i="2"/>
  <c r="J249" i="2"/>
  <c r="I249" i="2"/>
  <c r="H249" i="2"/>
  <c r="G249" i="2"/>
  <c r="K248" i="2"/>
  <c r="M248" i="2" s="1"/>
  <c r="M247" i="2"/>
  <c r="K247" i="2"/>
  <c r="K246" i="2"/>
  <c r="M245" i="2"/>
  <c r="K245" i="2"/>
  <c r="J245" i="2"/>
  <c r="I245" i="2"/>
  <c r="H245" i="2"/>
  <c r="G245" i="2"/>
  <c r="K244" i="2"/>
  <c r="M244" i="2" s="1"/>
  <c r="M243" i="2"/>
  <c r="K243" i="2"/>
  <c r="K242" i="2"/>
  <c r="M241" i="2"/>
  <c r="K241" i="2"/>
  <c r="J241" i="2"/>
  <c r="I241" i="2"/>
  <c r="H241" i="2"/>
  <c r="G241" i="2"/>
  <c r="K240" i="2"/>
  <c r="M240" i="2" s="1"/>
  <c r="M239" i="2"/>
  <c r="K239" i="2"/>
  <c r="K238" i="2"/>
  <c r="M237" i="2"/>
  <c r="K237" i="2"/>
  <c r="J237" i="2"/>
  <c r="I237" i="2"/>
  <c r="H237" i="2"/>
  <c r="G237" i="2"/>
  <c r="K236" i="2"/>
  <c r="M236" i="2" s="1"/>
  <c r="M235" i="2"/>
  <c r="K235" i="2"/>
  <c r="M234" i="2"/>
  <c r="K234" i="2"/>
  <c r="H234" i="2" s="1"/>
  <c r="J234" i="2"/>
  <c r="I234" i="2"/>
  <c r="M233" i="2"/>
  <c r="K233" i="2"/>
  <c r="J233" i="2"/>
  <c r="I233" i="2"/>
  <c r="H233" i="2"/>
  <c r="G233" i="2"/>
  <c r="M232" i="2"/>
  <c r="K232" i="2"/>
  <c r="J232" i="2" s="1"/>
  <c r="H232" i="2"/>
  <c r="G232" i="2"/>
  <c r="M231" i="2"/>
  <c r="K231" i="2"/>
  <c r="M230" i="2"/>
  <c r="K230" i="2"/>
  <c r="H230" i="2" s="1"/>
  <c r="J230" i="2"/>
  <c r="I230" i="2"/>
  <c r="M229" i="2"/>
  <c r="K229" i="2"/>
  <c r="J229" i="2"/>
  <c r="I229" i="2"/>
  <c r="H229" i="2"/>
  <c r="G229" i="2"/>
  <c r="M228" i="2"/>
  <c r="K228" i="2"/>
  <c r="J228" i="2" s="1"/>
  <c r="H228" i="2"/>
  <c r="G228" i="2"/>
  <c r="M227" i="2"/>
  <c r="K227" i="2"/>
  <c r="M226" i="2"/>
  <c r="K226" i="2"/>
  <c r="H226" i="2" s="1"/>
  <c r="J226" i="2"/>
  <c r="I226" i="2"/>
  <c r="M225" i="2"/>
  <c r="K225" i="2"/>
  <c r="J225" i="2"/>
  <c r="I225" i="2"/>
  <c r="H225" i="2"/>
  <c r="G225" i="2"/>
  <c r="K224" i="2"/>
  <c r="M224" i="2" s="1"/>
  <c r="M223" i="2"/>
  <c r="K223" i="2"/>
  <c r="K222" i="2"/>
  <c r="M221" i="2"/>
  <c r="K221" i="2"/>
  <c r="J221" i="2"/>
  <c r="I221" i="2"/>
  <c r="H221" i="2"/>
  <c r="G221" i="2"/>
  <c r="K220" i="2"/>
  <c r="M220" i="2" s="1"/>
  <c r="K219" i="2"/>
  <c r="K218" i="2"/>
  <c r="M217" i="2"/>
  <c r="K217" i="2"/>
  <c r="J217" i="2"/>
  <c r="I217" i="2"/>
  <c r="H217" i="2"/>
  <c r="G217" i="2"/>
  <c r="K216" i="2"/>
  <c r="M216" i="2" s="1"/>
  <c r="M215" i="2"/>
  <c r="K215" i="2"/>
  <c r="K214" i="2"/>
  <c r="M213" i="2"/>
  <c r="K213" i="2"/>
  <c r="J213" i="2"/>
  <c r="I213" i="2"/>
  <c r="H213" i="2"/>
  <c r="G213" i="2"/>
  <c r="K212" i="2"/>
  <c r="M212" i="2" s="1"/>
  <c r="K211" i="2"/>
  <c r="K210" i="2"/>
  <c r="M209" i="2"/>
  <c r="K209" i="2"/>
  <c r="J209" i="2"/>
  <c r="I209" i="2"/>
  <c r="H209" i="2"/>
  <c r="G209" i="2"/>
  <c r="K208" i="2"/>
  <c r="M208" i="2" s="1"/>
  <c r="M207" i="2"/>
  <c r="K207" i="2"/>
  <c r="K206" i="2"/>
  <c r="M205" i="2"/>
  <c r="K205" i="2"/>
  <c r="J205" i="2"/>
  <c r="I205" i="2"/>
  <c r="H205" i="2"/>
  <c r="G205" i="2"/>
  <c r="K204" i="2"/>
  <c r="M204" i="2" s="1"/>
  <c r="K203" i="2"/>
  <c r="K202" i="2"/>
  <c r="M201" i="2"/>
  <c r="K201" i="2"/>
  <c r="J201" i="2"/>
  <c r="I201" i="2"/>
  <c r="H201" i="2"/>
  <c r="G201" i="2"/>
  <c r="K200" i="2"/>
  <c r="M200" i="2" s="1"/>
  <c r="M199" i="2"/>
  <c r="K199" i="2"/>
  <c r="K198" i="2"/>
  <c r="M197" i="2"/>
  <c r="K197" i="2"/>
  <c r="J197" i="2"/>
  <c r="I197" i="2"/>
  <c r="H197" i="2"/>
  <c r="G197" i="2"/>
  <c r="K196" i="2"/>
  <c r="M196" i="2" s="1"/>
  <c r="K195" i="2"/>
  <c r="K194" i="2"/>
  <c r="M193" i="2"/>
  <c r="K193" i="2"/>
  <c r="J193" i="2"/>
  <c r="I193" i="2"/>
  <c r="H193" i="2"/>
  <c r="G193" i="2"/>
  <c r="K192" i="2"/>
  <c r="M192" i="2" s="1"/>
  <c r="M191" i="2"/>
  <c r="K191" i="2"/>
  <c r="K190" i="2"/>
  <c r="M189" i="2"/>
  <c r="K189" i="2"/>
  <c r="J189" i="2"/>
  <c r="I189" i="2"/>
  <c r="H189" i="2"/>
  <c r="G189" i="2"/>
  <c r="K188" i="2"/>
  <c r="M188" i="2" s="1"/>
  <c r="K187" i="2"/>
  <c r="K186" i="2"/>
  <c r="M185" i="2"/>
  <c r="K185" i="2"/>
  <c r="J185" i="2"/>
  <c r="I185" i="2"/>
  <c r="H185" i="2"/>
  <c r="G185" i="2"/>
  <c r="K184" i="2"/>
  <c r="M184" i="2" s="1"/>
  <c r="M183" i="2"/>
  <c r="K183" i="2"/>
  <c r="K182" i="2"/>
  <c r="M181" i="2"/>
  <c r="K181" i="2"/>
  <c r="J181" i="2"/>
  <c r="I181" i="2"/>
  <c r="H181" i="2"/>
  <c r="G181" i="2"/>
  <c r="K180" i="2"/>
  <c r="M180" i="2" s="1"/>
  <c r="K179" i="2"/>
  <c r="K178" i="2"/>
  <c r="M177" i="2"/>
  <c r="K177" i="2"/>
  <c r="J177" i="2"/>
  <c r="I177" i="2"/>
  <c r="H177" i="2"/>
  <c r="G177" i="2"/>
  <c r="K176" i="2"/>
  <c r="M176" i="2" s="1"/>
  <c r="M175" i="2"/>
  <c r="K175" i="2"/>
  <c r="K174" i="2"/>
  <c r="M173" i="2"/>
  <c r="K173" i="2"/>
  <c r="J173" i="2"/>
  <c r="I173" i="2"/>
  <c r="H173" i="2"/>
  <c r="G173" i="2"/>
  <c r="K172" i="2"/>
  <c r="M172" i="2" s="1"/>
  <c r="K171" i="2"/>
  <c r="K170" i="2"/>
  <c r="M169" i="2"/>
  <c r="K169" i="2"/>
  <c r="J169" i="2"/>
  <c r="I169" i="2"/>
  <c r="H169" i="2"/>
  <c r="G169" i="2"/>
  <c r="K168" i="2"/>
  <c r="M168" i="2" s="1"/>
  <c r="M167" i="2"/>
  <c r="K167" i="2"/>
  <c r="K166" i="2"/>
  <c r="M165" i="2"/>
  <c r="K165" i="2"/>
  <c r="J165" i="2"/>
  <c r="I165" i="2"/>
  <c r="H165" i="2"/>
  <c r="G165" i="2"/>
  <c r="K164" i="2"/>
  <c r="M164" i="2" s="1"/>
  <c r="K163" i="2"/>
  <c r="K162" i="2"/>
  <c r="M161" i="2"/>
  <c r="K161" i="2"/>
  <c r="J161" i="2"/>
  <c r="I161" i="2"/>
  <c r="H161" i="2"/>
  <c r="G161" i="2"/>
  <c r="K160" i="2"/>
  <c r="M160" i="2" s="1"/>
  <c r="M159" i="2"/>
  <c r="K159" i="2"/>
  <c r="K158" i="2"/>
  <c r="M157" i="2"/>
  <c r="K157" i="2"/>
  <c r="J157" i="2"/>
  <c r="I157" i="2"/>
  <c r="H157" i="2"/>
  <c r="G157" i="2"/>
  <c r="K156" i="2"/>
  <c r="M156" i="2" s="1"/>
  <c r="K155" i="2"/>
  <c r="K154" i="2"/>
  <c r="M153" i="2"/>
  <c r="K153" i="2"/>
  <c r="J153" i="2"/>
  <c r="I153" i="2"/>
  <c r="H153" i="2"/>
  <c r="G153" i="2"/>
  <c r="K152" i="2"/>
  <c r="M152" i="2" s="1"/>
  <c r="M151" i="2"/>
  <c r="K151" i="2"/>
  <c r="K150" i="2"/>
  <c r="M149" i="2"/>
  <c r="K149" i="2"/>
  <c r="J149" i="2"/>
  <c r="I149" i="2"/>
  <c r="H149" i="2"/>
  <c r="G149" i="2"/>
  <c r="K148" i="2"/>
  <c r="M148" i="2" s="1"/>
  <c r="K147" i="2"/>
  <c r="K146" i="2"/>
  <c r="M145" i="2"/>
  <c r="K145" i="2"/>
  <c r="J145" i="2"/>
  <c r="I145" i="2"/>
  <c r="H145" i="2"/>
  <c r="G145" i="2"/>
  <c r="K144" i="2"/>
  <c r="M144" i="2" s="1"/>
  <c r="M143" i="2"/>
  <c r="K143" i="2"/>
  <c r="K142" i="2"/>
  <c r="M141" i="2"/>
  <c r="K141" i="2"/>
  <c r="J141" i="2"/>
  <c r="I141" i="2"/>
  <c r="H141" i="2"/>
  <c r="G141" i="2"/>
  <c r="K140" i="2"/>
  <c r="M140" i="2" s="1"/>
  <c r="K139" i="2"/>
  <c r="K138" i="2"/>
  <c r="M137" i="2"/>
  <c r="K137" i="2"/>
  <c r="J137" i="2"/>
  <c r="I137" i="2"/>
  <c r="H137" i="2"/>
  <c r="G137" i="2"/>
  <c r="K136" i="2"/>
  <c r="M136" i="2" s="1"/>
  <c r="M135" i="2"/>
  <c r="K135" i="2"/>
  <c r="K134" i="2"/>
  <c r="M133" i="2"/>
  <c r="K133" i="2"/>
  <c r="J133" i="2"/>
  <c r="I133" i="2"/>
  <c r="H133" i="2"/>
  <c r="G133" i="2"/>
  <c r="K132" i="2"/>
  <c r="M132" i="2" s="1"/>
  <c r="K131" i="2"/>
  <c r="K130" i="2"/>
  <c r="M129" i="2"/>
  <c r="K129" i="2"/>
  <c r="J129" i="2"/>
  <c r="I129" i="2"/>
  <c r="H129" i="2"/>
  <c r="G129" i="2"/>
  <c r="K128" i="2"/>
  <c r="M128" i="2" s="1"/>
  <c r="M127" i="2"/>
  <c r="K127" i="2"/>
  <c r="K126" i="2"/>
  <c r="M125" i="2"/>
  <c r="K125" i="2"/>
  <c r="J125" i="2"/>
  <c r="I125" i="2"/>
  <c r="H125" i="2"/>
  <c r="G125" i="2"/>
  <c r="K124" i="2"/>
  <c r="M124" i="2" s="1"/>
  <c r="K123" i="2"/>
  <c r="K122" i="2"/>
  <c r="M121" i="2"/>
  <c r="K121" i="2"/>
  <c r="J121" i="2"/>
  <c r="I121" i="2"/>
  <c r="H121" i="2"/>
  <c r="G121" i="2"/>
  <c r="K120" i="2"/>
  <c r="M120" i="2" s="1"/>
  <c r="M119" i="2"/>
  <c r="K119" i="2"/>
  <c r="M118" i="2"/>
  <c r="K118" i="2"/>
  <c r="H118" i="2" s="1"/>
  <c r="J118" i="2"/>
  <c r="I118" i="2"/>
  <c r="M117" i="2"/>
  <c r="K117" i="2"/>
  <c r="J117" i="2"/>
  <c r="I117" i="2"/>
  <c r="H117" i="2"/>
  <c r="G117" i="2"/>
  <c r="K116" i="2"/>
  <c r="M116" i="2" s="1"/>
  <c r="M115" i="2"/>
  <c r="K115" i="2"/>
  <c r="M114" i="2"/>
  <c r="K114" i="2"/>
  <c r="H114" i="2" s="1"/>
  <c r="J114" i="2"/>
  <c r="I114" i="2"/>
  <c r="M113" i="2"/>
  <c r="K113" i="2"/>
  <c r="J113" i="2"/>
  <c r="I113" i="2"/>
  <c r="H113" i="2"/>
  <c r="G113" i="2"/>
  <c r="M112" i="2"/>
  <c r="K112" i="2"/>
  <c r="J112" i="2" s="1"/>
  <c r="H112" i="2"/>
  <c r="G112" i="2"/>
  <c r="M111" i="2"/>
  <c r="K111" i="2"/>
  <c r="K110" i="2"/>
  <c r="M109" i="2"/>
  <c r="K109" i="2"/>
  <c r="J109" i="2"/>
  <c r="I109" i="2"/>
  <c r="H109" i="2"/>
  <c r="G109" i="2"/>
  <c r="K108" i="2"/>
  <c r="M108" i="2" s="1"/>
  <c r="K107" i="2"/>
  <c r="K106" i="2"/>
  <c r="M105" i="2"/>
  <c r="K105" i="2"/>
  <c r="J105" i="2"/>
  <c r="I105" i="2"/>
  <c r="H105" i="2"/>
  <c r="G105" i="2"/>
  <c r="K104" i="2"/>
  <c r="M104" i="2" s="1"/>
  <c r="M103" i="2"/>
  <c r="K103" i="2"/>
  <c r="K102" i="2"/>
  <c r="M101" i="2"/>
  <c r="K101" i="2"/>
  <c r="J101" i="2"/>
  <c r="I101" i="2"/>
  <c r="H101" i="2"/>
  <c r="G101" i="2"/>
  <c r="D101" i="2"/>
  <c r="M100" i="2"/>
  <c r="K100" i="2"/>
  <c r="J100" i="2" s="1"/>
  <c r="I100" i="2"/>
  <c r="H100" i="2"/>
  <c r="G100" i="2"/>
  <c r="D100" i="2"/>
  <c r="M99" i="2"/>
  <c r="K99" i="2"/>
  <c r="D99" i="2"/>
  <c r="K98" i="2"/>
  <c r="M98" i="2" s="1"/>
  <c r="K97" i="2"/>
  <c r="K96" i="2"/>
  <c r="M96" i="2" s="1"/>
  <c r="J96" i="2" s="1"/>
  <c r="H96" i="2"/>
  <c r="M95" i="2"/>
  <c r="K95" i="2"/>
  <c r="J95" i="2" s="1"/>
  <c r="I95" i="2"/>
  <c r="H95" i="2"/>
  <c r="G95" i="2"/>
  <c r="K94" i="2"/>
  <c r="K93" i="2"/>
  <c r="K92" i="2"/>
  <c r="M92" i="2" s="1"/>
  <c r="J92" i="2" s="1"/>
  <c r="M91" i="2"/>
  <c r="K91" i="2"/>
  <c r="J91" i="2" s="1"/>
  <c r="I91" i="2"/>
  <c r="H91" i="2"/>
  <c r="G91" i="2"/>
  <c r="M90" i="2"/>
  <c r="K90" i="2"/>
  <c r="K89" i="2"/>
  <c r="K88" i="2"/>
  <c r="M88" i="2" s="1"/>
  <c r="J88" i="2" s="1"/>
  <c r="M87" i="2"/>
  <c r="K87" i="2"/>
  <c r="J87" i="2" s="1"/>
  <c r="I87" i="2"/>
  <c r="H87" i="2"/>
  <c r="G87" i="2"/>
  <c r="K86" i="2"/>
  <c r="K85" i="2"/>
  <c r="K84" i="2"/>
  <c r="M84" i="2" s="1"/>
  <c r="J84" i="2" s="1"/>
  <c r="H84" i="2"/>
  <c r="M83" i="2"/>
  <c r="K83" i="2"/>
  <c r="J83" i="2" s="1"/>
  <c r="I83" i="2"/>
  <c r="H83" i="2"/>
  <c r="G83" i="2"/>
  <c r="K82" i="2"/>
  <c r="K81" i="2"/>
  <c r="K80" i="2"/>
  <c r="M80" i="2" s="1"/>
  <c r="J80" i="2" s="1"/>
  <c r="H80" i="2"/>
  <c r="M79" i="2"/>
  <c r="K79" i="2"/>
  <c r="J79" i="2" s="1"/>
  <c r="I79" i="2"/>
  <c r="H79" i="2"/>
  <c r="G79" i="2"/>
  <c r="K78" i="2"/>
  <c r="K77" i="2"/>
  <c r="M77" i="2" s="1"/>
  <c r="K76" i="2"/>
  <c r="M76" i="2" s="1"/>
  <c r="J76" i="2" s="1"/>
  <c r="M75" i="2"/>
  <c r="K75" i="2"/>
  <c r="J75" i="2" s="1"/>
  <c r="I75" i="2"/>
  <c r="H75" i="2"/>
  <c r="G75" i="2"/>
  <c r="K74" i="2"/>
  <c r="K73" i="2"/>
  <c r="M73" i="2" s="1"/>
  <c r="K72" i="2"/>
  <c r="M72" i="2" s="1"/>
  <c r="J72" i="2" s="1"/>
  <c r="M71" i="2"/>
  <c r="K71" i="2"/>
  <c r="J71" i="2" s="1"/>
  <c r="I71" i="2"/>
  <c r="H71" i="2"/>
  <c r="G71" i="2"/>
  <c r="K70" i="2"/>
  <c r="K69" i="2"/>
  <c r="K68" i="2"/>
  <c r="M68" i="2" s="1"/>
  <c r="J68" i="2" s="1"/>
  <c r="M67" i="2"/>
  <c r="K67" i="2"/>
  <c r="J67" i="2" s="1"/>
  <c r="I67" i="2"/>
  <c r="H67" i="2"/>
  <c r="G67" i="2"/>
  <c r="K66" i="2"/>
  <c r="K65" i="2"/>
  <c r="M65" i="2" s="1"/>
  <c r="M64" i="2"/>
  <c r="K64" i="2"/>
  <c r="J64" i="2"/>
  <c r="I64" i="2"/>
  <c r="H64" i="2"/>
  <c r="G64" i="2"/>
  <c r="M63" i="2"/>
  <c r="K63" i="2"/>
  <c r="J63" i="2" s="1"/>
  <c r="I63" i="2"/>
  <c r="H63" i="2"/>
  <c r="G63" i="2"/>
  <c r="M62" i="2"/>
  <c r="K62" i="2"/>
  <c r="M61" i="2"/>
  <c r="I61" i="2" s="1"/>
  <c r="K61" i="2"/>
  <c r="M60" i="2"/>
  <c r="K60" i="2"/>
  <c r="J60" i="2"/>
  <c r="I60" i="2"/>
  <c r="H60" i="2"/>
  <c r="G60" i="2"/>
  <c r="M59" i="2"/>
  <c r="K59" i="2"/>
  <c r="J59" i="2" s="1"/>
  <c r="I59" i="2"/>
  <c r="H59" i="2"/>
  <c r="G59" i="2"/>
  <c r="K58" i="2"/>
  <c r="M58" i="2" s="1"/>
  <c r="K57" i="2"/>
  <c r="K56" i="2"/>
  <c r="M56" i="2" s="1"/>
  <c r="G56" i="2" s="1"/>
  <c r="J56" i="2"/>
  <c r="I56" i="2"/>
  <c r="H56" i="2"/>
  <c r="M55" i="2"/>
  <c r="K55" i="2"/>
  <c r="J55" i="2" s="1"/>
  <c r="I55" i="2"/>
  <c r="H55" i="2"/>
  <c r="G55" i="2"/>
  <c r="K54" i="2"/>
  <c r="K53" i="2"/>
  <c r="K52" i="2"/>
  <c r="M52" i="2" s="1"/>
  <c r="J52" i="2"/>
  <c r="I52" i="2"/>
  <c r="H52" i="2"/>
  <c r="M51" i="2"/>
  <c r="K51" i="2"/>
  <c r="J51" i="2" s="1"/>
  <c r="I51" i="2"/>
  <c r="H51" i="2"/>
  <c r="G51" i="2"/>
  <c r="K50" i="2"/>
  <c r="M50" i="2" s="1"/>
  <c r="M49" i="2"/>
  <c r="K49" i="2"/>
  <c r="J49" i="2" s="1"/>
  <c r="K48" i="2"/>
  <c r="M48" i="2" s="1"/>
  <c r="I48" i="2"/>
  <c r="G48" i="2"/>
  <c r="M47" i="2"/>
  <c r="K47" i="2"/>
  <c r="J47" i="2" s="1"/>
  <c r="I47" i="2"/>
  <c r="H47" i="2"/>
  <c r="G47" i="2"/>
  <c r="M46" i="2"/>
  <c r="G46" i="2" s="1"/>
  <c r="K46" i="2"/>
  <c r="M45" i="2"/>
  <c r="I45" i="2" s="1"/>
  <c r="K45" i="2"/>
  <c r="J45" i="2" s="1"/>
  <c r="K44" i="2"/>
  <c r="M44" i="2" s="1"/>
  <c r="J44" i="2"/>
  <c r="H44" i="2"/>
  <c r="G44" i="2"/>
  <c r="M43" i="2"/>
  <c r="H43" i="2" s="1"/>
  <c r="K43" i="2"/>
  <c r="I43" i="2"/>
  <c r="G43" i="2"/>
  <c r="K42" i="2"/>
  <c r="K41" i="2"/>
  <c r="K40" i="2"/>
  <c r="M40" i="2" s="1"/>
  <c r="M39" i="2"/>
  <c r="I39" i="2" s="1"/>
  <c r="K39" i="2"/>
  <c r="J39" i="2" s="1"/>
  <c r="H39" i="2"/>
  <c r="G39" i="2"/>
  <c r="M38" i="2"/>
  <c r="G38" i="2" s="1"/>
  <c r="K38" i="2"/>
  <c r="J38" i="2"/>
  <c r="M37" i="2"/>
  <c r="I37" i="2" s="1"/>
  <c r="K37" i="2"/>
  <c r="K36" i="2"/>
  <c r="M36" i="2" s="1"/>
  <c r="J36" i="2"/>
  <c r="I36" i="2"/>
  <c r="H36" i="2"/>
  <c r="M35" i="2"/>
  <c r="I35" i="2" s="1"/>
  <c r="K35" i="2"/>
  <c r="K34" i="2"/>
  <c r="M34" i="2" s="1"/>
  <c r="M33" i="2"/>
  <c r="I33" i="2" s="1"/>
  <c r="K33" i="2"/>
  <c r="J33" i="2" s="1"/>
  <c r="K32" i="2"/>
  <c r="M32" i="2" s="1"/>
  <c r="M31" i="2"/>
  <c r="G31" i="2" s="1"/>
  <c r="K31" i="2"/>
  <c r="J31" i="2" s="1"/>
  <c r="I31" i="2"/>
  <c r="H31" i="2"/>
  <c r="M30" i="2"/>
  <c r="K30" i="2"/>
  <c r="J30" i="2" s="1"/>
  <c r="M29" i="2"/>
  <c r="K29" i="2"/>
  <c r="I29" i="2" s="1"/>
  <c r="J29" i="2"/>
  <c r="H29" i="2"/>
  <c r="K28" i="2"/>
  <c r="M28" i="2" s="1"/>
  <c r="M27" i="2"/>
  <c r="J27" i="2" s="1"/>
  <c r="K27" i="2"/>
  <c r="M26" i="2"/>
  <c r="K26" i="2"/>
  <c r="J26" i="2" s="1"/>
  <c r="G26" i="2"/>
  <c r="M25" i="2"/>
  <c r="K25" i="2"/>
  <c r="G25" i="2" s="1"/>
  <c r="M24" i="2"/>
  <c r="K24" i="2"/>
  <c r="I24" i="2" s="1"/>
  <c r="J24" i="2"/>
  <c r="H24" i="2"/>
  <c r="G24" i="2"/>
  <c r="M23" i="2"/>
  <c r="H23" i="2" s="1"/>
  <c r="K23" i="2"/>
  <c r="I23" i="2"/>
  <c r="G23" i="2"/>
  <c r="K22" i="2"/>
  <c r="K21" i="2"/>
  <c r="M20" i="2"/>
  <c r="K20" i="2"/>
  <c r="J20" i="2" s="1"/>
  <c r="M19" i="2"/>
  <c r="J19" i="2" s="1"/>
  <c r="K19" i="2"/>
  <c r="I19" i="2"/>
  <c r="H19" i="2"/>
  <c r="G19" i="2"/>
  <c r="M18" i="2"/>
  <c r="K18" i="2"/>
  <c r="J18" i="2" s="1"/>
  <c r="G18" i="2"/>
  <c r="M17" i="2"/>
  <c r="K17" i="2"/>
  <c r="G17" i="2" s="1"/>
  <c r="M16" i="2"/>
  <c r="K16" i="2"/>
  <c r="I16" i="2" s="1"/>
  <c r="J16" i="2"/>
  <c r="H16" i="2"/>
  <c r="G16" i="2"/>
  <c r="M15" i="2"/>
  <c r="K15" i="2"/>
  <c r="G15" i="2" s="1"/>
  <c r="J15" i="2"/>
  <c r="I15" i="2"/>
  <c r="H15" i="2"/>
  <c r="M14" i="2"/>
  <c r="K14" i="2"/>
  <c r="J14" i="2" s="1"/>
  <c r="M13" i="2"/>
  <c r="J13" i="2" s="1"/>
  <c r="K13" i="2"/>
  <c r="I13" i="2"/>
  <c r="H13" i="2"/>
  <c r="G13" i="2"/>
  <c r="M12" i="2"/>
  <c r="K12" i="2"/>
  <c r="I12" i="2" s="1"/>
  <c r="J12" i="2"/>
  <c r="H12" i="2"/>
  <c r="G12" i="2"/>
  <c r="M11" i="2"/>
  <c r="K11" i="2"/>
  <c r="G11" i="2" s="1"/>
  <c r="J11" i="2"/>
  <c r="I11" i="2"/>
  <c r="H11" i="2"/>
  <c r="M10" i="2"/>
  <c r="K10" i="2"/>
  <c r="J10" i="2" s="1"/>
  <c r="M9" i="2"/>
  <c r="J9" i="2" s="1"/>
  <c r="K9" i="2"/>
  <c r="I9" i="2"/>
  <c r="H9" i="2"/>
  <c r="G9" i="2"/>
  <c r="M8" i="2"/>
  <c r="K8" i="2"/>
  <c r="I8" i="2" s="1"/>
  <c r="J8" i="2"/>
  <c r="H8" i="2"/>
  <c r="G8" i="2"/>
  <c r="M7" i="2"/>
  <c r="I7" i="2" s="1"/>
  <c r="K7" i="2"/>
  <c r="G7" i="2" s="1"/>
  <c r="J7" i="2"/>
  <c r="H7" i="2"/>
  <c r="M6" i="2"/>
  <c r="K6" i="2"/>
  <c r="J6" i="2" s="1"/>
  <c r="M5" i="2"/>
  <c r="I5" i="2" s="1"/>
  <c r="K5" i="2"/>
  <c r="M4" i="2"/>
  <c r="K4" i="2"/>
  <c r="I4" i="2" s="1"/>
  <c r="J4" i="2"/>
  <c r="H4" i="2"/>
  <c r="G4" i="2"/>
  <c r="M3" i="2"/>
  <c r="I3" i="2" s="1"/>
  <c r="K3" i="2"/>
  <c r="G3" i="2" s="1"/>
  <c r="J3" i="2"/>
  <c r="H3" i="2"/>
  <c r="I93" i="2" l="1"/>
  <c r="J560" i="2"/>
  <c r="J592" i="2"/>
  <c r="J41" i="2"/>
  <c r="J37" i="2"/>
  <c r="H53" i="2"/>
  <c r="G53" i="2"/>
  <c r="J61" i="2"/>
  <c r="I65" i="2"/>
  <c r="I77" i="2"/>
  <c r="H88" i="2"/>
  <c r="H242" i="2"/>
  <c r="H258" i="2"/>
  <c r="H290" i="2"/>
  <c r="H298" i="2"/>
  <c r="H306" i="2"/>
  <c r="H322" i="2"/>
  <c r="M344" i="2"/>
  <c r="I344" i="2" s="1"/>
  <c r="H344" i="2"/>
  <c r="G344" i="2"/>
  <c r="M356" i="2"/>
  <c r="H356" i="2" s="1"/>
  <c r="J356" i="2"/>
  <c r="I356" i="2"/>
  <c r="G417" i="2"/>
  <c r="J417" i="2"/>
  <c r="I417" i="2"/>
  <c r="J463" i="2"/>
  <c r="I463" i="2"/>
  <c r="H463" i="2"/>
  <c r="G463" i="2"/>
  <c r="J519" i="2"/>
  <c r="I519" i="2"/>
  <c r="H519" i="2"/>
  <c r="G519" i="2"/>
  <c r="J525" i="2"/>
  <c r="I525" i="2"/>
  <c r="H525" i="2"/>
  <c r="M525" i="2"/>
  <c r="G525" i="2" s="1"/>
  <c r="J545" i="2"/>
  <c r="G545" i="2"/>
  <c r="J573" i="2"/>
  <c r="G573" i="2"/>
  <c r="I1158" i="2"/>
  <c r="H1158" i="2"/>
  <c r="G1158" i="2"/>
  <c r="J1158" i="2"/>
  <c r="I1851" i="2"/>
  <c r="G1851" i="2"/>
  <c r="J1851" i="2"/>
  <c r="H1851" i="2"/>
  <c r="J2092" i="2"/>
  <c r="I2092" i="2"/>
  <c r="H2092" i="2"/>
  <c r="G2092" i="2"/>
  <c r="I2262" i="2"/>
  <c r="H2262" i="2"/>
  <c r="G2262" i="2"/>
  <c r="J2262" i="2"/>
  <c r="H2597" i="2"/>
  <c r="G2597" i="2"/>
  <c r="J2597" i="2"/>
  <c r="I2597" i="2"/>
  <c r="J2635" i="2"/>
  <c r="I2635" i="2"/>
  <c r="H2635" i="2"/>
  <c r="G2635" i="2"/>
  <c r="J3204" i="2"/>
  <c r="I3204" i="2"/>
  <c r="H3204" i="2"/>
  <c r="G3204" i="2"/>
  <c r="H3309" i="2"/>
  <c r="G3309" i="2"/>
  <c r="I3309" i="2"/>
  <c r="J3309" i="2"/>
  <c r="I3423" i="2"/>
  <c r="J3423" i="2"/>
  <c r="G3423" i="2"/>
  <c r="H3423" i="2"/>
  <c r="G69" i="2"/>
  <c r="G82" i="2"/>
  <c r="H140" i="2"/>
  <c r="G140" i="2"/>
  <c r="H172" i="2"/>
  <c r="G172" i="2"/>
  <c r="H220" i="2"/>
  <c r="G220" i="2"/>
  <c r="H338" i="2"/>
  <c r="G338" i="2"/>
  <c r="M338" i="2"/>
  <c r="I338" i="2" s="1"/>
  <c r="M380" i="2"/>
  <c r="J380" i="2"/>
  <c r="I380" i="2"/>
  <c r="H380" i="2"/>
  <c r="G380" i="2"/>
  <c r="H853" i="2"/>
  <c r="G853" i="2"/>
  <c r="I1013" i="2"/>
  <c r="H1013" i="2"/>
  <c r="G1013" i="2"/>
  <c r="I1077" i="2"/>
  <c r="H1077" i="2"/>
  <c r="G1077" i="2"/>
  <c r="I1093" i="2"/>
  <c r="H1093" i="2"/>
  <c r="G1093" i="2"/>
  <c r="I1109" i="2"/>
  <c r="H1109" i="2"/>
  <c r="G1109" i="2"/>
  <c r="I1125" i="2"/>
  <c r="H1125" i="2"/>
  <c r="G1125" i="2"/>
  <c r="J5" i="2"/>
  <c r="H22" i="2"/>
  <c r="I27" i="2"/>
  <c r="I32" i="2"/>
  <c r="G34" i="2"/>
  <c r="I42" i="2"/>
  <c r="I69" i="2"/>
  <c r="I73" i="2"/>
  <c r="J86" i="2"/>
  <c r="I86" i="2"/>
  <c r="H86" i="2"/>
  <c r="J147" i="2"/>
  <c r="H147" i="2"/>
  <c r="G147" i="2"/>
  <c r="J155" i="2"/>
  <c r="I155" i="2"/>
  <c r="H155" i="2"/>
  <c r="J163" i="2"/>
  <c r="H163" i="2"/>
  <c r="G163" i="2"/>
  <c r="J171" i="2"/>
  <c r="I171" i="2"/>
  <c r="H171" i="2"/>
  <c r="I187" i="2"/>
  <c r="H187" i="2"/>
  <c r="J211" i="2"/>
  <c r="H211" i="2"/>
  <c r="G211" i="2"/>
  <c r="J219" i="2"/>
  <c r="I219" i="2"/>
  <c r="H219" i="2"/>
  <c r="M22" i="2"/>
  <c r="I22" i="2" s="1"/>
  <c r="J32" i="2"/>
  <c r="J34" i="2"/>
  <c r="G36" i="2"/>
  <c r="G37" i="2"/>
  <c r="H41" i="2"/>
  <c r="M42" i="2"/>
  <c r="H42" i="2" s="1"/>
  <c r="I44" i="2"/>
  <c r="J46" i="2"/>
  <c r="I46" i="2"/>
  <c r="H46" i="2"/>
  <c r="H48" i="2"/>
  <c r="G50" i="2"/>
  <c r="G52" i="2"/>
  <c r="M53" i="2"/>
  <c r="M57" i="2"/>
  <c r="H57" i="2" s="1"/>
  <c r="H61" i="2"/>
  <c r="G61" i="2"/>
  <c r="J65" i="2"/>
  <c r="J69" i="2"/>
  <c r="J73" i="2"/>
  <c r="J77" i="2"/>
  <c r="G81" i="2"/>
  <c r="M81" i="2"/>
  <c r="G84" i="2"/>
  <c r="M86" i="2"/>
  <c r="G86" i="2" s="1"/>
  <c r="I88" i="2"/>
  <c r="H97" i="2"/>
  <c r="G97" i="2"/>
  <c r="M97" i="2"/>
  <c r="H104" i="2"/>
  <c r="G104" i="2"/>
  <c r="H116" i="2"/>
  <c r="G116" i="2"/>
  <c r="M123" i="2"/>
  <c r="J123" i="2" s="1"/>
  <c r="M131" i="2"/>
  <c r="H131" i="2" s="1"/>
  <c r="M139" i="2"/>
  <c r="G139" i="2" s="1"/>
  <c r="M147" i="2"/>
  <c r="I147" i="2" s="1"/>
  <c r="M155" i="2"/>
  <c r="G155" i="2" s="1"/>
  <c r="M163" i="2"/>
  <c r="I163" i="2" s="1"/>
  <c r="M171" i="2"/>
  <c r="G171" i="2" s="1"/>
  <c r="M179" i="2"/>
  <c r="J179" i="2" s="1"/>
  <c r="M187" i="2"/>
  <c r="G187" i="2" s="1"/>
  <c r="M195" i="2"/>
  <c r="G195" i="2" s="1"/>
  <c r="M203" i="2"/>
  <c r="G203" i="2" s="1"/>
  <c r="M211" i="2"/>
  <c r="I211" i="2" s="1"/>
  <c r="M219" i="2"/>
  <c r="G219" i="2" s="1"/>
  <c r="J227" i="2"/>
  <c r="I227" i="2"/>
  <c r="H227" i="2"/>
  <c r="G227" i="2"/>
  <c r="J231" i="2"/>
  <c r="I231" i="2"/>
  <c r="H231" i="2"/>
  <c r="G231" i="2"/>
  <c r="J235" i="2"/>
  <c r="I235" i="2"/>
  <c r="H235" i="2"/>
  <c r="G235" i="2"/>
  <c r="J243" i="2"/>
  <c r="I243" i="2"/>
  <c r="H243" i="2"/>
  <c r="G243" i="2"/>
  <c r="J251" i="2"/>
  <c r="I251" i="2"/>
  <c r="H251" i="2"/>
  <c r="G251" i="2"/>
  <c r="J259" i="2"/>
  <c r="I259" i="2"/>
  <c r="H259" i="2"/>
  <c r="G259" i="2"/>
  <c r="J267" i="2"/>
  <c r="I267" i="2"/>
  <c r="H267" i="2"/>
  <c r="G267" i="2"/>
  <c r="J275" i="2"/>
  <c r="I275" i="2"/>
  <c r="H275" i="2"/>
  <c r="G275" i="2"/>
  <c r="J283" i="2"/>
  <c r="I283" i="2"/>
  <c r="H283" i="2"/>
  <c r="G283" i="2"/>
  <c r="J291" i="2"/>
  <c r="I291" i="2"/>
  <c r="H291" i="2"/>
  <c r="G291" i="2"/>
  <c r="J299" i="2"/>
  <c r="I299" i="2"/>
  <c r="H299" i="2"/>
  <c r="G299" i="2"/>
  <c r="J307" i="2"/>
  <c r="I307" i="2"/>
  <c r="H307" i="2"/>
  <c r="G307" i="2"/>
  <c r="J315" i="2"/>
  <c r="I315" i="2"/>
  <c r="H315" i="2"/>
  <c r="G315" i="2"/>
  <c r="J323" i="2"/>
  <c r="I323" i="2"/>
  <c r="H323" i="2"/>
  <c r="G323" i="2"/>
  <c r="J331" i="2"/>
  <c r="I331" i="2"/>
  <c r="H331" i="2"/>
  <c r="G331" i="2"/>
  <c r="J338" i="2"/>
  <c r="H345" i="2"/>
  <c r="G345" i="2"/>
  <c r="H359" i="2"/>
  <c r="M401" i="2"/>
  <c r="J401" i="2" s="1"/>
  <c r="I401" i="2"/>
  <c r="J434" i="2"/>
  <c r="I434" i="2"/>
  <c r="H434" i="2"/>
  <c r="G434" i="2"/>
  <c r="J557" i="2"/>
  <c r="G557" i="2"/>
  <c r="J598" i="2"/>
  <c r="I598" i="2"/>
  <c r="H598" i="2"/>
  <c r="G598" i="2"/>
  <c r="J856" i="2"/>
  <c r="J1008" i="2"/>
  <c r="I1008" i="2"/>
  <c r="H1008" i="2"/>
  <c r="G1008" i="2"/>
  <c r="J1013" i="2"/>
  <c r="J1077" i="2"/>
  <c r="J1093" i="2"/>
  <c r="J1109" i="2"/>
  <c r="J1125" i="2"/>
  <c r="J1562" i="2"/>
  <c r="I1562" i="2"/>
  <c r="H1562" i="2"/>
  <c r="G1562" i="2"/>
  <c r="I1599" i="2"/>
  <c r="H1599" i="2"/>
  <c r="G1599" i="2"/>
  <c r="J1599" i="2"/>
  <c r="I1800" i="2"/>
  <c r="H1800" i="2"/>
  <c r="G1800" i="2"/>
  <c r="J1800" i="2"/>
  <c r="H1814" i="2"/>
  <c r="G1814" i="2"/>
  <c r="J1814" i="2"/>
  <c r="I1814" i="2"/>
  <c r="H2114" i="2"/>
  <c r="G2114" i="2"/>
  <c r="I2114" i="2"/>
  <c r="G6" i="2"/>
  <c r="G10" i="2"/>
  <c r="G14" i="2"/>
  <c r="G20" i="2"/>
  <c r="G28" i="2"/>
  <c r="G29" i="2"/>
  <c r="H33" i="2"/>
  <c r="J48" i="2"/>
  <c r="M54" i="2"/>
  <c r="J54" i="2" s="1"/>
  <c r="J62" i="2"/>
  <c r="I62" i="2"/>
  <c r="H62" i="2"/>
  <c r="G62" i="2"/>
  <c r="G68" i="2"/>
  <c r="M69" i="2"/>
  <c r="H69" i="2" s="1"/>
  <c r="G72" i="2"/>
  <c r="G76" i="2"/>
  <c r="G80" i="2"/>
  <c r="M82" i="2"/>
  <c r="J82" i="2" s="1"/>
  <c r="I84" i="2"/>
  <c r="H93" i="2"/>
  <c r="G93" i="2"/>
  <c r="M93" i="2"/>
  <c r="J93" i="2" s="1"/>
  <c r="G96" i="2"/>
  <c r="J107" i="2"/>
  <c r="I107" i="2"/>
  <c r="H107" i="2"/>
  <c r="G107" i="2"/>
  <c r="H150" i="2"/>
  <c r="H158" i="2"/>
  <c r="H166" i="2"/>
  <c r="H182" i="2"/>
  <c r="H214" i="2"/>
  <c r="H222" i="2"/>
  <c r="H236" i="2"/>
  <c r="G236" i="2"/>
  <c r="H244" i="2"/>
  <c r="G244" i="2"/>
  <c r="H252" i="2"/>
  <c r="G252" i="2"/>
  <c r="H260" i="2"/>
  <c r="G260" i="2"/>
  <c r="H268" i="2"/>
  <c r="G268" i="2"/>
  <c r="H276" i="2"/>
  <c r="G276" i="2"/>
  <c r="H284" i="2"/>
  <c r="G284" i="2"/>
  <c r="H292" i="2"/>
  <c r="G292" i="2"/>
  <c r="H300" i="2"/>
  <c r="G300" i="2"/>
  <c r="H308" i="2"/>
  <c r="G308" i="2"/>
  <c r="H316" i="2"/>
  <c r="G316" i="2"/>
  <c r="H324" i="2"/>
  <c r="G324" i="2"/>
  <c r="H332" i="2"/>
  <c r="G332" i="2"/>
  <c r="I339" i="2"/>
  <c r="M374" i="2"/>
  <c r="G374" i="2" s="1"/>
  <c r="I384" i="2"/>
  <c r="J406" i="2"/>
  <c r="I406" i="2"/>
  <c r="J487" i="2"/>
  <c r="I487" i="2"/>
  <c r="H487" i="2"/>
  <c r="G487" i="2"/>
  <c r="J493" i="2"/>
  <c r="I493" i="2"/>
  <c r="H493" i="2"/>
  <c r="G493" i="2"/>
  <c r="M493" i="2"/>
  <c r="J513" i="2"/>
  <c r="I513" i="2"/>
  <c r="H513" i="2"/>
  <c r="G513" i="2"/>
  <c r="J531" i="2"/>
  <c r="I531" i="2"/>
  <c r="G531" i="2"/>
  <c r="I677" i="2"/>
  <c r="J843" i="2"/>
  <c r="I34" i="2"/>
  <c r="H34" i="2"/>
  <c r="H156" i="2"/>
  <c r="G156" i="2"/>
  <c r="H196" i="2"/>
  <c r="G196" i="2"/>
  <c r="H833" i="2"/>
  <c r="G833" i="2"/>
  <c r="I989" i="2"/>
  <c r="H989" i="2"/>
  <c r="G989" i="2"/>
  <c r="J989" i="2"/>
  <c r="I1029" i="2"/>
  <c r="H1029" i="2"/>
  <c r="G1029" i="2"/>
  <c r="I1045" i="2"/>
  <c r="H1045" i="2"/>
  <c r="G1045" i="2"/>
  <c r="I1061" i="2"/>
  <c r="H1061" i="2"/>
  <c r="G1061" i="2"/>
  <c r="H6" i="2"/>
  <c r="G21" i="2"/>
  <c r="H28" i="2"/>
  <c r="G41" i="2"/>
  <c r="H68" i="2"/>
  <c r="H72" i="2"/>
  <c r="H76" i="2"/>
  <c r="J94" i="2"/>
  <c r="I94" i="2"/>
  <c r="H94" i="2"/>
  <c r="M107" i="2"/>
  <c r="J119" i="2"/>
  <c r="I119" i="2"/>
  <c r="H119" i="2"/>
  <c r="G119" i="2"/>
  <c r="J127" i="2"/>
  <c r="I127" i="2"/>
  <c r="H127" i="2"/>
  <c r="G127" i="2"/>
  <c r="J135" i="2"/>
  <c r="I135" i="2"/>
  <c r="H135" i="2"/>
  <c r="G135" i="2"/>
  <c r="J143" i="2"/>
  <c r="I143" i="2"/>
  <c r="H143" i="2"/>
  <c r="G143" i="2"/>
  <c r="J151" i="2"/>
  <c r="I151" i="2"/>
  <c r="H151" i="2"/>
  <c r="G151" i="2"/>
  <c r="J159" i="2"/>
  <c r="I159" i="2"/>
  <c r="H159" i="2"/>
  <c r="G159" i="2"/>
  <c r="J167" i="2"/>
  <c r="I167" i="2"/>
  <c r="H167" i="2"/>
  <c r="G167" i="2"/>
  <c r="J175" i="2"/>
  <c r="I175" i="2"/>
  <c r="H175" i="2"/>
  <c r="G175" i="2"/>
  <c r="J183" i="2"/>
  <c r="I183" i="2"/>
  <c r="H183" i="2"/>
  <c r="G183" i="2"/>
  <c r="J191" i="2"/>
  <c r="I191" i="2"/>
  <c r="H191" i="2"/>
  <c r="G191" i="2"/>
  <c r="J199" i="2"/>
  <c r="I199" i="2"/>
  <c r="H199" i="2"/>
  <c r="G199" i="2"/>
  <c r="J207" i="2"/>
  <c r="I207" i="2"/>
  <c r="H207" i="2"/>
  <c r="G207" i="2"/>
  <c r="J215" i="2"/>
  <c r="I215" i="2"/>
  <c r="H215" i="2"/>
  <c r="G215" i="2"/>
  <c r="J223" i="2"/>
  <c r="I223" i="2"/>
  <c r="H223" i="2"/>
  <c r="G223" i="2"/>
  <c r="H262" i="2"/>
  <c r="H270" i="2"/>
  <c r="H278" i="2"/>
  <c r="H326" i="2"/>
  <c r="H334" i="2"/>
  <c r="G349" i="2"/>
  <c r="M366" i="2"/>
  <c r="J366" i="2" s="1"/>
  <c r="M406" i="2"/>
  <c r="H406" i="2" s="1"/>
  <c r="J422" i="2"/>
  <c r="I422" i="2"/>
  <c r="H422" i="2"/>
  <c r="G422" i="2"/>
  <c r="M513" i="2"/>
  <c r="J736" i="2"/>
  <c r="I736" i="2"/>
  <c r="H736" i="2"/>
  <c r="G736" i="2"/>
  <c r="J743" i="2"/>
  <c r="J50" i="2"/>
  <c r="I50" i="2"/>
  <c r="H50" i="2"/>
  <c r="J58" i="2"/>
  <c r="I58" i="2"/>
  <c r="H58" i="2"/>
  <c r="G58" i="2"/>
  <c r="H65" i="2"/>
  <c r="G65" i="2"/>
  <c r="H124" i="2"/>
  <c r="G124" i="2"/>
  <c r="H148" i="2"/>
  <c r="G148" i="2"/>
  <c r="H180" i="2"/>
  <c r="G180" i="2"/>
  <c r="H204" i="2"/>
  <c r="G204" i="2"/>
  <c r="H10" i="2"/>
  <c r="H20" i="2"/>
  <c r="G35" i="2"/>
  <c r="G40" i="2"/>
  <c r="J70" i="2"/>
  <c r="I70" i="2"/>
  <c r="H70" i="2"/>
  <c r="G70" i="2"/>
  <c r="I74" i="2"/>
  <c r="G74" i="2"/>
  <c r="G5" i="2"/>
  <c r="I6" i="2"/>
  <c r="I10" i="2"/>
  <c r="I14" i="2"/>
  <c r="H17" i="2"/>
  <c r="I20" i="2"/>
  <c r="M21" i="2"/>
  <c r="I21" i="2" s="1"/>
  <c r="J23" i="2"/>
  <c r="H25" i="2"/>
  <c r="I28" i="2"/>
  <c r="G30" i="2"/>
  <c r="H35" i="2"/>
  <c r="I38" i="2"/>
  <c r="H38" i="2"/>
  <c r="H40" i="2"/>
  <c r="M41" i="2"/>
  <c r="I41" i="2" s="1"/>
  <c r="J43" i="2"/>
  <c r="I49" i="2"/>
  <c r="M66" i="2"/>
  <c r="J66" i="2" s="1"/>
  <c r="I68" i="2"/>
  <c r="M70" i="2"/>
  <c r="I72" i="2"/>
  <c r="M74" i="2"/>
  <c r="J74" i="2" s="1"/>
  <c r="I76" i="2"/>
  <c r="M78" i="2"/>
  <c r="J78" i="2" s="1"/>
  <c r="I80" i="2"/>
  <c r="I85" i="2"/>
  <c r="H89" i="2"/>
  <c r="M89" i="2"/>
  <c r="G92" i="2"/>
  <c r="M94" i="2"/>
  <c r="G94" i="2" s="1"/>
  <c r="I96" i="2"/>
  <c r="J99" i="2"/>
  <c r="H108" i="2"/>
  <c r="G108" i="2"/>
  <c r="J239" i="2"/>
  <c r="I239" i="2"/>
  <c r="H239" i="2"/>
  <c r="G239" i="2"/>
  <c r="J247" i="2"/>
  <c r="I247" i="2"/>
  <c r="H247" i="2"/>
  <c r="G247" i="2"/>
  <c r="J255" i="2"/>
  <c r="I255" i="2"/>
  <c r="H255" i="2"/>
  <c r="G255" i="2"/>
  <c r="J263" i="2"/>
  <c r="I263" i="2"/>
  <c r="H263" i="2"/>
  <c r="G263" i="2"/>
  <c r="J271" i="2"/>
  <c r="I271" i="2"/>
  <c r="H271" i="2"/>
  <c r="G271" i="2"/>
  <c r="J279" i="2"/>
  <c r="I279" i="2"/>
  <c r="H279" i="2"/>
  <c r="G279" i="2"/>
  <c r="J287" i="2"/>
  <c r="I287" i="2"/>
  <c r="H287" i="2"/>
  <c r="G287" i="2"/>
  <c r="J295" i="2"/>
  <c r="I295" i="2"/>
  <c r="H295" i="2"/>
  <c r="G295" i="2"/>
  <c r="J303" i="2"/>
  <c r="I303" i="2"/>
  <c r="H303" i="2"/>
  <c r="G303" i="2"/>
  <c r="J311" i="2"/>
  <c r="I311" i="2"/>
  <c r="H311" i="2"/>
  <c r="G311" i="2"/>
  <c r="J319" i="2"/>
  <c r="I319" i="2"/>
  <c r="H319" i="2"/>
  <c r="G319" i="2"/>
  <c r="J327" i="2"/>
  <c r="I327" i="2"/>
  <c r="H327" i="2"/>
  <c r="G327" i="2"/>
  <c r="J335" i="2"/>
  <c r="I335" i="2"/>
  <c r="H335" i="2"/>
  <c r="G335" i="2"/>
  <c r="J347" i="2"/>
  <c r="I347" i="2"/>
  <c r="H347" i="2"/>
  <c r="G347" i="2"/>
  <c r="H350" i="2"/>
  <c r="J350" i="2"/>
  <c r="I350" i="2"/>
  <c r="G350" i="2"/>
  <c r="M385" i="2"/>
  <c r="J385" i="2" s="1"/>
  <c r="I385" i="2"/>
  <c r="M592" i="2"/>
  <c r="H592" i="2" s="1"/>
  <c r="I621" i="2"/>
  <c r="G801" i="2"/>
  <c r="H77" i="2"/>
  <c r="G77" i="2"/>
  <c r="J98" i="2"/>
  <c r="I98" i="2"/>
  <c r="H98" i="2"/>
  <c r="G98" i="2"/>
  <c r="H132" i="2"/>
  <c r="G132" i="2"/>
  <c r="H188" i="2"/>
  <c r="G188" i="2"/>
  <c r="H212" i="2"/>
  <c r="G212" i="2"/>
  <c r="H14" i="2"/>
  <c r="I18" i="2"/>
  <c r="H18" i="2"/>
  <c r="I26" i="2"/>
  <c r="H26" i="2"/>
  <c r="H5" i="2"/>
  <c r="I17" i="2"/>
  <c r="G22" i="2"/>
  <c r="I25" i="2"/>
  <c r="G27" i="2"/>
  <c r="J28" i="2"/>
  <c r="G32" i="2"/>
  <c r="G33" i="2"/>
  <c r="H37" i="2"/>
  <c r="I40" i="2"/>
  <c r="G42" i="2"/>
  <c r="H45" i="2"/>
  <c r="G45" i="2"/>
  <c r="I53" i="2"/>
  <c r="I57" i="2"/>
  <c r="J90" i="2"/>
  <c r="I90" i="2"/>
  <c r="H90" i="2"/>
  <c r="G90" i="2"/>
  <c r="H92" i="2"/>
  <c r="H99" i="2"/>
  <c r="G99" i="2"/>
  <c r="H102" i="2"/>
  <c r="H120" i="2"/>
  <c r="G120" i="2"/>
  <c r="H128" i="2"/>
  <c r="G128" i="2"/>
  <c r="H136" i="2"/>
  <c r="G136" i="2"/>
  <c r="H144" i="2"/>
  <c r="G144" i="2"/>
  <c r="H152" i="2"/>
  <c r="G152" i="2"/>
  <c r="H160" i="2"/>
  <c r="G160" i="2"/>
  <c r="H168" i="2"/>
  <c r="G168" i="2"/>
  <c r="H176" i="2"/>
  <c r="G176" i="2"/>
  <c r="H184" i="2"/>
  <c r="G184" i="2"/>
  <c r="H192" i="2"/>
  <c r="G192" i="2"/>
  <c r="H200" i="2"/>
  <c r="G200" i="2"/>
  <c r="H208" i="2"/>
  <c r="G208" i="2"/>
  <c r="H216" i="2"/>
  <c r="G216" i="2"/>
  <c r="H224" i="2"/>
  <c r="G224" i="2"/>
  <c r="M364" i="2"/>
  <c r="H364" i="2" s="1"/>
  <c r="J364" i="2"/>
  <c r="I364" i="2"/>
  <c r="M396" i="2"/>
  <c r="J396" i="2"/>
  <c r="I396" i="2"/>
  <c r="H396" i="2"/>
  <c r="G396" i="2"/>
  <c r="J447" i="2"/>
  <c r="I447" i="2"/>
  <c r="H447" i="2"/>
  <c r="G447" i="2"/>
  <c r="J481" i="2"/>
  <c r="I481" i="2"/>
  <c r="H481" i="2"/>
  <c r="G481" i="2"/>
  <c r="J499" i="2"/>
  <c r="I499" i="2"/>
  <c r="G499" i="2"/>
  <c r="M548" i="2"/>
  <c r="J548" i="2" s="1"/>
  <c r="I576" i="2"/>
  <c r="M576" i="2"/>
  <c r="J576" i="2" s="1"/>
  <c r="I589" i="2"/>
  <c r="H73" i="2"/>
  <c r="G73" i="2"/>
  <c r="H164" i="2"/>
  <c r="G164" i="2"/>
  <c r="M341" i="2"/>
  <c r="G341" i="2" s="1"/>
  <c r="J760" i="2"/>
  <c r="I760" i="2"/>
  <c r="H760" i="2"/>
  <c r="G760" i="2"/>
  <c r="I856" i="2"/>
  <c r="H856" i="2"/>
  <c r="J17" i="2"/>
  <c r="J22" i="2"/>
  <c r="J25" i="2"/>
  <c r="H27" i="2"/>
  <c r="I30" i="2"/>
  <c r="H30" i="2"/>
  <c r="H32" i="2"/>
  <c r="J35" i="2"/>
  <c r="J40" i="2"/>
  <c r="J42" i="2"/>
  <c r="H49" i="2"/>
  <c r="G49" i="2"/>
  <c r="J53" i="2"/>
  <c r="J57" i="2"/>
  <c r="M85" i="2"/>
  <c r="J85" i="2" s="1"/>
  <c r="G88" i="2"/>
  <c r="I92" i="2"/>
  <c r="J103" i="2"/>
  <c r="I103" i="2"/>
  <c r="H103" i="2"/>
  <c r="G103" i="2"/>
  <c r="J111" i="2"/>
  <c r="I111" i="2"/>
  <c r="H111" i="2"/>
  <c r="G111" i="2"/>
  <c r="J115" i="2"/>
  <c r="I115" i="2"/>
  <c r="H115" i="2"/>
  <c r="G115" i="2"/>
  <c r="H122" i="2"/>
  <c r="H154" i="2"/>
  <c r="H162" i="2"/>
  <c r="H186" i="2"/>
  <c r="H218" i="2"/>
  <c r="H240" i="2"/>
  <c r="G240" i="2"/>
  <c r="H248" i="2"/>
  <c r="G248" i="2"/>
  <c r="H256" i="2"/>
  <c r="G256" i="2"/>
  <c r="H264" i="2"/>
  <c r="G264" i="2"/>
  <c r="H272" i="2"/>
  <c r="G272" i="2"/>
  <c r="H280" i="2"/>
  <c r="G280" i="2"/>
  <c r="H288" i="2"/>
  <c r="G288" i="2"/>
  <c r="H296" i="2"/>
  <c r="G296" i="2"/>
  <c r="H304" i="2"/>
  <c r="G304" i="2"/>
  <c r="H312" i="2"/>
  <c r="G312" i="2"/>
  <c r="H320" i="2"/>
  <c r="G320" i="2"/>
  <c r="H328" i="2"/>
  <c r="G328" i="2"/>
  <c r="J344" i="2"/>
  <c r="J353" i="2"/>
  <c r="I353" i="2"/>
  <c r="H353" i="2"/>
  <c r="G353" i="2"/>
  <c r="M390" i="2"/>
  <c r="G390" i="2" s="1"/>
  <c r="H417" i="2"/>
  <c r="M457" i="2"/>
  <c r="G457" i="2" s="1"/>
  <c r="I545" i="2"/>
  <c r="M560" i="2"/>
  <c r="I560" i="2" s="1"/>
  <c r="I573" i="2"/>
  <c r="J589" i="2"/>
  <c r="G589" i="2"/>
  <c r="J602" i="2"/>
  <c r="I602" i="2"/>
  <c r="G602" i="2"/>
  <c r="J773" i="2"/>
  <c r="I773" i="2"/>
  <c r="G773" i="2"/>
  <c r="J791" i="2"/>
  <c r="M368" i="2"/>
  <c r="J368" i="2" s="1"/>
  <c r="I370" i="2"/>
  <c r="H370" i="2"/>
  <c r="M376" i="2"/>
  <c r="J376" i="2"/>
  <c r="M392" i="2"/>
  <c r="J392" i="2"/>
  <c r="J451" i="2"/>
  <c r="I451" i="2"/>
  <c r="J467" i="2"/>
  <c r="I467" i="2"/>
  <c r="G473" i="2"/>
  <c r="J479" i="2"/>
  <c r="I479" i="2"/>
  <c r="J505" i="2"/>
  <c r="I505" i="2"/>
  <c r="J511" i="2"/>
  <c r="I511" i="2"/>
  <c r="J537" i="2"/>
  <c r="I537" i="2"/>
  <c r="H537" i="2"/>
  <c r="G537" i="2"/>
  <c r="J606" i="2"/>
  <c r="I606" i="2"/>
  <c r="J811" i="2"/>
  <c r="H821" i="2"/>
  <c r="G821" i="2"/>
  <c r="I824" i="2"/>
  <c r="H824" i="2"/>
  <c r="J1550" i="2"/>
  <c r="I1550" i="2"/>
  <c r="H1550" i="2"/>
  <c r="G1550" i="2"/>
  <c r="M102" i="2"/>
  <c r="M106" i="2"/>
  <c r="M110" i="2"/>
  <c r="M122" i="2"/>
  <c r="M126" i="2"/>
  <c r="M130" i="2"/>
  <c r="G130" i="2" s="1"/>
  <c r="M134" i="2"/>
  <c r="H134" i="2" s="1"/>
  <c r="M138" i="2"/>
  <c r="G138" i="2" s="1"/>
  <c r="M142" i="2"/>
  <c r="M146" i="2"/>
  <c r="H146" i="2" s="1"/>
  <c r="M150" i="2"/>
  <c r="M154" i="2"/>
  <c r="M158" i="2"/>
  <c r="M162" i="2"/>
  <c r="M166" i="2"/>
  <c r="G166" i="2" s="1"/>
  <c r="M170" i="2"/>
  <c r="G170" i="2" s="1"/>
  <c r="M174" i="2"/>
  <c r="G174" i="2" s="1"/>
  <c r="M178" i="2"/>
  <c r="M182" i="2"/>
  <c r="M186" i="2"/>
  <c r="M190" i="2"/>
  <c r="M194" i="2"/>
  <c r="G194" i="2" s="1"/>
  <c r="M198" i="2"/>
  <c r="H198" i="2" s="1"/>
  <c r="M202" i="2"/>
  <c r="M206" i="2"/>
  <c r="M210" i="2"/>
  <c r="G210" i="2" s="1"/>
  <c r="M214" i="2"/>
  <c r="M218" i="2"/>
  <c r="M222" i="2"/>
  <c r="M238" i="2"/>
  <c r="H238" i="2" s="1"/>
  <c r="M242" i="2"/>
  <c r="M246" i="2"/>
  <c r="M250" i="2"/>
  <c r="H250" i="2" s="1"/>
  <c r="M254" i="2"/>
  <c r="M258" i="2"/>
  <c r="M262" i="2"/>
  <c r="M266" i="2"/>
  <c r="M270" i="2"/>
  <c r="M274" i="2"/>
  <c r="H274" i="2" s="1"/>
  <c r="M278" i="2"/>
  <c r="M282" i="2"/>
  <c r="M286" i="2"/>
  <c r="M290" i="2"/>
  <c r="M294" i="2"/>
  <c r="M298" i="2"/>
  <c r="M302" i="2"/>
  <c r="H302" i="2" s="1"/>
  <c r="M306" i="2"/>
  <c r="M310" i="2"/>
  <c r="H310" i="2" s="1"/>
  <c r="M314" i="2"/>
  <c r="M318" i="2"/>
  <c r="H318" i="2" s="1"/>
  <c r="M322" i="2"/>
  <c r="M326" i="2"/>
  <c r="M330" i="2"/>
  <c r="M334" i="2"/>
  <c r="J343" i="2"/>
  <c r="H346" i="2"/>
  <c r="M355" i="2"/>
  <c r="J355" i="2" s="1"/>
  <c r="M358" i="2"/>
  <c r="M361" i="2"/>
  <c r="H361" i="2" s="1"/>
  <c r="H363" i="2"/>
  <c r="M381" i="2"/>
  <c r="J386" i="2"/>
  <c r="I386" i="2"/>
  <c r="M397" i="2"/>
  <c r="H397" i="2" s="1"/>
  <c r="J402" i="2"/>
  <c r="I402" i="2"/>
  <c r="H402" i="2"/>
  <c r="M418" i="2"/>
  <c r="J418" i="2" s="1"/>
  <c r="I440" i="2"/>
  <c r="G443" i="2"/>
  <c r="J461" i="2"/>
  <c r="I461" i="2"/>
  <c r="M473" i="2"/>
  <c r="J473" i="2" s="1"/>
  <c r="J491" i="2"/>
  <c r="I491" i="2"/>
  <c r="M505" i="2"/>
  <c r="H505" i="2" s="1"/>
  <c r="J523" i="2"/>
  <c r="I523" i="2"/>
  <c r="M537" i="2"/>
  <c r="J549" i="2"/>
  <c r="G549" i="2"/>
  <c r="G551" i="2"/>
  <c r="J561" i="2"/>
  <c r="G561" i="2"/>
  <c r="I564" i="2"/>
  <c r="H564" i="2"/>
  <c r="M564" i="2"/>
  <c r="J564" i="2" s="1"/>
  <c r="J577" i="2"/>
  <c r="G577" i="2"/>
  <c r="I580" i="2"/>
  <c r="H580" i="2"/>
  <c r="G580" i="2"/>
  <c r="M580" i="2"/>
  <c r="J580" i="2" s="1"/>
  <c r="J593" i="2"/>
  <c r="G593" i="2"/>
  <c r="G596" i="2"/>
  <c r="J610" i="2"/>
  <c r="I610" i="2"/>
  <c r="H655" i="2"/>
  <c r="H675" i="2"/>
  <c r="J716" i="2"/>
  <c r="H716" i="2"/>
  <c r="G716" i="2"/>
  <c r="J744" i="2"/>
  <c r="I744" i="2"/>
  <c r="H744" i="2"/>
  <c r="G744" i="2"/>
  <c r="J769" i="2"/>
  <c r="I769" i="2"/>
  <c r="H769" i="2"/>
  <c r="G769" i="2"/>
  <c r="H789" i="2"/>
  <c r="G789" i="2"/>
  <c r="I792" i="2"/>
  <c r="H792" i="2"/>
  <c r="I844" i="2"/>
  <c r="H844" i="2"/>
  <c r="J944" i="2"/>
  <c r="I944" i="2"/>
  <c r="H944" i="2"/>
  <c r="G944" i="2"/>
  <c r="J968" i="2"/>
  <c r="I968" i="2"/>
  <c r="H968" i="2"/>
  <c r="G968" i="2"/>
  <c r="I1431" i="2"/>
  <c r="H1431" i="2"/>
  <c r="G1431" i="2"/>
  <c r="I99" i="2"/>
  <c r="I104" i="2"/>
  <c r="I108" i="2"/>
  <c r="I112" i="2"/>
  <c r="I116" i="2"/>
  <c r="I120" i="2"/>
  <c r="I124" i="2"/>
  <c r="I128" i="2"/>
  <c r="I132" i="2"/>
  <c r="I136" i="2"/>
  <c r="I140" i="2"/>
  <c r="I144" i="2"/>
  <c r="I148" i="2"/>
  <c r="I152" i="2"/>
  <c r="I156" i="2"/>
  <c r="I160" i="2"/>
  <c r="I164" i="2"/>
  <c r="I168" i="2"/>
  <c r="I172" i="2"/>
  <c r="I176" i="2"/>
  <c r="I180" i="2"/>
  <c r="I184" i="2"/>
  <c r="I188" i="2"/>
  <c r="I192" i="2"/>
  <c r="I196" i="2"/>
  <c r="I200" i="2"/>
  <c r="I204" i="2"/>
  <c r="I208" i="2"/>
  <c r="I212" i="2"/>
  <c r="I216" i="2"/>
  <c r="I220" i="2"/>
  <c r="I224" i="2"/>
  <c r="I228" i="2"/>
  <c r="I232" i="2"/>
  <c r="I236" i="2"/>
  <c r="I240" i="2"/>
  <c r="I244" i="2"/>
  <c r="I248" i="2"/>
  <c r="I252" i="2"/>
  <c r="I256" i="2"/>
  <c r="I260" i="2"/>
  <c r="I264" i="2"/>
  <c r="I268" i="2"/>
  <c r="I272" i="2"/>
  <c r="I276" i="2"/>
  <c r="I280" i="2"/>
  <c r="I284" i="2"/>
  <c r="I288" i="2"/>
  <c r="I292" i="2"/>
  <c r="I296" i="2"/>
  <c r="I300" i="2"/>
  <c r="I304" i="2"/>
  <c r="I308" i="2"/>
  <c r="I312" i="2"/>
  <c r="I316" i="2"/>
  <c r="I320" i="2"/>
  <c r="I324" i="2"/>
  <c r="I328" i="2"/>
  <c r="I332" i="2"/>
  <c r="I336" i="2"/>
  <c r="H339" i="2"/>
  <c r="I342" i="2"/>
  <c r="M343" i="2"/>
  <c r="I345" i="2"/>
  <c r="M346" i="2"/>
  <c r="I348" i="2"/>
  <c r="M349" i="2"/>
  <c r="G359" i="2"/>
  <c r="J360" i="2"/>
  <c r="G362" i="2"/>
  <c r="M363" i="2"/>
  <c r="J363" i="2" s="1"/>
  <c r="H369" i="2"/>
  <c r="M372" i="2"/>
  <c r="J372" i="2"/>
  <c r="H384" i="2"/>
  <c r="M386" i="2"/>
  <c r="G386" i="2" s="1"/>
  <c r="M388" i="2"/>
  <c r="J388" i="2"/>
  <c r="M402" i="2"/>
  <c r="G402" i="2" s="1"/>
  <c r="M404" i="2"/>
  <c r="J404" i="2"/>
  <c r="J414" i="2"/>
  <c r="I414" i="2"/>
  <c r="H414" i="2"/>
  <c r="G414" i="2"/>
  <c r="I421" i="2"/>
  <c r="H430" i="2"/>
  <c r="G430" i="2"/>
  <c r="J440" i="2"/>
  <c r="H443" i="2"/>
  <c r="M445" i="2"/>
  <c r="H445" i="2" s="1"/>
  <c r="J455" i="2"/>
  <c r="I455" i="2"/>
  <c r="G459" i="2"/>
  <c r="M461" i="2"/>
  <c r="H461" i="2" s="1"/>
  <c r="J471" i="2"/>
  <c r="I471" i="2"/>
  <c r="M485" i="2"/>
  <c r="J485" i="2" s="1"/>
  <c r="G495" i="2"/>
  <c r="J503" i="2"/>
  <c r="I503" i="2"/>
  <c r="M517" i="2"/>
  <c r="I517" i="2" s="1"/>
  <c r="G527" i="2"/>
  <c r="J535" i="2"/>
  <c r="I535" i="2"/>
  <c r="M596" i="2"/>
  <c r="H596" i="2" s="1"/>
  <c r="J600" i="2"/>
  <c r="M625" i="2"/>
  <c r="H625" i="2" s="1"/>
  <c r="J625" i="2"/>
  <c r="I625" i="2"/>
  <c r="I693" i="2"/>
  <c r="I725" i="2"/>
  <c r="J751" i="2"/>
  <c r="G754" i="2"/>
  <c r="I812" i="2"/>
  <c r="H812" i="2"/>
  <c r="M847" i="2"/>
  <c r="J847" i="2" s="1"/>
  <c r="I925" i="2"/>
  <c r="H925" i="2"/>
  <c r="G925" i="2"/>
  <c r="J925" i="2"/>
  <c r="I949" i="2"/>
  <c r="H949" i="2"/>
  <c r="G949" i="2"/>
  <c r="I1367" i="2"/>
  <c r="H1367" i="2"/>
  <c r="G1367" i="2"/>
  <c r="J104" i="2"/>
  <c r="J108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45" i="2"/>
  <c r="J348" i="2"/>
  <c r="J351" i="2"/>
  <c r="H354" i="2"/>
  <c r="J367" i="2"/>
  <c r="H367" i="2"/>
  <c r="I369" i="2"/>
  <c r="M377" i="2"/>
  <c r="J382" i="2"/>
  <c r="I382" i="2"/>
  <c r="H382" i="2"/>
  <c r="M393" i="2"/>
  <c r="J398" i="2"/>
  <c r="I398" i="2"/>
  <c r="H398" i="2"/>
  <c r="M414" i="2"/>
  <c r="J421" i="2"/>
  <c r="M430" i="2"/>
  <c r="J430" i="2" s="1"/>
  <c r="J433" i="2"/>
  <c r="H436" i="2"/>
  <c r="H440" i="2"/>
  <c r="J443" i="2"/>
  <c r="J449" i="2"/>
  <c r="I449" i="2"/>
  <c r="H449" i="2"/>
  <c r="G449" i="2"/>
  <c r="J465" i="2"/>
  <c r="I465" i="2"/>
  <c r="H465" i="2"/>
  <c r="G465" i="2"/>
  <c r="J477" i="2"/>
  <c r="I477" i="2"/>
  <c r="H477" i="2"/>
  <c r="G477" i="2"/>
  <c r="J483" i="2"/>
  <c r="I483" i="2"/>
  <c r="M497" i="2"/>
  <c r="J497" i="2" s="1"/>
  <c r="J509" i="2"/>
  <c r="I509" i="2"/>
  <c r="H509" i="2"/>
  <c r="G509" i="2"/>
  <c r="J515" i="2"/>
  <c r="I515" i="2"/>
  <c r="M529" i="2"/>
  <c r="J529" i="2" s="1"/>
  <c r="J541" i="2"/>
  <c r="I541" i="2"/>
  <c r="H541" i="2"/>
  <c r="G541" i="2"/>
  <c r="M552" i="2"/>
  <c r="J552" i="2" s="1"/>
  <c r="G555" i="2"/>
  <c r="J565" i="2"/>
  <c r="G565" i="2"/>
  <c r="M568" i="2"/>
  <c r="J568" i="2" s="1"/>
  <c r="G571" i="2"/>
  <c r="J581" i="2"/>
  <c r="G581" i="2"/>
  <c r="M584" i="2"/>
  <c r="J584" i="2" s="1"/>
  <c r="G587" i="2"/>
  <c r="M600" i="2"/>
  <c r="I600" i="2" s="1"/>
  <c r="J604" i="2"/>
  <c r="I604" i="2"/>
  <c r="H604" i="2"/>
  <c r="G604" i="2"/>
  <c r="I665" i="2"/>
  <c r="J726" i="2"/>
  <c r="I726" i="2"/>
  <c r="H726" i="2"/>
  <c r="G726" i="2"/>
  <c r="I781" i="2"/>
  <c r="H781" i="2"/>
  <c r="G781" i="2"/>
  <c r="J781" i="2"/>
  <c r="J784" i="2"/>
  <c r="I784" i="2"/>
  <c r="H784" i="2"/>
  <c r="G784" i="2"/>
  <c r="M815" i="2"/>
  <c r="J815" i="2" s="1"/>
  <c r="J1338" i="2"/>
  <c r="I1338" i="2"/>
  <c r="H1338" i="2"/>
  <c r="G110" i="2"/>
  <c r="G114" i="2"/>
  <c r="G118" i="2"/>
  <c r="G122" i="2"/>
  <c r="G126" i="2"/>
  <c r="G150" i="2"/>
  <c r="G154" i="2"/>
  <c r="G158" i="2"/>
  <c r="G182" i="2"/>
  <c r="G186" i="2"/>
  <c r="G190" i="2"/>
  <c r="G214" i="2"/>
  <c r="G218" i="2"/>
  <c r="G222" i="2"/>
  <c r="G226" i="2"/>
  <c r="G230" i="2"/>
  <c r="G234" i="2"/>
  <c r="G238" i="2"/>
  <c r="G242" i="2"/>
  <c r="G246" i="2"/>
  <c r="G250" i="2"/>
  <c r="G258" i="2"/>
  <c r="G262" i="2"/>
  <c r="G266" i="2"/>
  <c r="G270" i="2"/>
  <c r="G274" i="2"/>
  <c r="G278" i="2"/>
  <c r="G282" i="2"/>
  <c r="G290" i="2"/>
  <c r="G294" i="2"/>
  <c r="G298" i="2"/>
  <c r="G302" i="2"/>
  <c r="G306" i="2"/>
  <c r="G310" i="2"/>
  <c r="G314" i="2"/>
  <c r="G322" i="2"/>
  <c r="G326" i="2"/>
  <c r="G330" i="2"/>
  <c r="G334" i="2"/>
  <c r="J339" i="2"/>
  <c r="H342" i="2"/>
  <c r="G361" i="2"/>
  <c r="M384" i="2"/>
  <c r="G384" i="2" s="1"/>
  <c r="M400" i="2"/>
  <c r="G400" i="2" s="1"/>
  <c r="J400" i="2"/>
  <c r="M405" i="2"/>
  <c r="J405" i="2" s="1"/>
  <c r="G410" i="2"/>
  <c r="J426" i="2"/>
  <c r="I426" i="2"/>
  <c r="H426" i="2"/>
  <c r="G426" i="2"/>
  <c r="J459" i="2"/>
  <c r="I459" i="2"/>
  <c r="G489" i="2"/>
  <c r="J495" i="2"/>
  <c r="I495" i="2"/>
  <c r="J527" i="2"/>
  <c r="I527" i="2"/>
  <c r="J608" i="2"/>
  <c r="I608" i="2"/>
  <c r="H687" i="2"/>
  <c r="J694" i="2"/>
  <c r="I694" i="2"/>
  <c r="H694" i="2"/>
  <c r="M694" i="2"/>
  <c r="G694" i="2" s="1"/>
  <c r="M713" i="2"/>
  <c r="J713" i="2" s="1"/>
  <c r="I713" i="2"/>
  <c r="J735" i="2"/>
  <c r="G738" i="2"/>
  <c r="J752" i="2"/>
  <c r="I752" i="2"/>
  <c r="H752" i="2"/>
  <c r="G752" i="2"/>
  <c r="M835" i="2"/>
  <c r="J835" i="2" s="1"/>
  <c r="I885" i="2"/>
  <c r="H885" i="2"/>
  <c r="G885" i="2"/>
  <c r="J885" i="2"/>
  <c r="J904" i="2"/>
  <c r="I904" i="2"/>
  <c r="H904" i="2"/>
  <c r="G904" i="2"/>
  <c r="I1223" i="2"/>
  <c r="H1223" i="2"/>
  <c r="G1223" i="2"/>
  <c r="J1223" i="2"/>
  <c r="J1286" i="2"/>
  <c r="I1286" i="2"/>
  <c r="H1286" i="2"/>
  <c r="G1286" i="2"/>
  <c r="J1298" i="2"/>
  <c r="I1298" i="2"/>
  <c r="H1298" i="2"/>
  <c r="M339" i="2"/>
  <c r="G339" i="2" s="1"/>
  <c r="M342" i="2"/>
  <c r="G342" i="2" s="1"/>
  <c r="G352" i="2"/>
  <c r="G355" i="2"/>
  <c r="J359" i="2"/>
  <c r="H362" i="2"/>
  <c r="G368" i="2"/>
  <c r="M373" i="2"/>
  <c r="J373" i="2" s="1"/>
  <c r="G376" i="2"/>
  <c r="J378" i="2"/>
  <c r="I378" i="2"/>
  <c r="H378" i="2"/>
  <c r="M389" i="2"/>
  <c r="J389" i="2" s="1"/>
  <c r="G392" i="2"/>
  <c r="J394" i="2"/>
  <c r="I394" i="2"/>
  <c r="H394" i="2"/>
  <c r="M410" i="2"/>
  <c r="J410" i="2" s="1"/>
  <c r="M426" i="2"/>
  <c r="G439" i="2"/>
  <c r="J441" i="2"/>
  <c r="I441" i="2"/>
  <c r="H441" i="2"/>
  <c r="G441" i="2"/>
  <c r="I444" i="2"/>
  <c r="J453" i="2"/>
  <c r="I453" i="2"/>
  <c r="H453" i="2"/>
  <c r="G453" i="2"/>
  <c r="J469" i="2"/>
  <c r="I469" i="2"/>
  <c r="H469" i="2"/>
  <c r="G469" i="2"/>
  <c r="J475" i="2"/>
  <c r="I475" i="2"/>
  <c r="M489" i="2"/>
  <c r="I489" i="2" s="1"/>
  <c r="J501" i="2"/>
  <c r="I501" i="2"/>
  <c r="H501" i="2"/>
  <c r="G501" i="2"/>
  <c r="J507" i="2"/>
  <c r="I507" i="2"/>
  <c r="M521" i="2"/>
  <c r="J521" i="2" s="1"/>
  <c r="J533" i="2"/>
  <c r="I533" i="2"/>
  <c r="H533" i="2"/>
  <c r="G533" i="2"/>
  <c r="J539" i="2"/>
  <c r="I539" i="2"/>
  <c r="M544" i="2"/>
  <c r="J544" i="2" s="1"/>
  <c r="J553" i="2"/>
  <c r="G553" i="2"/>
  <c r="M556" i="2"/>
  <c r="J556" i="2" s="1"/>
  <c r="J569" i="2"/>
  <c r="G569" i="2"/>
  <c r="M572" i="2"/>
  <c r="J572" i="2" s="1"/>
  <c r="J585" i="2"/>
  <c r="G585" i="2"/>
  <c r="I588" i="2"/>
  <c r="M588" i="2"/>
  <c r="J588" i="2" s="1"/>
  <c r="M608" i="2"/>
  <c r="H608" i="2" s="1"/>
  <c r="J612" i="2"/>
  <c r="I612" i="2"/>
  <c r="H612" i="2"/>
  <c r="G612" i="2"/>
  <c r="J615" i="2"/>
  <c r="I615" i="2"/>
  <c r="H615" i="2"/>
  <c r="G615" i="2"/>
  <c r="H643" i="2"/>
  <c r="I653" i="2"/>
  <c r="H663" i="2"/>
  <c r="I673" i="2"/>
  <c r="H719" i="2"/>
  <c r="G719" i="2"/>
  <c r="I803" i="2"/>
  <c r="H803" i="2"/>
  <c r="M803" i="2"/>
  <c r="G803" i="2" s="1"/>
  <c r="J803" i="2"/>
  <c r="I861" i="2"/>
  <c r="H861" i="2"/>
  <c r="G861" i="2"/>
  <c r="J861" i="2"/>
  <c r="J1218" i="2"/>
  <c r="I1218" i="2"/>
  <c r="H1218" i="2"/>
  <c r="G1218" i="2"/>
  <c r="H399" i="2"/>
  <c r="G407" i="2"/>
  <c r="G411" i="2"/>
  <c r="G415" i="2"/>
  <c r="G419" i="2"/>
  <c r="G423" i="2"/>
  <c r="G427" i="2"/>
  <c r="G431" i="2"/>
  <c r="G435" i="2"/>
  <c r="G442" i="2"/>
  <c r="G446" i="2"/>
  <c r="G450" i="2"/>
  <c r="G454" i="2"/>
  <c r="G458" i="2"/>
  <c r="G462" i="2"/>
  <c r="G466" i="2"/>
  <c r="G470" i="2"/>
  <c r="G474" i="2"/>
  <c r="G478" i="2"/>
  <c r="G482" i="2"/>
  <c r="G486" i="2"/>
  <c r="G490" i="2"/>
  <c r="G494" i="2"/>
  <c r="G498" i="2"/>
  <c r="G502" i="2"/>
  <c r="G506" i="2"/>
  <c r="G510" i="2"/>
  <c r="G514" i="2"/>
  <c r="G518" i="2"/>
  <c r="G522" i="2"/>
  <c r="G526" i="2"/>
  <c r="G530" i="2"/>
  <c r="G534" i="2"/>
  <c r="G538" i="2"/>
  <c r="G542" i="2"/>
  <c r="H546" i="2"/>
  <c r="H554" i="2"/>
  <c r="H558" i="2"/>
  <c r="H562" i="2"/>
  <c r="H566" i="2"/>
  <c r="H570" i="2"/>
  <c r="H574" i="2"/>
  <c r="H578" i="2"/>
  <c r="H582" i="2"/>
  <c r="H586" i="2"/>
  <c r="H590" i="2"/>
  <c r="H594" i="2"/>
  <c r="G597" i="2"/>
  <c r="G601" i="2"/>
  <c r="G605" i="2"/>
  <c r="G609" i="2"/>
  <c r="H613" i="2"/>
  <c r="G616" i="2"/>
  <c r="J630" i="2"/>
  <c r="H630" i="2"/>
  <c r="G630" i="2"/>
  <c r="G638" i="2"/>
  <c r="J642" i="2"/>
  <c r="H642" i="2"/>
  <c r="J654" i="2"/>
  <c r="J658" i="2"/>
  <c r="H658" i="2"/>
  <c r="G658" i="2"/>
  <c r="J662" i="2"/>
  <c r="H662" i="2"/>
  <c r="G662" i="2"/>
  <c r="G670" i="2"/>
  <c r="J674" i="2"/>
  <c r="H674" i="2"/>
  <c r="J686" i="2"/>
  <c r="J690" i="2"/>
  <c r="H690" i="2"/>
  <c r="G690" i="2"/>
  <c r="M729" i="2"/>
  <c r="J729" i="2" s="1"/>
  <c r="I739" i="2"/>
  <c r="H739" i="2"/>
  <c r="G739" i="2"/>
  <c r="M739" i="2"/>
  <c r="J739" i="2" s="1"/>
  <c r="M747" i="2"/>
  <c r="J747" i="2" s="1"/>
  <c r="I755" i="2"/>
  <c r="H755" i="2"/>
  <c r="G755" i="2"/>
  <c r="M755" i="2"/>
  <c r="J755" i="2" s="1"/>
  <c r="I763" i="2"/>
  <c r="H763" i="2"/>
  <c r="G763" i="2"/>
  <c r="I795" i="2"/>
  <c r="H795" i="2"/>
  <c r="G795" i="2"/>
  <c r="M795" i="2"/>
  <c r="J795" i="2" s="1"/>
  <c r="I804" i="2"/>
  <c r="H804" i="2"/>
  <c r="M827" i="2"/>
  <c r="J827" i="2" s="1"/>
  <c r="I836" i="2"/>
  <c r="H836" i="2"/>
  <c r="I869" i="2"/>
  <c r="H869" i="2"/>
  <c r="G869" i="2"/>
  <c r="I909" i="2"/>
  <c r="H909" i="2"/>
  <c r="G909" i="2"/>
  <c r="J928" i="2"/>
  <c r="I928" i="2"/>
  <c r="H928" i="2"/>
  <c r="G928" i="2"/>
  <c r="I973" i="2"/>
  <c r="H973" i="2"/>
  <c r="G973" i="2"/>
  <c r="J992" i="2"/>
  <c r="I992" i="2"/>
  <c r="H992" i="2"/>
  <c r="G992" i="2"/>
  <c r="H1140" i="2"/>
  <c r="G1140" i="2"/>
  <c r="I1140" i="2"/>
  <c r="J1246" i="2"/>
  <c r="I1246" i="2"/>
  <c r="H1246" i="2"/>
  <c r="G1246" i="2"/>
  <c r="I1327" i="2"/>
  <c r="H1327" i="2"/>
  <c r="G1327" i="2"/>
  <c r="I1407" i="2"/>
  <c r="H1407" i="2"/>
  <c r="G1407" i="2"/>
  <c r="I1471" i="2"/>
  <c r="H1471" i="2"/>
  <c r="G1471" i="2"/>
  <c r="J1471" i="2"/>
  <c r="J1478" i="2"/>
  <c r="I1478" i="2"/>
  <c r="G1478" i="2"/>
  <c r="J1602" i="2"/>
  <c r="I1602" i="2"/>
  <c r="H1602" i="2"/>
  <c r="G1602" i="2"/>
  <c r="I1607" i="2"/>
  <c r="H1607" i="2"/>
  <c r="G1607" i="2"/>
  <c r="J1760" i="2"/>
  <c r="I1760" i="2"/>
  <c r="H1760" i="2"/>
  <c r="G1760" i="2"/>
  <c r="J1768" i="2"/>
  <c r="I1768" i="2"/>
  <c r="H1768" i="2"/>
  <c r="G1768" i="2"/>
  <c r="J1776" i="2"/>
  <c r="I1776" i="2"/>
  <c r="H1776" i="2"/>
  <c r="G1776" i="2"/>
  <c r="H1806" i="2"/>
  <c r="G1806" i="2"/>
  <c r="J1806" i="2"/>
  <c r="I1806" i="2"/>
  <c r="H474" i="2"/>
  <c r="H478" i="2"/>
  <c r="H482" i="2"/>
  <c r="H486" i="2"/>
  <c r="H490" i="2"/>
  <c r="H494" i="2"/>
  <c r="H498" i="2"/>
  <c r="H502" i="2"/>
  <c r="H506" i="2"/>
  <c r="H510" i="2"/>
  <c r="H514" i="2"/>
  <c r="H518" i="2"/>
  <c r="H522" i="2"/>
  <c r="H526" i="2"/>
  <c r="H530" i="2"/>
  <c r="H534" i="2"/>
  <c r="H538" i="2"/>
  <c r="H542" i="2"/>
  <c r="I586" i="2"/>
  <c r="I590" i="2"/>
  <c r="I594" i="2"/>
  <c r="H597" i="2"/>
  <c r="M599" i="2"/>
  <c r="H601" i="2"/>
  <c r="M603" i="2"/>
  <c r="H605" i="2"/>
  <c r="M607" i="2"/>
  <c r="H607" i="2" s="1"/>
  <c r="H609" i="2"/>
  <c r="M611" i="2"/>
  <c r="I613" i="2"/>
  <c r="M614" i="2"/>
  <c r="H616" i="2"/>
  <c r="G617" i="2"/>
  <c r="M622" i="2"/>
  <c r="I622" i="2" s="1"/>
  <c r="I626" i="2"/>
  <c r="G626" i="2"/>
  <c r="M630" i="2"/>
  <c r="I630" i="2" s="1"/>
  <c r="M634" i="2"/>
  <c r="I634" i="2" s="1"/>
  <c r="M638" i="2"/>
  <c r="I638" i="2" s="1"/>
  <c r="M642" i="2"/>
  <c r="I642" i="2" s="1"/>
  <c r="M646" i="2"/>
  <c r="I646" i="2" s="1"/>
  <c r="M650" i="2"/>
  <c r="I650" i="2" s="1"/>
  <c r="M654" i="2"/>
  <c r="I654" i="2" s="1"/>
  <c r="M658" i="2"/>
  <c r="I658" i="2" s="1"/>
  <c r="M662" i="2"/>
  <c r="I662" i="2" s="1"/>
  <c r="M666" i="2"/>
  <c r="I666" i="2" s="1"/>
  <c r="M670" i="2"/>
  <c r="I670" i="2" s="1"/>
  <c r="M674" i="2"/>
  <c r="I674" i="2" s="1"/>
  <c r="M678" i="2"/>
  <c r="I678" i="2" s="1"/>
  <c r="M682" i="2"/>
  <c r="I682" i="2" s="1"/>
  <c r="M686" i="2"/>
  <c r="I686" i="2" s="1"/>
  <c r="M690" i="2"/>
  <c r="I690" i="2" s="1"/>
  <c r="I697" i="2"/>
  <c r="M705" i="2"/>
  <c r="G712" i="2"/>
  <c r="M714" i="2"/>
  <c r="G714" i="2" s="1"/>
  <c r="M763" i="2"/>
  <c r="J763" i="2" s="1"/>
  <c r="H767" i="2"/>
  <c r="G767" i="2"/>
  <c r="I807" i="2"/>
  <c r="H807" i="2"/>
  <c r="M807" i="2"/>
  <c r="J807" i="2" s="1"/>
  <c r="I816" i="2"/>
  <c r="H816" i="2"/>
  <c r="M839" i="2"/>
  <c r="J839" i="2" s="1"/>
  <c r="I848" i="2"/>
  <c r="H848" i="2"/>
  <c r="J864" i="2"/>
  <c r="I864" i="2"/>
  <c r="H864" i="2"/>
  <c r="G864" i="2"/>
  <c r="J888" i="2"/>
  <c r="I888" i="2"/>
  <c r="H888" i="2"/>
  <c r="G888" i="2"/>
  <c r="I893" i="2"/>
  <c r="H893" i="2"/>
  <c r="G893" i="2"/>
  <c r="I933" i="2"/>
  <c r="H933" i="2"/>
  <c r="G933" i="2"/>
  <c r="J952" i="2"/>
  <c r="I952" i="2"/>
  <c r="H952" i="2"/>
  <c r="G952" i="2"/>
  <c r="I997" i="2"/>
  <c r="H997" i="2"/>
  <c r="G997" i="2"/>
  <c r="J1016" i="2"/>
  <c r="I1016" i="2"/>
  <c r="H1016" i="2"/>
  <c r="G1016" i="2"/>
  <c r="J1032" i="2"/>
  <c r="I1032" i="2"/>
  <c r="H1032" i="2"/>
  <c r="G1032" i="2"/>
  <c r="J1048" i="2"/>
  <c r="I1048" i="2"/>
  <c r="H1048" i="2"/>
  <c r="G1048" i="2"/>
  <c r="J1064" i="2"/>
  <c r="I1064" i="2"/>
  <c r="H1064" i="2"/>
  <c r="G1064" i="2"/>
  <c r="J1080" i="2"/>
  <c r="I1080" i="2"/>
  <c r="H1080" i="2"/>
  <c r="G1080" i="2"/>
  <c r="J1096" i="2"/>
  <c r="I1096" i="2"/>
  <c r="H1096" i="2"/>
  <c r="G1096" i="2"/>
  <c r="J1112" i="2"/>
  <c r="I1112" i="2"/>
  <c r="H1112" i="2"/>
  <c r="G1112" i="2"/>
  <c r="J1128" i="2"/>
  <c r="I1128" i="2"/>
  <c r="H1128" i="2"/>
  <c r="G1128" i="2"/>
  <c r="J1138" i="2"/>
  <c r="I1138" i="2"/>
  <c r="H1138" i="2"/>
  <c r="J1362" i="2"/>
  <c r="I1362" i="2"/>
  <c r="H1362" i="2"/>
  <c r="I1399" i="2"/>
  <c r="H1399" i="2"/>
  <c r="G1399" i="2"/>
  <c r="J1399" i="2"/>
  <c r="I1463" i="2"/>
  <c r="H1463" i="2"/>
  <c r="G1463" i="2"/>
  <c r="J1463" i="2"/>
  <c r="J1510" i="2"/>
  <c r="I1510" i="2"/>
  <c r="G1510" i="2"/>
  <c r="J1586" i="2"/>
  <c r="I1586" i="2"/>
  <c r="H1586" i="2"/>
  <c r="G1586" i="2"/>
  <c r="J1594" i="2"/>
  <c r="I1594" i="2"/>
  <c r="H1594" i="2"/>
  <c r="G1594" i="2"/>
  <c r="I1792" i="2"/>
  <c r="H1792" i="2"/>
  <c r="G1792" i="2"/>
  <c r="I407" i="2"/>
  <c r="I411" i="2"/>
  <c r="I415" i="2"/>
  <c r="I419" i="2"/>
  <c r="I423" i="2"/>
  <c r="I427" i="2"/>
  <c r="I431" i="2"/>
  <c r="I435" i="2"/>
  <c r="H438" i="2"/>
  <c r="I442" i="2"/>
  <c r="I446" i="2"/>
  <c r="I450" i="2"/>
  <c r="I454" i="2"/>
  <c r="I458" i="2"/>
  <c r="I462" i="2"/>
  <c r="I466" i="2"/>
  <c r="I470" i="2"/>
  <c r="I474" i="2"/>
  <c r="I478" i="2"/>
  <c r="I482" i="2"/>
  <c r="I486" i="2"/>
  <c r="I490" i="2"/>
  <c r="I494" i="2"/>
  <c r="I498" i="2"/>
  <c r="I502" i="2"/>
  <c r="I506" i="2"/>
  <c r="I510" i="2"/>
  <c r="I514" i="2"/>
  <c r="I518" i="2"/>
  <c r="I522" i="2"/>
  <c r="I526" i="2"/>
  <c r="I530" i="2"/>
  <c r="I534" i="2"/>
  <c r="I538" i="2"/>
  <c r="I542" i="2"/>
  <c r="H545" i="2"/>
  <c r="M547" i="2"/>
  <c r="H549" i="2"/>
  <c r="M551" i="2"/>
  <c r="H553" i="2"/>
  <c r="M555" i="2"/>
  <c r="H557" i="2"/>
  <c r="M559" i="2"/>
  <c r="G559" i="2" s="1"/>
  <c r="H561" i="2"/>
  <c r="M563" i="2"/>
  <c r="G563" i="2" s="1"/>
  <c r="H565" i="2"/>
  <c r="M567" i="2"/>
  <c r="G567" i="2" s="1"/>
  <c r="H569" i="2"/>
  <c r="M571" i="2"/>
  <c r="H573" i="2"/>
  <c r="M575" i="2"/>
  <c r="H577" i="2"/>
  <c r="M579" i="2"/>
  <c r="H581" i="2"/>
  <c r="M583" i="2"/>
  <c r="H585" i="2"/>
  <c r="M587" i="2"/>
  <c r="H589" i="2"/>
  <c r="M591" i="2"/>
  <c r="H593" i="2"/>
  <c r="I597" i="2"/>
  <c r="I601" i="2"/>
  <c r="I605" i="2"/>
  <c r="I609" i="2"/>
  <c r="I616" i="2"/>
  <c r="M617" i="2"/>
  <c r="H621" i="2"/>
  <c r="G623" i="2"/>
  <c r="G627" i="2"/>
  <c r="G629" i="2"/>
  <c r="G633" i="2"/>
  <c r="G637" i="2"/>
  <c r="G641" i="2"/>
  <c r="G643" i="2"/>
  <c r="G645" i="2"/>
  <c r="G649" i="2"/>
  <c r="G653" i="2"/>
  <c r="G655" i="2"/>
  <c r="G657" i="2"/>
  <c r="G659" i="2"/>
  <c r="G661" i="2"/>
  <c r="G665" i="2"/>
  <c r="G669" i="2"/>
  <c r="G673" i="2"/>
  <c r="G675" i="2"/>
  <c r="G677" i="2"/>
  <c r="G681" i="2"/>
  <c r="G685" i="2"/>
  <c r="G687" i="2"/>
  <c r="G689" i="2"/>
  <c r="G691" i="2"/>
  <c r="G693" i="2"/>
  <c r="I709" i="2"/>
  <c r="H712" i="2"/>
  <c r="M717" i="2"/>
  <c r="H717" i="2" s="1"/>
  <c r="J730" i="2"/>
  <c r="I730" i="2"/>
  <c r="H730" i="2"/>
  <c r="G730" i="2"/>
  <c r="J740" i="2"/>
  <c r="I740" i="2"/>
  <c r="H740" i="2"/>
  <c r="G740" i="2"/>
  <c r="J748" i="2"/>
  <c r="I748" i="2"/>
  <c r="H748" i="2"/>
  <c r="G748" i="2"/>
  <c r="J756" i="2"/>
  <c r="I756" i="2"/>
  <c r="H756" i="2"/>
  <c r="G756" i="2"/>
  <c r="G758" i="2"/>
  <c r="H764" i="2"/>
  <c r="G764" i="2"/>
  <c r="M767" i="2"/>
  <c r="J767" i="2" s="1"/>
  <c r="H774" i="2"/>
  <c r="M787" i="2"/>
  <c r="J787" i="2" s="1"/>
  <c r="I796" i="2"/>
  <c r="H796" i="2"/>
  <c r="J808" i="2"/>
  <c r="I819" i="2"/>
  <c r="M819" i="2"/>
  <c r="J819" i="2" s="1"/>
  <c r="I828" i="2"/>
  <c r="H828" i="2"/>
  <c r="I851" i="2"/>
  <c r="H851" i="2"/>
  <c r="G851" i="2"/>
  <c r="M851" i="2"/>
  <c r="J851" i="2" s="1"/>
  <c r="I877" i="2"/>
  <c r="H877" i="2"/>
  <c r="G877" i="2"/>
  <c r="J912" i="2"/>
  <c r="I912" i="2"/>
  <c r="H912" i="2"/>
  <c r="G912" i="2"/>
  <c r="I957" i="2"/>
  <c r="H957" i="2"/>
  <c r="G957" i="2"/>
  <c r="J976" i="2"/>
  <c r="I976" i="2"/>
  <c r="H976" i="2"/>
  <c r="G976" i="2"/>
  <c r="I1133" i="2"/>
  <c r="J1133" i="2"/>
  <c r="H1133" i="2"/>
  <c r="G1133" i="2"/>
  <c r="H1156" i="2"/>
  <c r="G1156" i="2"/>
  <c r="I1156" i="2"/>
  <c r="G1169" i="2"/>
  <c r="J1169" i="2"/>
  <c r="I1169" i="2"/>
  <c r="H1169" i="2"/>
  <c r="J1206" i="2"/>
  <c r="I1206" i="2"/>
  <c r="H1206" i="2"/>
  <c r="G1206" i="2"/>
  <c r="I1423" i="2"/>
  <c r="H1423" i="2"/>
  <c r="G1423" i="2"/>
  <c r="J1458" i="2"/>
  <c r="I1458" i="2"/>
  <c r="H1458" i="2"/>
  <c r="G1458" i="2"/>
  <c r="I1503" i="2"/>
  <c r="H1503" i="2"/>
  <c r="G1503" i="2"/>
  <c r="J1538" i="2"/>
  <c r="I1538" i="2"/>
  <c r="H1538" i="2"/>
  <c r="G1538" i="2"/>
  <c r="J407" i="2"/>
  <c r="J411" i="2"/>
  <c r="J415" i="2"/>
  <c r="J419" i="2"/>
  <c r="J423" i="2"/>
  <c r="J427" i="2"/>
  <c r="J431" i="2"/>
  <c r="J435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494" i="2"/>
  <c r="J498" i="2"/>
  <c r="J502" i="2"/>
  <c r="J506" i="2"/>
  <c r="J510" i="2"/>
  <c r="J514" i="2"/>
  <c r="J518" i="2"/>
  <c r="J522" i="2"/>
  <c r="J526" i="2"/>
  <c r="J530" i="2"/>
  <c r="J534" i="2"/>
  <c r="J538" i="2"/>
  <c r="J597" i="2"/>
  <c r="J601" i="2"/>
  <c r="J605" i="2"/>
  <c r="J609" i="2"/>
  <c r="G613" i="2"/>
  <c r="J616" i="2"/>
  <c r="H697" i="2"/>
  <c r="G697" i="2"/>
  <c r="M701" i="2"/>
  <c r="M706" i="2"/>
  <c r="I706" i="2" s="1"/>
  <c r="I712" i="2"/>
  <c r="J718" i="2"/>
  <c r="I718" i="2"/>
  <c r="H718" i="2"/>
  <c r="G718" i="2"/>
  <c r="G765" i="2"/>
  <c r="H768" i="2"/>
  <c r="G768" i="2"/>
  <c r="M771" i="2"/>
  <c r="J771" i="2" s="1"/>
  <c r="J775" i="2"/>
  <c r="I775" i="2"/>
  <c r="H775" i="2"/>
  <c r="G775" i="2"/>
  <c r="J788" i="2"/>
  <c r="G797" i="2"/>
  <c r="I799" i="2"/>
  <c r="H799" i="2"/>
  <c r="M799" i="2"/>
  <c r="G799" i="2" s="1"/>
  <c r="I808" i="2"/>
  <c r="H808" i="2"/>
  <c r="J820" i="2"/>
  <c r="G829" i="2"/>
  <c r="I831" i="2"/>
  <c r="H831" i="2"/>
  <c r="M831" i="2"/>
  <c r="J831" i="2" s="1"/>
  <c r="I840" i="2"/>
  <c r="H840" i="2"/>
  <c r="J852" i="2"/>
  <c r="J872" i="2"/>
  <c r="I872" i="2"/>
  <c r="H872" i="2"/>
  <c r="G872" i="2"/>
  <c r="I917" i="2"/>
  <c r="H917" i="2"/>
  <c r="G917" i="2"/>
  <c r="J936" i="2"/>
  <c r="I936" i="2"/>
  <c r="H936" i="2"/>
  <c r="G936" i="2"/>
  <c r="I981" i="2"/>
  <c r="H981" i="2"/>
  <c r="G981" i="2"/>
  <c r="J1000" i="2"/>
  <c r="I1000" i="2"/>
  <c r="H1000" i="2"/>
  <c r="G1000" i="2"/>
  <c r="I1021" i="2"/>
  <c r="H1021" i="2"/>
  <c r="G1021" i="2"/>
  <c r="I1037" i="2"/>
  <c r="H1037" i="2"/>
  <c r="G1037" i="2"/>
  <c r="I1053" i="2"/>
  <c r="H1053" i="2"/>
  <c r="G1053" i="2"/>
  <c r="I1069" i="2"/>
  <c r="H1069" i="2"/>
  <c r="G1069" i="2"/>
  <c r="I1085" i="2"/>
  <c r="H1085" i="2"/>
  <c r="G1085" i="2"/>
  <c r="I1101" i="2"/>
  <c r="H1101" i="2"/>
  <c r="G1101" i="2"/>
  <c r="I1117" i="2"/>
  <c r="H1117" i="2"/>
  <c r="G1117" i="2"/>
  <c r="J1154" i="2"/>
  <c r="I1154" i="2"/>
  <c r="H1154" i="2"/>
  <c r="J1386" i="2"/>
  <c r="I1386" i="2"/>
  <c r="H1386" i="2"/>
  <c r="G1386" i="2"/>
  <c r="J1394" i="2"/>
  <c r="I1394" i="2"/>
  <c r="H1394" i="2"/>
  <c r="J1438" i="2"/>
  <c r="I1438" i="2"/>
  <c r="H1438" i="2"/>
  <c r="G1438" i="2"/>
  <c r="G460" i="2"/>
  <c r="G464" i="2"/>
  <c r="G468" i="2"/>
  <c r="M627" i="2"/>
  <c r="H627" i="2" s="1"/>
  <c r="J627" i="2"/>
  <c r="I627" i="2"/>
  <c r="M631" i="2"/>
  <c r="G631" i="2" s="1"/>
  <c r="I631" i="2"/>
  <c r="M635" i="2"/>
  <c r="H635" i="2" s="1"/>
  <c r="J635" i="2"/>
  <c r="I635" i="2"/>
  <c r="M639" i="2"/>
  <c r="I639" i="2" s="1"/>
  <c r="J639" i="2"/>
  <c r="M643" i="2"/>
  <c r="J643" i="2"/>
  <c r="I643" i="2"/>
  <c r="M647" i="2"/>
  <c r="H647" i="2" s="1"/>
  <c r="J647" i="2"/>
  <c r="I647" i="2"/>
  <c r="M651" i="2"/>
  <c r="J651" i="2" s="1"/>
  <c r="M655" i="2"/>
  <c r="J655" i="2"/>
  <c r="I655" i="2"/>
  <c r="M659" i="2"/>
  <c r="H659" i="2" s="1"/>
  <c r="J659" i="2"/>
  <c r="I659" i="2"/>
  <c r="M663" i="2"/>
  <c r="G663" i="2" s="1"/>
  <c r="I663" i="2"/>
  <c r="M667" i="2"/>
  <c r="G667" i="2" s="1"/>
  <c r="J667" i="2"/>
  <c r="I667" i="2"/>
  <c r="M671" i="2"/>
  <c r="I671" i="2" s="1"/>
  <c r="J671" i="2"/>
  <c r="M675" i="2"/>
  <c r="J675" i="2"/>
  <c r="I675" i="2"/>
  <c r="M679" i="2"/>
  <c r="G679" i="2" s="1"/>
  <c r="J679" i="2"/>
  <c r="I679" i="2"/>
  <c r="M683" i="2"/>
  <c r="J683" i="2" s="1"/>
  <c r="M687" i="2"/>
  <c r="J687" i="2"/>
  <c r="I687" i="2"/>
  <c r="M691" i="2"/>
  <c r="H691" i="2" s="1"/>
  <c r="J691" i="2"/>
  <c r="I691" i="2"/>
  <c r="M709" i="2"/>
  <c r="H709" i="2" s="1"/>
  <c r="I735" i="2"/>
  <c r="M735" i="2"/>
  <c r="H735" i="2" s="1"/>
  <c r="M743" i="2"/>
  <c r="G743" i="2" s="1"/>
  <c r="I751" i="2"/>
  <c r="M751" i="2"/>
  <c r="H751" i="2" s="1"/>
  <c r="M759" i="2"/>
  <c r="I759" i="2" s="1"/>
  <c r="H772" i="2"/>
  <c r="G772" i="2"/>
  <c r="I788" i="2"/>
  <c r="H788" i="2"/>
  <c r="J800" i="2"/>
  <c r="G809" i="2"/>
  <c r="I811" i="2"/>
  <c r="H811" i="2"/>
  <c r="G811" i="2"/>
  <c r="M811" i="2"/>
  <c r="I820" i="2"/>
  <c r="H820" i="2"/>
  <c r="J832" i="2"/>
  <c r="G841" i="2"/>
  <c r="I843" i="2"/>
  <c r="H843" i="2"/>
  <c r="G843" i="2"/>
  <c r="M843" i="2"/>
  <c r="I852" i="2"/>
  <c r="H852" i="2"/>
  <c r="J896" i="2"/>
  <c r="I896" i="2"/>
  <c r="H896" i="2"/>
  <c r="G896" i="2"/>
  <c r="I901" i="2"/>
  <c r="H901" i="2"/>
  <c r="G901" i="2"/>
  <c r="I941" i="2"/>
  <c r="H941" i="2"/>
  <c r="G941" i="2"/>
  <c r="J960" i="2"/>
  <c r="I960" i="2"/>
  <c r="H960" i="2"/>
  <c r="G960" i="2"/>
  <c r="I1005" i="2"/>
  <c r="H1005" i="2"/>
  <c r="G1005" i="2"/>
  <c r="J1262" i="2"/>
  <c r="I1262" i="2"/>
  <c r="H1262" i="2"/>
  <c r="G1262" i="2"/>
  <c r="J1274" i="2"/>
  <c r="I1274" i="2"/>
  <c r="H1274" i="2"/>
  <c r="J1310" i="2"/>
  <c r="I1310" i="2"/>
  <c r="G1310" i="2"/>
  <c r="J1350" i="2"/>
  <c r="I1350" i="2"/>
  <c r="G1350" i="2"/>
  <c r="I1527" i="2"/>
  <c r="H1527" i="2"/>
  <c r="G1527" i="2"/>
  <c r="J1574" i="2"/>
  <c r="I1574" i="2"/>
  <c r="G1574" i="2"/>
  <c r="G614" i="2"/>
  <c r="I618" i="2"/>
  <c r="G618" i="2"/>
  <c r="M621" i="2"/>
  <c r="J621" i="2" s="1"/>
  <c r="I623" i="2"/>
  <c r="H623" i="2"/>
  <c r="H629" i="2"/>
  <c r="H633" i="2"/>
  <c r="H637" i="2"/>
  <c r="H641" i="2"/>
  <c r="H645" i="2"/>
  <c r="H649" i="2"/>
  <c r="H653" i="2"/>
  <c r="H657" i="2"/>
  <c r="H661" i="2"/>
  <c r="H665" i="2"/>
  <c r="H669" i="2"/>
  <c r="H673" i="2"/>
  <c r="H677" i="2"/>
  <c r="H681" i="2"/>
  <c r="H685" i="2"/>
  <c r="H689" i="2"/>
  <c r="H693" i="2"/>
  <c r="J698" i="2"/>
  <c r="I698" i="2"/>
  <c r="H698" i="2"/>
  <c r="G698" i="2"/>
  <c r="M702" i="2"/>
  <c r="J702" i="2" s="1"/>
  <c r="J710" i="2"/>
  <c r="I710" i="2"/>
  <c r="H710" i="2"/>
  <c r="G710" i="2"/>
  <c r="M725" i="2"/>
  <c r="J725" i="2" s="1"/>
  <c r="J765" i="2"/>
  <c r="I765" i="2"/>
  <c r="I791" i="2"/>
  <c r="H791" i="2"/>
  <c r="G791" i="2"/>
  <c r="M791" i="2"/>
  <c r="I800" i="2"/>
  <c r="H800" i="2"/>
  <c r="J812" i="2"/>
  <c r="M823" i="2"/>
  <c r="G823" i="2" s="1"/>
  <c r="I832" i="2"/>
  <c r="H832" i="2"/>
  <c r="J844" i="2"/>
  <c r="M855" i="2"/>
  <c r="J855" i="2" s="1"/>
  <c r="J880" i="2"/>
  <c r="I880" i="2"/>
  <c r="H880" i="2"/>
  <c r="G880" i="2"/>
  <c r="J920" i="2"/>
  <c r="I920" i="2"/>
  <c r="H920" i="2"/>
  <c r="G920" i="2"/>
  <c r="I965" i="2"/>
  <c r="H965" i="2"/>
  <c r="G965" i="2"/>
  <c r="J984" i="2"/>
  <c r="I984" i="2"/>
  <c r="H984" i="2"/>
  <c r="G984" i="2"/>
  <c r="J1024" i="2"/>
  <c r="I1024" i="2"/>
  <c r="H1024" i="2"/>
  <c r="G1024" i="2"/>
  <c r="J1040" i="2"/>
  <c r="I1040" i="2"/>
  <c r="H1040" i="2"/>
  <c r="G1040" i="2"/>
  <c r="J1056" i="2"/>
  <c r="I1056" i="2"/>
  <c r="H1056" i="2"/>
  <c r="G1056" i="2"/>
  <c r="J1072" i="2"/>
  <c r="I1072" i="2"/>
  <c r="H1072" i="2"/>
  <c r="G1072" i="2"/>
  <c r="J1088" i="2"/>
  <c r="I1088" i="2"/>
  <c r="H1088" i="2"/>
  <c r="G1088" i="2"/>
  <c r="J1104" i="2"/>
  <c r="I1104" i="2"/>
  <c r="H1104" i="2"/>
  <c r="G1104" i="2"/>
  <c r="J1120" i="2"/>
  <c r="I1120" i="2"/>
  <c r="H1120" i="2"/>
  <c r="G1120" i="2"/>
  <c r="I1142" i="2"/>
  <c r="H1142" i="2"/>
  <c r="G1142" i="2"/>
  <c r="I1183" i="2"/>
  <c r="H1183" i="2"/>
  <c r="G1183" i="2"/>
  <c r="I1199" i="2"/>
  <c r="H1199" i="2"/>
  <c r="G1199" i="2"/>
  <c r="I1303" i="2"/>
  <c r="H1303" i="2"/>
  <c r="G1303" i="2"/>
  <c r="J1303" i="2"/>
  <c r="I1343" i="2"/>
  <c r="H1343" i="2"/>
  <c r="G1343" i="2"/>
  <c r="J1343" i="2"/>
  <c r="I1415" i="2"/>
  <c r="H1415" i="2"/>
  <c r="G1415" i="2"/>
  <c r="J1170" i="2"/>
  <c r="I1170" i="2"/>
  <c r="H1170" i="2"/>
  <c r="H1172" i="2"/>
  <c r="G1172" i="2"/>
  <c r="I1188" i="2"/>
  <c r="I1190" i="2"/>
  <c r="J1202" i="2"/>
  <c r="I1202" i="2"/>
  <c r="H1202" i="2"/>
  <c r="I1207" i="2"/>
  <c r="H1207" i="2"/>
  <c r="G1207" i="2"/>
  <c r="J1214" i="2"/>
  <c r="I1214" i="2"/>
  <c r="J1230" i="2"/>
  <c r="I1230" i="2"/>
  <c r="J1242" i="2"/>
  <c r="I1242" i="2"/>
  <c r="H1242" i="2"/>
  <c r="I1247" i="2"/>
  <c r="H1247" i="2"/>
  <c r="G1247" i="2"/>
  <c r="G1254" i="2"/>
  <c r="J1258" i="2"/>
  <c r="I1258" i="2"/>
  <c r="H1258" i="2"/>
  <c r="I1263" i="2"/>
  <c r="H1263" i="2"/>
  <c r="G1263" i="2"/>
  <c r="I1287" i="2"/>
  <c r="H1287" i="2"/>
  <c r="G1287" i="2"/>
  <c r="J1322" i="2"/>
  <c r="I1322" i="2"/>
  <c r="H1322" i="2"/>
  <c r="J1374" i="2"/>
  <c r="I1374" i="2"/>
  <c r="J1402" i="2"/>
  <c r="I1402" i="2"/>
  <c r="H1402" i="2"/>
  <c r="I1439" i="2"/>
  <c r="H1439" i="2"/>
  <c r="G1439" i="2"/>
  <c r="J1446" i="2"/>
  <c r="I1446" i="2"/>
  <c r="J1466" i="2"/>
  <c r="I1466" i="2"/>
  <c r="H1466" i="2"/>
  <c r="J1474" i="2"/>
  <c r="I1474" i="2"/>
  <c r="H1474" i="2"/>
  <c r="J1498" i="2"/>
  <c r="I1498" i="2"/>
  <c r="H1498" i="2"/>
  <c r="J1522" i="2"/>
  <c r="I1522" i="2"/>
  <c r="H1522" i="2"/>
  <c r="J1534" i="2"/>
  <c r="I1534" i="2"/>
  <c r="J1546" i="2"/>
  <c r="I1546" i="2"/>
  <c r="H1546" i="2"/>
  <c r="I1551" i="2"/>
  <c r="H1551" i="2"/>
  <c r="G1551" i="2"/>
  <c r="J1558" i="2"/>
  <c r="I1558" i="2"/>
  <c r="J1610" i="2"/>
  <c r="I1610" i="2"/>
  <c r="H1610" i="2"/>
  <c r="G1610" i="2"/>
  <c r="I1615" i="2"/>
  <c r="H1615" i="2"/>
  <c r="G1615" i="2"/>
  <c r="I1623" i="2"/>
  <c r="H1623" i="2"/>
  <c r="G1623" i="2"/>
  <c r="I1631" i="2"/>
  <c r="H1631" i="2"/>
  <c r="G1631" i="2"/>
  <c r="I1639" i="2"/>
  <c r="H1639" i="2"/>
  <c r="G1639" i="2"/>
  <c r="I1647" i="2"/>
  <c r="H1647" i="2"/>
  <c r="G1647" i="2"/>
  <c r="I1655" i="2"/>
  <c r="H1655" i="2"/>
  <c r="G1655" i="2"/>
  <c r="I1663" i="2"/>
  <c r="H1663" i="2"/>
  <c r="G1663" i="2"/>
  <c r="I1671" i="2"/>
  <c r="H1671" i="2"/>
  <c r="G1671" i="2"/>
  <c r="I1679" i="2"/>
  <c r="H1679" i="2"/>
  <c r="G1679" i="2"/>
  <c r="I1687" i="2"/>
  <c r="H1687" i="2"/>
  <c r="G1687" i="2"/>
  <c r="I1711" i="2"/>
  <c r="H1711" i="2"/>
  <c r="G1711" i="2"/>
  <c r="I1784" i="2"/>
  <c r="H1784" i="2"/>
  <c r="G1784" i="2"/>
  <c r="H1798" i="2"/>
  <c r="G1798" i="2"/>
  <c r="J1798" i="2"/>
  <c r="I1798" i="2"/>
  <c r="J1820" i="2"/>
  <c r="I1820" i="2"/>
  <c r="H1820" i="2"/>
  <c r="G1820" i="2"/>
  <c r="J2037" i="2"/>
  <c r="I2037" i="2"/>
  <c r="H2037" i="2"/>
  <c r="G2037" i="2"/>
  <c r="M766" i="2"/>
  <c r="G766" i="2" s="1"/>
  <c r="M770" i="2"/>
  <c r="G770" i="2" s="1"/>
  <c r="M774" i="2"/>
  <c r="G788" i="2"/>
  <c r="I789" i="2"/>
  <c r="G792" i="2"/>
  <c r="I793" i="2"/>
  <c r="G796" i="2"/>
  <c r="I797" i="2"/>
  <c r="G800" i="2"/>
  <c r="I801" i="2"/>
  <c r="G804" i="2"/>
  <c r="I805" i="2"/>
  <c r="G808" i="2"/>
  <c r="I809" i="2"/>
  <c r="G812" i="2"/>
  <c r="I813" i="2"/>
  <c r="G816" i="2"/>
  <c r="I817" i="2"/>
  <c r="G820" i="2"/>
  <c r="I821" i="2"/>
  <c r="G824" i="2"/>
  <c r="I825" i="2"/>
  <c r="G828" i="2"/>
  <c r="I829" i="2"/>
  <c r="G832" i="2"/>
  <c r="I833" i="2"/>
  <c r="G836" i="2"/>
  <c r="I837" i="2"/>
  <c r="G840" i="2"/>
  <c r="I841" i="2"/>
  <c r="G844" i="2"/>
  <c r="I845" i="2"/>
  <c r="G848" i="2"/>
  <c r="I849" i="2"/>
  <c r="G852" i="2"/>
  <c r="I853" i="2"/>
  <c r="G856" i="2"/>
  <c r="I857" i="2"/>
  <c r="G859" i="2"/>
  <c r="I865" i="2"/>
  <c r="G867" i="2"/>
  <c r="I873" i="2"/>
  <c r="G875" i="2"/>
  <c r="G891" i="2"/>
  <c r="G899" i="2"/>
  <c r="I1143" i="2"/>
  <c r="H1143" i="2"/>
  <c r="G1143" i="2"/>
  <c r="I1159" i="2"/>
  <c r="H1159" i="2"/>
  <c r="G1159" i="2"/>
  <c r="J1270" i="2"/>
  <c r="I1270" i="2"/>
  <c r="J1282" i="2"/>
  <c r="I1282" i="2"/>
  <c r="H1282" i="2"/>
  <c r="J1306" i="2"/>
  <c r="I1306" i="2"/>
  <c r="H1306" i="2"/>
  <c r="I1311" i="2"/>
  <c r="H1311" i="2"/>
  <c r="G1311" i="2"/>
  <c r="J1334" i="2"/>
  <c r="I1334" i="2"/>
  <c r="J1346" i="2"/>
  <c r="I1346" i="2"/>
  <c r="H1346" i="2"/>
  <c r="I1351" i="2"/>
  <c r="H1351" i="2"/>
  <c r="G1351" i="2"/>
  <c r="J1370" i="2"/>
  <c r="I1370" i="2"/>
  <c r="H1370" i="2"/>
  <c r="J1382" i="2"/>
  <c r="I1382" i="2"/>
  <c r="J1410" i="2"/>
  <c r="I1410" i="2"/>
  <c r="H1410" i="2"/>
  <c r="J1418" i="2"/>
  <c r="I1418" i="2"/>
  <c r="H1418" i="2"/>
  <c r="J1426" i="2"/>
  <c r="I1426" i="2"/>
  <c r="H1426" i="2"/>
  <c r="J1434" i="2"/>
  <c r="I1434" i="2"/>
  <c r="H1434" i="2"/>
  <c r="I1479" i="2"/>
  <c r="H1479" i="2"/>
  <c r="G1479" i="2"/>
  <c r="J1486" i="2"/>
  <c r="I1486" i="2"/>
  <c r="I1511" i="2"/>
  <c r="H1511" i="2"/>
  <c r="G1511" i="2"/>
  <c r="J1570" i="2"/>
  <c r="I1570" i="2"/>
  <c r="H1570" i="2"/>
  <c r="I1575" i="2"/>
  <c r="H1575" i="2"/>
  <c r="G1575" i="2"/>
  <c r="J1618" i="2"/>
  <c r="I1618" i="2"/>
  <c r="H1618" i="2"/>
  <c r="G1618" i="2"/>
  <c r="J1626" i="2"/>
  <c r="I1626" i="2"/>
  <c r="H1626" i="2"/>
  <c r="G1626" i="2"/>
  <c r="J1634" i="2"/>
  <c r="I1634" i="2"/>
  <c r="H1634" i="2"/>
  <c r="G1634" i="2"/>
  <c r="J1642" i="2"/>
  <c r="I1642" i="2"/>
  <c r="H1642" i="2"/>
  <c r="G1642" i="2"/>
  <c r="J1650" i="2"/>
  <c r="I1650" i="2"/>
  <c r="H1650" i="2"/>
  <c r="G1650" i="2"/>
  <c r="J1658" i="2"/>
  <c r="I1658" i="2"/>
  <c r="H1658" i="2"/>
  <c r="G1658" i="2"/>
  <c r="J1666" i="2"/>
  <c r="I1666" i="2"/>
  <c r="H1666" i="2"/>
  <c r="G1666" i="2"/>
  <c r="J1674" i="2"/>
  <c r="I1674" i="2"/>
  <c r="H1674" i="2"/>
  <c r="G1674" i="2"/>
  <c r="J1682" i="2"/>
  <c r="I1682" i="2"/>
  <c r="H1682" i="2"/>
  <c r="G1682" i="2"/>
  <c r="J1690" i="2"/>
  <c r="I1690" i="2"/>
  <c r="H1690" i="2"/>
  <c r="G1690" i="2"/>
  <c r="I1695" i="2"/>
  <c r="H1695" i="2"/>
  <c r="G1695" i="2"/>
  <c r="J1698" i="2"/>
  <c r="I1698" i="2"/>
  <c r="H1698" i="2"/>
  <c r="G1698" i="2"/>
  <c r="I1703" i="2"/>
  <c r="H1703" i="2"/>
  <c r="G1703" i="2"/>
  <c r="J1706" i="2"/>
  <c r="I1706" i="2"/>
  <c r="H1706" i="2"/>
  <c r="G1706" i="2"/>
  <c r="J1714" i="2"/>
  <c r="I1714" i="2"/>
  <c r="H1714" i="2"/>
  <c r="G1714" i="2"/>
  <c r="I1719" i="2"/>
  <c r="H1719" i="2"/>
  <c r="G1719" i="2"/>
  <c r="J1722" i="2"/>
  <c r="I1722" i="2"/>
  <c r="H1722" i="2"/>
  <c r="G1722" i="2"/>
  <c r="I1727" i="2"/>
  <c r="H1727" i="2"/>
  <c r="G1727" i="2"/>
  <c r="J1730" i="2"/>
  <c r="I1730" i="2"/>
  <c r="H1730" i="2"/>
  <c r="G1730" i="2"/>
  <c r="I1735" i="2"/>
  <c r="H1735" i="2"/>
  <c r="G1735" i="2"/>
  <c r="J1738" i="2"/>
  <c r="I1738" i="2"/>
  <c r="H1738" i="2"/>
  <c r="G1738" i="2"/>
  <c r="I1743" i="2"/>
  <c r="H1743" i="2"/>
  <c r="G1743" i="2"/>
  <c r="J1746" i="2"/>
  <c r="I1746" i="2"/>
  <c r="H1746" i="2"/>
  <c r="G1746" i="2"/>
  <c r="I1751" i="2"/>
  <c r="H1751" i="2"/>
  <c r="G1751" i="2"/>
  <c r="H1790" i="2"/>
  <c r="G1790" i="2"/>
  <c r="J1790" i="2"/>
  <c r="I1790" i="2"/>
  <c r="J1812" i="2"/>
  <c r="I1812" i="2"/>
  <c r="H1812" i="2"/>
  <c r="G1812" i="2"/>
  <c r="I1907" i="2"/>
  <c r="H1907" i="2"/>
  <c r="G1907" i="2"/>
  <c r="J1907" i="2"/>
  <c r="J1982" i="2"/>
  <c r="I1982" i="2"/>
  <c r="H1982" i="2"/>
  <c r="G1982" i="2"/>
  <c r="J1990" i="2"/>
  <c r="I1990" i="2"/>
  <c r="H1990" i="2"/>
  <c r="G1990" i="2"/>
  <c r="J1998" i="2"/>
  <c r="I1998" i="2"/>
  <c r="H1998" i="2"/>
  <c r="G1998" i="2"/>
  <c r="J2006" i="2"/>
  <c r="I2006" i="2"/>
  <c r="H2006" i="2"/>
  <c r="G2006" i="2"/>
  <c r="J2053" i="2"/>
  <c r="I2053" i="2"/>
  <c r="H2053" i="2"/>
  <c r="G2053" i="2"/>
  <c r="I695" i="2"/>
  <c r="I699" i="2"/>
  <c r="I703" i="2"/>
  <c r="I707" i="2"/>
  <c r="I711" i="2"/>
  <c r="I715" i="2"/>
  <c r="I719" i="2"/>
  <c r="M728" i="2"/>
  <c r="M734" i="2"/>
  <c r="M738" i="2"/>
  <c r="M742" i="2"/>
  <c r="M746" i="2"/>
  <c r="M750" i="2"/>
  <c r="G750" i="2" s="1"/>
  <c r="M754" i="2"/>
  <c r="M758" i="2"/>
  <c r="I764" i="2"/>
  <c r="I768" i="2"/>
  <c r="I772" i="2"/>
  <c r="I782" i="2"/>
  <c r="J789" i="2"/>
  <c r="J793" i="2"/>
  <c r="J797" i="2"/>
  <c r="J801" i="2"/>
  <c r="J805" i="2"/>
  <c r="J809" i="2"/>
  <c r="J813" i="2"/>
  <c r="J817" i="2"/>
  <c r="J821" i="2"/>
  <c r="J825" i="2"/>
  <c r="J829" i="2"/>
  <c r="J833" i="2"/>
  <c r="J837" i="2"/>
  <c r="J841" i="2"/>
  <c r="J845" i="2"/>
  <c r="J849" i="2"/>
  <c r="J853" i="2"/>
  <c r="I1175" i="2"/>
  <c r="H1175" i="2"/>
  <c r="G1175" i="2"/>
  <c r="J1186" i="2"/>
  <c r="I1186" i="2"/>
  <c r="H1186" i="2"/>
  <c r="H1188" i="2"/>
  <c r="G1188" i="2"/>
  <c r="J1210" i="2"/>
  <c r="I1210" i="2"/>
  <c r="H1210" i="2"/>
  <c r="I1215" i="2"/>
  <c r="H1215" i="2"/>
  <c r="G1215" i="2"/>
  <c r="J1226" i="2"/>
  <c r="I1226" i="2"/>
  <c r="H1226" i="2"/>
  <c r="I1231" i="2"/>
  <c r="H1231" i="2"/>
  <c r="G1231" i="2"/>
  <c r="J1254" i="2"/>
  <c r="I1254" i="2"/>
  <c r="J1294" i="2"/>
  <c r="I1294" i="2"/>
  <c r="J1318" i="2"/>
  <c r="I1318" i="2"/>
  <c r="I1375" i="2"/>
  <c r="H1375" i="2"/>
  <c r="G1375" i="2"/>
  <c r="J1442" i="2"/>
  <c r="I1442" i="2"/>
  <c r="H1442" i="2"/>
  <c r="I1447" i="2"/>
  <c r="H1447" i="2"/>
  <c r="G1447" i="2"/>
  <c r="J1454" i="2"/>
  <c r="I1454" i="2"/>
  <c r="J1482" i="2"/>
  <c r="I1482" i="2"/>
  <c r="H1482" i="2"/>
  <c r="J1506" i="2"/>
  <c r="I1506" i="2"/>
  <c r="H1506" i="2"/>
  <c r="J1518" i="2"/>
  <c r="I1518" i="2"/>
  <c r="J1530" i="2"/>
  <c r="I1530" i="2"/>
  <c r="H1530" i="2"/>
  <c r="I1535" i="2"/>
  <c r="H1535" i="2"/>
  <c r="G1535" i="2"/>
  <c r="I1559" i="2"/>
  <c r="H1559" i="2"/>
  <c r="G1559" i="2"/>
  <c r="J1804" i="2"/>
  <c r="I1804" i="2"/>
  <c r="H1804" i="2"/>
  <c r="G1804" i="2"/>
  <c r="H1856" i="2"/>
  <c r="J1856" i="2"/>
  <c r="I1856" i="2"/>
  <c r="G1856" i="2"/>
  <c r="I1915" i="2"/>
  <c r="H1915" i="2"/>
  <c r="G1915" i="2"/>
  <c r="I1923" i="2"/>
  <c r="H1923" i="2"/>
  <c r="G1923" i="2"/>
  <c r="I1931" i="2"/>
  <c r="H1931" i="2"/>
  <c r="G1931" i="2"/>
  <c r="I1939" i="2"/>
  <c r="H1939" i="2"/>
  <c r="G1939" i="2"/>
  <c r="I1947" i="2"/>
  <c r="H1947" i="2"/>
  <c r="G1947" i="2"/>
  <c r="I1955" i="2"/>
  <c r="H1955" i="2"/>
  <c r="G1955" i="2"/>
  <c r="I1963" i="2"/>
  <c r="H1963" i="2"/>
  <c r="G1963" i="2"/>
  <c r="I1971" i="2"/>
  <c r="H1971" i="2"/>
  <c r="G1971" i="2"/>
  <c r="J2014" i="2"/>
  <c r="I2014" i="2"/>
  <c r="H2014" i="2"/>
  <c r="G2014" i="2"/>
  <c r="J695" i="2"/>
  <c r="J699" i="2"/>
  <c r="J703" i="2"/>
  <c r="J707" i="2"/>
  <c r="J711" i="2"/>
  <c r="J715" i="2"/>
  <c r="J719" i="2"/>
  <c r="J764" i="2"/>
  <c r="J768" i="2"/>
  <c r="J772" i="2"/>
  <c r="J1146" i="2"/>
  <c r="I1146" i="2"/>
  <c r="H1146" i="2"/>
  <c r="H1148" i="2"/>
  <c r="G1148" i="2"/>
  <c r="J1162" i="2"/>
  <c r="I1162" i="2"/>
  <c r="H1162" i="2"/>
  <c r="H1164" i="2"/>
  <c r="G1164" i="2"/>
  <c r="G1193" i="2"/>
  <c r="J1193" i="2"/>
  <c r="J1238" i="2"/>
  <c r="I1238" i="2"/>
  <c r="I1271" i="2"/>
  <c r="H1271" i="2"/>
  <c r="G1271" i="2"/>
  <c r="J1278" i="2"/>
  <c r="I1278" i="2"/>
  <c r="J1290" i="2"/>
  <c r="I1290" i="2"/>
  <c r="H1290" i="2"/>
  <c r="G1326" i="2"/>
  <c r="J1330" i="2"/>
  <c r="I1330" i="2"/>
  <c r="H1330" i="2"/>
  <c r="I1335" i="2"/>
  <c r="H1335" i="2"/>
  <c r="G1335" i="2"/>
  <c r="J1358" i="2"/>
  <c r="I1358" i="2"/>
  <c r="G1366" i="2"/>
  <c r="J1378" i="2"/>
  <c r="I1378" i="2"/>
  <c r="H1378" i="2"/>
  <c r="I1383" i="2"/>
  <c r="H1383" i="2"/>
  <c r="G1383" i="2"/>
  <c r="J1390" i="2"/>
  <c r="I1390" i="2"/>
  <c r="G1406" i="2"/>
  <c r="G1414" i="2"/>
  <c r="G1422" i="2"/>
  <c r="G1430" i="2"/>
  <c r="I1487" i="2"/>
  <c r="H1487" i="2"/>
  <c r="G1487" i="2"/>
  <c r="J1494" i="2"/>
  <c r="I1494" i="2"/>
  <c r="G1502" i="2"/>
  <c r="G1526" i="2"/>
  <c r="J1542" i="2"/>
  <c r="I1542" i="2"/>
  <c r="J1554" i="2"/>
  <c r="I1554" i="2"/>
  <c r="H1554" i="2"/>
  <c r="J1566" i="2"/>
  <c r="I1566" i="2"/>
  <c r="J1796" i="2"/>
  <c r="I1796" i="2"/>
  <c r="H1796" i="2"/>
  <c r="G1796" i="2"/>
  <c r="I1824" i="2"/>
  <c r="H1824" i="2"/>
  <c r="G1824" i="2"/>
  <c r="H1840" i="2"/>
  <c r="I1840" i="2"/>
  <c r="G1840" i="2"/>
  <c r="G774" i="2"/>
  <c r="G777" i="2"/>
  <c r="G858" i="2"/>
  <c r="G866" i="2"/>
  <c r="G874" i="2"/>
  <c r="G882" i="2"/>
  <c r="G890" i="2"/>
  <c r="G898" i="2"/>
  <c r="G906" i="2"/>
  <c r="G914" i="2"/>
  <c r="G922" i="2"/>
  <c r="G930" i="2"/>
  <c r="G938" i="2"/>
  <c r="G946" i="2"/>
  <c r="G954" i="2"/>
  <c r="G962" i="2"/>
  <c r="G970" i="2"/>
  <c r="G978" i="2"/>
  <c r="G986" i="2"/>
  <c r="G994" i="2"/>
  <c r="G1002" i="2"/>
  <c r="G1010" i="2"/>
  <c r="G1018" i="2"/>
  <c r="G1026" i="2"/>
  <c r="G1034" i="2"/>
  <c r="G1042" i="2"/>
  <c r="G1050" i="2"/>
  <c r="G1058" i="2"/>
  <c r="G1066" i="2"/>
  <c r="G1074" i="2"/>
  <c r="G1082" i="2"/>
  <c r="G1090" i="2"/>
  <c r="G1098" i="2"/>
  <c r="G1106" i="2"/>
  <c r="G1114" i="2"/>
  <c r="G1122" i="2"/>
  <c r="G1130" i="2"/>
  <c r="J1137" i="2"/>
  <c r="J1153" i="2"/>
  <c r="G1174" i="2"/>
  <c r="I1191" i="2"/>
  <c r="H1191" i="2"/>
  <c r="G1191" i="2"/>
  <c r="J1198" i="2"/>
  <c r="J1222" i="2"/>
  <c r="I1222" i="2"/>
  <c r="J1250" i="2"/>
  <c r="I1250" i="2"/>
  <c r="H1250" i="2"/>
  <c r="I1255" i="2"/>
  <c r="H1255" i="2"/>
  <c r="G1255" i="2"/>
  <c r="J1266" i="2"/>
  <c r="I1266" i="2"/>
  <c r="H1266" i="2"/>
  <c r="I1295" i="2"/>
  <c r="H1295" i="2"/>
  <c r="G1295" i="2"/>
  <c r="J1302" i="2"/>
  <c r="I1302" i="2"/>
  <c r="J1314" i="2"/>
  <c r="I1314" i="2"/>
  <c r="H1314" i="2"/>
  <c r="I1319" i="2"/>
  <c r="H1319" i="2"/>
  <c r="G1319" i="2"/>
  <c r="J1342" i="2"/>
  <c r="I1342" i="2"/>
  <c r="J1398" i="2"/>
  <c r="I1398" i="2"/>
  <c r="J1450" i="2"/>
  <c r="I1450" i="2"/>
  <c r="H1450" i="2"/>
  <c r="I1455" i="2"/>
  <c r="H1455" i="2"/>
  <c r="G1455" i="2"/>
  <c r="J1462" i="2"/>
  <c r="I1462" i="2"/>
  <c r="J1470" i="2"/>
  <c r="I1470" i="2"/>
  <c r="I1519" i="2"/>
  <c r="H1519" i="2"/>
  <c r="G1519" i="2"/>
  <c r="I1583" i="2"/>
  <c r="H1583" i="2"/>
  <c r="G1583" i="2"/>
  <c r="J1788" i="2"/>
  <c r="I1788" i="2"/>
  <c r="H1788" i="2"/>
  <c r="G1788" i="2"/>
  <c r="I1816" i="2"/>
  <c r="H1816" i="2"/>
  <c r="G1816" i="2"/>
  <c r="I1835" i="2"/>
  <c r="G1835" i="2"/>
  <c r="J1835" i="2"/>
  <c r="H1835" i="2"/>
  <c r="I1135" i="2"/>
  <c r="H1135" i="2"/>
  <c r="G1135" i="2"/>
  <c r="I1151" i="2"/>
  <c r="H1151" i="2"/>
  <c r="G1151" i="2"/>
  <c r="I1167" i="2"/>
  <c r="H1167" i="2"/>
  <c r="G1167" i="2"/>
  <c r="J1178" i="2"/>
  <c r="I1178" i="2"/>
  <c r="H1178" i="2"/>
  <c r="H1180" i="2"/>
  <c r="G1180" i="2"/>
  <c r="H1185" i="2"/>
  <c r="J1194" i="2"/>
  <c r="I1194" i="2"/>
  <c r="H1194" i="2"/>
  <c r="J1234" i="2"/>
  <c r="I1234" i="2"/>
  <c r="H1234" i="2"/>
  <c r="I1239" i="2"/>
  <c r="H1239" i="2"/>
  <c r="G1239" i="2"/>
  <c r="I1279" i="2"/>
  <c r="H1279" i="2"/>
  <c r="G1279" i="2"/>
  <c r="J1326" i="2"/>
  <c r="I1326" i="2"/>
  <c r="J1354" i="2"/>
  <c r="I1354" i="2"/>
  <c r="H1354" i="2"/>
  <c r="I1359" i="2"/>
  <c r="H1359" i="2"/>
  <c r="G1359" i="2"/>
  <c r="J1366" i="2"/>
  <c r="I1366" i="2"/>
  <c r="I1391" i="2"/>
  <c r="H1391" i="2"/>
  <c r="G1391" i="2"/>
  <c r="J1406" i="2"/>
  <c r="I1406" i="2"/>
  <c r="J1414" i="2"/>
  <c r="I1414" i="2"/>
  <c r="J1422" i="2"/>
  <c r="I1422" i="2"/>
  <c r="J1430" i="2"/>
  <c r="I1430" i="2"/>
  <c r="J1490" i="2"/>
  <c r="I1490" i="2"/>
  <c r="H1490" i="2"/>
  <c r="I1495" i="2"/>
  <c r="H1495" i="2"/>
  <c r="G1495" i="2"/>
  <c r="J1502" i="2"/>
  <c r="I1502" i="2"/>
  <c r="J1514" i="2"/>
  <c r="I1514" i="2"/>
  <c r="H1514" i="2"/>
  <c r="J1526" i="2"/>
  <c r="I1526" i="2"/>
  <c r="I1543" i="2"/>
  <c r="H1543" i="2"/>
  <c r="G1543" i="2"/>
  <c r="I1567" i="2"/>
  <c r="H1567" i="2"/>
  <c r="G1567" i="2"/>
  <c r="J1578" i="2"/>
  <c r="I1578" i="2"/>
  <c r="H1578" i="2"/>
  <c r="I1591" i="2"/>
  <c r="H1591" i="2"/>
  <c r="G1591" i="2"/>
  <c r="I1808" i="2"/>
  <c r="H1808" i="2"/>
  <c r="G1808" i="2"/>
  <c r="H1822" i="2"/>
  <c r="G1822" i="2"/>
  <c r="J1822" i="2"/>
  <c r="I1822" i="2"/>
  <c r="J1838" i="2"/>
  <c r="H1838" i="2"/>
  <c r="G1838" i="2"/>
  <c r="J1854" i="2"/>
  <c r="H1854" i="2"/>
  <c r="G1854" i="2"/>
  <c r="I1854" i="2"/>
  <c r="G2248" i="2"/>
  <c r="J2248" i="2"/>
  <c r="H2248" i="2"/>
  <c r="I2248" i="2"/>
  <c r="J2265" i="2"/>
  <c r="I2265" i="2"/>
  <c r="H2265" i="2"/>
  <c r="G2265" i="2"/>
  <c r="H2605" i="2"/>
  <c r="G2605" i="2"/>
  <c r="J2605" i="2"/>
  <c r="J2643" i="2"/>
  <c r="I2643" i="2"/>
  <c r="H2643" i="2"/>
  <c r="G2643" i="2"/>
  <c r="I2803" i="2"/>
  <c r="H2803" i="2"/>
  <c r="G2803" i="2"/>
  <c r="J2803" i="2"/>
  <c r="H3057" i="2"/>
  <c r="G3057" i="2"/>
  <c r="I3057" i="2"/>
  <c r="J3057" i="2"/>
  <c r="J1201" i="2"/>
  <c r="J1209" i="2"/>
  <c r="J1852" i="2"/>
  <c r="I1852" i="2"/>
  <c r="H1852" i="2"/>
  <c r="I1979" i="2"/>
  <c r="H1979" i="2"/>
  <c r="G1979" i="2"/>
  <c r="I1987" i="2"/>
  <c r="H1987" i="2"/>
  <c r="G1987" i="2"/>
  <c r="I1995" i="2"/>
  <c r="H1995" i="2"/>
  <c r="G1995" i="2"/>
  <c r="I2003" i="2"/>
  <c r="H2003" i="2"/>
  <c r="G2003" i="2"/>
  <c r="J2022" i="2"/>
  <c r="I2022" i="2"/>
  <c r="H2022" i="2"/>
  <c r="G2022" i="2"/>
  <c r="J2069" i="2"/>
  <c r="I2069" i="2"/>
  <c r="H2069" i="2"/>
  <c r="G2069" i="2"/>
  <c r="I2101" i="2"/>
  <c r="H2101" i="2"/>
  <c r="G2101" i="2"/>
  <c r="J2213" i="2"/>
  <c r="I2213" i="2"/>
  <c r="H2213" i="2"/>
  <c r="G2213" i="2"/>
  <c r="J2249" i="2"/>
  <c r="I2249" i="2"/>
  <c r="H2249" i="2"/>
  <c r="G2249" i="2"/>
  <c r="G1269" i="2"/>
  <c r="G1277" i="2"/>
  <c r="G1341" i="2"/>
  <c r="H1376" i="2"/>
  <c r="G1389" i="2"/>
  <c r="H1392" i="2"/>
  <c r="G1397" i="2"/>
  <c r="H1400" i="2"/>
  <c r="G1405" i="2"/>
  <c r="H1408" i="2"/>
  <c r="G1413" i="2"/>
  <c r="H1416" i="2"/>
  <c r="G1421" i="2"/>
  <c r="H1424" i="2"/>
  <c r="G1429" i="2"/>
  <c r="H1432" i="2"/>
  <c r="H1440" i="2"/>
  <c r="G1445" i="2"/>
  <c r="H1448" i="2"/>
  <c r="G1453" i="2"/>
  <c r="H1456" i="2"/>
  <c r="G1461" i="2"/>
  <c r="H1464" i="2"/>
  <c r="G1469" i="2"/>
  <c r="H1472" i="2"/>
  <c r="H1480" i="2"/>
  <c r="H1488" i="2"/>
  <c r="G1501" i="2"/>
  <c r="G1509" i="2"/>
  <c r="G1517" i="2"/>
  <c r="G1525" i="2"/>
  <c r="G1541" i="2"/>
  <c r="G1557" i="2"/>
  <c r="G1565" i="2"/>
  <c r="G1581" i="2"/>
  <c r="G1589" i="2"/>
  <c r="G1597" i="2"/>
  <c r="G1621" i="2"/>
  <c r="G1629" i="2"/>
  <c r="G1637" i="2"/>
  <c r="G1645" i="2"/>
  <c r="G1653" i="2"/>
  <c r="G1661" i="2"/>
  <c r="G1669" i="2"/>
  <c r="G1677" i="2"/>
  <c r="G1685" i="2"/>
  <c r="G1709" i="2"/>
  <c r="I1761" i="2"/>
  <c r="H1761" i="2"/>
  <c r="I1769" i="2"/>
  <c r="H1769" i="2"/>
  <c r="I1777" i="2"/>
  <c r="H1777" i="2"/>
  <c r="J1836" i="2"/>
  <c r="I1836" i="2"/>
  <c r="I1859" i="2"/>
  <c r="G1859" i="2"/>
  <c r="J1862" i="2"/>
  <c r="H1862" i="2"/>
  <c r="G1862" i="2"/>
  <c r="I2011" i="2"/>
  <c r="H2011" i="2"/>
  <c r="G2011" i="2"/>
  <c r="J2030" i="2"/>
  <c r="I2030" i="2"/>
  <c r="H2030" i="2"/>
  <c r="G2030" i="2"/>
  <c r="G2082" i="2"/>
  <c r="I2082" i="2"/>
  <c r="H2082" i="2"/>
  <c r="I2246" i="2"/>
  <c r="H2246" i="2"/>
  <c r="G2246" i="2"/>
  <c r="H1581" i="2"/>
  <c r="H1589" i="2"/>
  <c r="H1597" i="2"/>
  <c r="I1600" i="2"/>
  <c r="H1605" i="2"/>
  <c r="I1608" i="2"/>
  <c r="H1613" i="2"/>
  <c r="I1616" i="2"/>
  <c r="H1621" i="2"/>
  <c r="I1624" i="2"/>
  <c r="H1629" i="2"/>
  <c r="I1632" i="2"/>
  <c r="H1637" i="2"/>
  <c r="I1640" i="2"/>
  <c r="H1645" i="2"/>
  <c r="I1648" i="2"/>
  <c r="H1653" i="2"/>
  <c r="I1656" i="2"/>
  <c r="H1661" i="2"/>
  <c r="I1664" i="2"/>
  <c r="H1669" i="2"/>
  <c r="I1672" i="2"/>
  <c r="H1677" i="2"/>
  <c r="I1680" i="2"/>
  <c r="H1685" i="2"/>
  <c r="I1688" i="2"/>
  <c r="H1693" i="2"/>
  <c r="I1696" i="2"/>
  <c r="H1701" i="2"/>
  <c r="I1704" i="2"/>
  <c r="H1709" i="2"/>
  <c r="I1712" i="2"/>
  <c r="H1717" i="2"/>
  <c r="I1720" i="2"/>
  <c r="H1725" i="2"/>
  <c r="I1728" i="2"/>
  <c r="H1733" i="2"/>
  <c r="I1736" i="2"/>
  <c r="H1741" i="2"/>
  <c r="I1744" i="2"/>
  <c r="H1749" i="2"/>
  <c r="I1785" i="2"/>
  <c r="H1785" i="2"/>
  <c r="J1787" i="2"/>
  <c r="I1793" i="2"/>
  <c r="H1793" i="2"/>
  <c r="J1795" i="2"/>
  <c r="I1801" i="2"/>
  <c r="H1801" i="2"/>
  <c r="J1803" i="2"/>
  <c r="I1809" i="2"/>
  <c r="H1809" i="2"/>
  <c r="J1811" i="2"/>
  <c r="I1817" i="2"/>
  <c r="H1817" i="2"/>
  <c r="J1819" i="2"/>
  <c r="I1825" i="2"/>
  <c r="H1825" i="2"/>
  <c r="I1827" i="2"/>
  <c r="G1827" i="2"/>
  <c r="J1832" i="2"/>
  <c r="I1843" i="2"/>
  <c r="G1843" i="2"/>
  <c r="J1846" i="2"/>
  <c r="H1846" i="2"/>
  <c r="G1846" i="2"/>
  <c r="J1848" i="2"/>
  <c r="H1867" i="2"/>
  <c r="I2019" i="2"/>
  <c r="H2019" i="2"/>
  <c r="G2019" i="2"/>
  <c r="H2046" i="2"/>
  <c r="J2046" i="2"/>
  <c r="I2046" i="2"/>
  <c r="G2046" i="2"/>
  <c r="G2090" i="2"/>
  <c r="I2090" i="2"/>
  <c r="H2090" i="2"/>
  <c r="J2153" i="2"/>
  <c r="I2153" i="2"/>
  <c r="H2153" i="2"/>
  <c r="G2153" i="2"/>
  <c r="I1141" i="2"/>
  <c r="I1149" i="2"/>
  <c r="I1157" i="2"/>
  <c r="I1165" i="2"/>
  <c r="I1173" i="2"/>
  <c r="I1181" i="2"/>
  <c r="I1189" i="2"/>
  <c r="I1205" i="2"/>
  <c r="I1213" i="2"/>
  <c r="I1221" i="2"/>
  <c r="I1229" i="2"/>
  <c r="I1237" i="2"/>
  <c r="I1245" i="2"/>
  <c r="I1253" i="2"/>
  <c r="I1261" i="2"/>
  <c r="I1269" i="2"/>
  <c r="I1277" i="2"/>
  <c r="I1285" i="2"/>
  <c r="I1301" i="2"/>
  <c r="I1325" i="2"/>
  <c r="I1333" i="2"/>
  <c r="I1341" i="2"/>
  <c r="I1349" i="2"/>
  <c r="I1357" i="2"/>
  <c r="I1365" i="2"/>
  <c r="I1389" i="2"/>
  <c r="I1397" i="2"/>
  <c r="I1405" i="2"/>
  <c r="I1413" i="2"/>
  <c r="I1421" i="2"/>
  <c r="I1429" i="2"/>
  <c r="I1437" i="2"/>
  <c r="I1469" i="2"/>
  <c r="I1493" i="2"/>
  <c r="I1501" i="2"/>
  <c r="I1509" i="2"/>
  <c r="I1517" i="2"/>
  <c r="I1525" i="2"/>
  <c r="I1533" i="2"/>
  <c r="I1541" i="2"/>
  <c r="I1549" i="2"/>
  <c r="I1557" i="2"/>
  <c r="I1565" i="2"/>
  <c r="I1573" i="2"/>
  <c r="I1581" i="2"/>
  <c r="I1589" i="2"/>
  <c r="I1597" i="2"/>
  <c r="I1605" i="2"/>
  <c r="I1613" i="2"/>
  <c r="I1621" i="2"/>
  <c r="I1629" i="2"/>
  <c r="I1637" i="2"/>
  <c r="I1645" i="2"/>
  <c r="I1653" i="2"/>
  <c r="I1661" i="2"/>
  <c r="I1669" i="2"/>
  <c r="I1677" i="2"/>
  <c r="I1685" i="2"/>
  <c r="I1693" i="2"/>
  <c r="I1701" i="2"/>
  <c r="I1709" i="2"/>
  <c r="I1717" i="2"/>
  <c r="I1725" i="2"/>
  <c r="I1733" i="2"/>
  <c r="I1741" i="2"/>
  <c r="I1749" i="2"/>
  <c r="G1756" i="2"/>
  <c r="I1758" i="2"/>
  <c r="G1764" i="2"/>
  <c r="I1766" i="2"/>
  <c r="G1772" i="2"/>
  <c r="I1774" i="2"/>
  <c r="G1780" i="2"/>
  <c r="I1782" i="2"/>
  <c r="G1828" i="2"/>
  <c r="J1830" i="2"/>
  <c r="H1830" i="2"/>
  <c r="G1830" i="2"/>
  <c r="J1860" i="2"/>
  <c r="I1860" i="2"/>
  <c r="H1860" i="2"/>
  <c r="J1870" i="2"/>
  <c r="H1870" i="2"/>
  <c r="G1870" i="2"/>
  <c r="J1878" i="2"/>
  <c r="I1878" i="2"/>
  <c r="H1878" i="2"/>
  <c r="G1878" i="2"/>
  <c r="J1886" i="2"/>
  <c r="I1886" i="2"/>
  <c r="H1886" i="2"/>
  <c r="G1886" i="2"/>
  <c r="J1894" i="2"/>
  <c r="I1894" i="2"/>
  <c r="H1894" i="2"/>
  <c r="G1894" i="2"/>
  <c r="J1902" i="2"/>
  <c r="I1902" i="2"/>
  <c r="H1902" i="2"/>
  <c r="G1902" i="2"/>
  <c r="I2027" i="2"/>
  <c r="H2027" i="2"/>
  <c r="G2027" i="2"/>
  <c r="H2062" i="2"/>
  <c r="J2062" i="2"/>
  <c r="I2062" i="2"/>
  <c r="G2062" i="2"/>
  <c r="I2080" i="2"/>
  <c r="H2080" i="2"/>
  <c r="G2080" i="2"/>
  <c r="J2116" i="2"/>
  <c r="I2116" i="2"/>
  <c r="H2116" i="2"/>
  <c r="G2116" i="2"/>
  <c r="G1196" i="2"/>
  <c r="G1204" i="2"/>
  <c r="G1212" i="2"/>
  <c r="G1220" i="2"/>
  <c r="G1228" i="2"/>
  <c r="G1236" i="2"/>
  <c r="G1244" i="2"/>
  <c r="G1252" i="2"/>
  <c r="G1260" i="2"/>
  <c r="G1268" i="2"/>
  <c r="G1276" i="2"/>
  <c r="G1284" i="2"/>
  <c r="G1292" i="2"/>
  <c r="G1300" i="2"/>
  <c r="G1308" i="2"/>
  <c r="G1316" i="2"/>
  <c r="G1324" i="2"/>
  <c r="G1332" i="2"/>
  <c r="G1340" i="2"/>
  <c r="G1348" i="2"/>
  <c r="G1356" i="2"/>
  <c r="G1364" i="2"/>
  <c r="G1372" i="2"/>
  <c r="G1380" i="2"/>
  <c r="G1388" i="2"/>
  <c r="G1396" i="2"/>
  <c r="G1404" i="2"/>
  <c r="G1412" i="2"/>
  <c r="G1420" i="2"/>
  <c r="G1428" i="2"/>
  <c r="G1436" i="2"/>
  <c r="G1444" i="2"/>
  <c r="G1452" i="2"/>
  <c r="G1460" i="2"/>
  <c r="G1468" i="2"/>
  <c r="G1476" i="2"/>
  <c r="G1484" i="2"/>
  <c r="G1492" i="2"/>
  <c r="G1500" i="2"/>
  <c r="G1508" i="2"/>
  <c r="G1516" i="2"/>
  <c r="G1524" i="2"/>
  <c r="G1532" i="2"/>
  <c r="G1540" i="2"/>
  <c r="G1548" i="2"/>
  <c r="G1556" i="2"/>
  <c r="G1564" i="2"/>
  <c r="G1572" i="2"/>
  <c r="G1580" i="2"/>
  <c r="G1588" i="2"/>
  <c r="G1596" i="2"/>
  <c r="G1604" i="2"/>
  <c r="G1612" i="2"/>
  <c r="G1620" i="2"/>
  <c r="G1628" i="2"/>
  <c r="G1636" i="2"/>
  <c r="G1644" i="2"/>
  <c r="G1652" i="2"/>
  <c r="G1660" i="2"/>
  <c r="G1668" i="2"/>
  <c r="G1676" i="2"/>
  <c r="G1684" i="2"/>
  <c r="G1692" i="2"/>
  <c r="G1700" i="2"/>
  <c r="G1708" i="2"/>
  <c r="G1716" i="2"/>
  <c r="G1724" i="2"/>
  <c r="G1732" i="2"/>
  <c r="G1740" i="2"/>
  <c r="G1748" i="2"/>
  <c r="J1844" i="2"/>
  <c r="I1844" i="2"/>
  <c r="H1844" i="2"/>
  <c r="I1867" i="2"/>
  <c r="G1867" i="2"/>
  <c r="J1910" i="2"/>
  <c r="I1910" i="2"/>
  <c r="H1910" i="2"/>
  <c r="G1910" i="2"/>
  <c r="H2078" i="2"/>
  <c r="J2078" i="2"/>
  <c r="I2078" i="2"/>
  <c r="G2078" i="2"/>
  <c r="I2088" i="2"/>
  <c r="H2088" i="2"/>
  <c r="G2088" i="2"/>
  <c r="J2096" i="2"/>
  <c r="I2096" i="2"/>
  <c r="H2096" i="2"/>
  <c r="G2096" i="2"/>
  <c r="J1756" i="2"/>
  <c r="I1756" i="2"/>
  <c r="H1758" i="2"/>
  <c r="G1758" i="2"/>
  <c r="J1764" i="2"/>
  <c r="I1764" i="2"/>
  <c r="H1766" i="2"/>
  <c r="G1766" i="2"/>
  <c r="J1772" i="2"/>
  <c r="I1772" i="2"/>
  <c r="H1774" i="2"/>
  <c r="G1774" i="2"/>
  <c r="J1780" i="2"/>
  <c r="I1780" i="2"/>
  <c r="H1782" i="2"/>
  <c r="G1782" i="2"/>
  <c r="J1828" i="2"/>
  <c r="I1828" i="2"/>
  <c r="J1868" i="2"/>
  <c r="I1868" i="2"/>
  <c r="H1868" i="2"/>
  <c r="G1868" i="2"/>
  <c r="I1875" i="2"/>
  <c r="H1875" i="2"/>
  <c r="G1875" i="2"/>
  <c r="I1883" i="2"/>
  <c r="H1883" i="2"/>
  <c r="G1883" i="2"/>
  <c r="I1891" i="2"/>
  <c r="H1891" i="2"/>
  <c r="G1891" i="2"/>
  <c r="I1899" i="2"/>
  <c r="H1899" i="2"/>
  <c r="G1899" i="2"/>
  <c r="J1918" i="2"/>
  <c r="I1918" i="2"/>
  <c r="H1918" i="2"/>
  <c r="G1918" i="2"/>
  <c r="J1926" i="2"/>
  <c r="I1926" i="2"/>
  <c r="H1926" i="2"/>
  <c r="G1926" i="2"/>
  <c r="J1934" i="2"/>
  <c r="I1934" i="2"/>
  <c r="H1934" i="2"/>
  <c r="G1934" i="2"/>
  <c r="J1942" i="2"/>
  <c r="I1942" i="2"/>
  <c r="H1942" i="2"/>
  <c r="G1942" i="2"/>
  <c r="J1950" i="2"/>
  <c r="I1950" i="2"/>
  <c r="H1950" i="2"/>
  <c r="G1950" i="2"/>
  <c r="J1958" i="2"/>
  <c r="I1958" i="2"/>
  <c r="H1958" i="2"/>
  <c r="G1958" i="2"/>
  <c r="J1966" i="2"/>
  <c r="I1966" i="2"/>
  <c r="H1966" i="2"/>
  <c r="G1966" i="2"/>
  <c r="J1974" i="2"/>
  <c r="I1974" i="2"/>
  <c r="H1974" i="2"/>
  <c r="G1974" i="2"/>
  <c r="J2084" i="2"/>
  <c r="I2084" i="2"/>
  <c r="H2084" i="2"/>
  <c r="G2084" i="2"/>
  <c r="I2105" i="2"/>
  <c r="H2105" i="2"/>
  <c r="G2105" i="2"/>
  <c r="G1876" i="2"/>
  <c r="G1884" i="2"/>
  <c r="G1892" i="2"/>
  <c r="G1900" i="2"/>
  <c r="G1908" i="2"/>
  <c r="G1916" i="2"/>
  <c r="G1924" i="2"/>
  <c r="G1932" i="2"/>
  <c r="G1940" i="2"/>
  <c r="G1948" i="2"/>
  <c r="G1956" i="2"/>
  <c r="G1964" i="2"/>
  <c r="G1972" i="2"/>
  <c r="G1980" i="2"/>
  <c r="G1988" i="2"/>
  <c r="G1996" i="2"/>
  <c r="G2004" i="2"/>
  <c r="G2012" i="2"/>
  <c r="G2020" i="2"/>
  <c r="G2028" i="2"/>
  <c r="G2040" i="2"/>
  <c r="G2056" i="2"/>
  <c r="G2072" i="2"/>
  <c r="J2112" i="2"/>
  <c r="I2112" i="2"/>
  <c r="I2117" i="2"/>
  <c r="H2117" i="2"/>
  <c r="G2117" i="2"/>
  <c r="J2145" i="2"/>
  <c r="I2145" i="2"/>
  <c r="H2145" i="2"/>
  <c r="G2145" i="2"/>
  <c r="J2181" i="2"/>
  <c r="I2181" i="2"/>
  <c r="H2181" i="2"/>
  <c r="G2181" i="2"/>
  <c r="H2205" i="2"/>
  <c r="G2205" i="2"/>
  <c r="I2214" i="2"/>
  <c r="H2214" i="2"/>
  <c r="G2214" i="2"/>
  <c r="G2216" i="2"/>
  <c r="J2216" i="2"/>
  <c r="I2229" i="2"/>
  <c r="J2229" i="2"/>
  <c r="H2229" i="2"/>
  <c r="G2229" i="2"/>
  <c r="H1876" i="2"/>
  <c r="H1884" i="2"/>
  <c r="H1892" i="2"/>
  <c r="H1900" i="2"/>
  <c r="H1908" i="2"/>
  <c r="H1916" i="2"/>
  <c r="H1924" i="2"/>
  <c r="H1932" i="2"/>
  <c r="H1940" i="2"/>
  <c r="H1948" i="2"/>
  <c r="H1956" i="2"/>
  <c r="H1964" i="2"/>
  <c r="H1972" i="2"/>
  <c r="H1980" i="2"/>
  <c r="H1988" i="2"/>
  <c r="H1996" i="2"/>
  <c r="H2004" i="2"/>
  <c r="H2012" i="2"/>
  <c r="H2020" i="2"/>
  <c r="H2028" i="2"/>
  <c r="G2033" i="2"/>
  <c r="H2040" i="2"/>
  <c r="G2049" i="2"/>
  <c r="H2056" i="2"/>
  <c r="G2065" i="2"/>
  <c r="H2072" i="2"/>
  <c r="G2100" i="2"/>
  <c r="G2113" i="2"/>
  <c r="H2122" i="2"/>
  <c r="G2122" i="2"/>
  <c r="I2157" i="2"/>
  <c r="H2157" i="2"/>
  <c r="G2157" i="2"/>
  <c r="H2163" i="2"/>
  <c r="G2163" i="2"/>
  <c r="J2163" i="2"/>
  <c r="I2163" i="2"/>
  <c r="H2165" i="2"/>
  <c r="G2165" i="2"/>
  <c r="H2203" i="2"/>
  <c r="G2203" i="2"/>
  <c r="I2203" i="2"/>
  <c r="J2467" i="2"/>
  <c r="I2467" i="2"/>
  <c r="H2467" i="2"/>
  <c r="G2467" i="2"/>
  <c r="J2479" i="2"/>
  <c r="I2479" i="2"/>
  <c r="H2479" i="2"/>
  <c r="G2479" i="2"/>
  <c r="J2507" i="2"/>
  <c r="I2507" i="2"/>
  <c r="H2507" i="2"/>
  <c r="G2507" i="2"/>
  <c r="H1833" i="2"/>
  <c r="H1841" i="2"/>
  <c r="H1849" i="2"/>
  <c r="H1857" i="2"/>
  <c r="H1865" i="2"/>
  <c r="H1873" i="2"/>
  <c r="I1876" i="2"/>
  <c r="H1881" i="2"/>
  <c r="I1884" i="2"/>
  <c r="H1889" i="2"/>
  <c r="I1892" i="2"/>
  <c r="H1897" i="2"/>
  <c r="I1900" i="2"/>
  <c r="H1905" i="2"/>
  <c r="I1908" i="2"/>
  <c r="H1913" i="2"/>
  <c r="I1916" i="2"/>
  <c r="H1921" i="2"/>
  <c r="I1924" i="2"/>
  <c r="H1929" i="2"/>
  <c r="I1932" i="2"/>
  <c r="H1937" i="2"/>
  <c r="I1940" i="2"/>
  <c r="H1945" i="2"/>
  <c r="I1948" i="2"/>
  <c r="H1953" i="2"/>
  <c r="I1956" i="2"/>
  <c r="H1961" i="2"/>
  <c r="I1964" i="2"/>
  <c r="H1969" i="2"/>
  <c r="I1972" i="2"/>
  <c r="H1977" i="2"/>
  <c r="I1980" i="2"/>
  <c r="H1985" i="2"/>
  <c r="I1988" i="2"/>
  <c r="H1993" i="2"/>
  <c r="I1996" i="2"/>
  <c r="H2001" i="2"/>
  <c r="I2004" i="2"/>
  <c r="H2009" i="2"/>
  <c r="I2012" i="2"/>
  <c r="H2017" i="2"/>
  <c r="I2020" i="2"/>
  <c r="H2025" i="2"/>
  <c r="I2028" i="2"/>
  <c r="H2033" i="2"/>
  <c r="H2035" i="2"/>
  <c r="I2040" i="2"/>
  <c r="H2042" i="2"/>
  <c r="G2044" i="2"/>
  <c r="H2049" i="2"/>
  <c r="H2051" i="2"/>
  <c r="I2056" i="2"/>
  <c r="H2058" i="2"/>
  <c r="G2060" i="2"/>
  <c r="H2065" i="2"/>
  <c r="H2067" i="2"/>
  <c r="I2072" i="2"/>
  <c r="H2074" i="2"/>
  <c r="G2076" i="2"/>
  <c r="J2083" i="2"/>
  <c r="G2083" i="2"/>
  <c r="J2091" i="2"/>
  <c r="G2091" i="2"/>
  <c r="H2100" i="2"/>
  <c r="H2106" i="2"/>
  <c r="G2106" i="2"/>
  <c r="G2109" i="2"/>
  <c r="H2113" i="2"/>
  <c r="J2120" i="2"/>
  <c r="I2120" i="2"/>
  <c r="H2120" i="2"/>
  <c r="G2120" i="2"/>
  <c r="I2125" i="2"/>
  <c r="H2125" i="2"/>
  <c r="G2125" i="2"/>
  <c r="H2130" i="2"/>
  <c r="G2130" i="2"/>
  <c r="H2173" i="2"/>
  <c r="G2173" i="2"/>
  <c r="I2182" i="2"/>
  <c r="H2182" i="2"/>
  <c r="G2182" i="2"/>
  <c r="J2201" i="2"/>
  <c r="I2201" i="2"/>
  <c r="H2201" i="2"/>
  <c r="I2230" i="2"/>
  <c r="H2230" i="2"/>
  <c r="G2230" i="2"/>
  <c r="G2232" i="2"/>
  <c r="J2232" i="2"/>
  <c r="H2453" i="2"/>
  <c r="I2453" i="2"/>
  <c r="G2453" i="2"/>
  <c r="J2453" i="2"/>
  <c r="J2033" i="2"/>
  <c r="I2035" i="2"/>
  <c r="H2044" i="2"/>
  <c r="J2049" i="2"/>
  <c r="I2051" i="2"/>
  <c r="H2060" i="2"/>
  <c r="J2065" i="2"/>
  <c r="I2067" i="2"/>
  <c r="H2076" i="2"/>
  <c r="I2100" i="2"/>
  <c r="J2104" i="2"/>
  <c r="I2104" i="2"/>
  <c r="J2113" i="2"/>
  <c r="J2133" i="2"/>
  <c r="I2133" i="2"/>
  <c r="H2133" i="2"/>
  <c r="G2133" i="2"/>
  <c r="I2149" i="2"/>
  <c r="H2149" i="2"/>
  <c r="G2149" i="2"/>
  <c r="H2155" i="2"/>
  <c r="G2155" i="2"/>
  <c r="J2155" i="2"/>
  <c r="I2155" i="2"/>
  <c r="H2171" i="2"/>
  <c r="G2171" i="2"/>
  <c r="I2171" i="2"/>
  <c r="J2225" i="2"/>
  <c r="I2225" i="2"/>
  <c r="H2225" i="2"/>
  <c r="G2225" i="2"/>
  <c r="I2109" i="2"/>
  <c r="H2109" i="2"/>
  <c r="J2128" i="2"/>
  <c r="I2128" i="2"/>
  <c r="H2128" i="2"/>
  <c r="G2128" i="2"/>
  <c r="J2161" i="2"/>
  <c r="I2161" i="2"/>
  <c r="H2161" i="2"/>
  <c r="G2161" i="2"/>
  <c r="G2192" i="2"/>
  <c r="I2192" i="2"/>
  <c r="H2192" i="2"/>
  <c r="J2427" i="2"/>
  <c r="I2427" i="2"/>
  <c r="H2427" i="2"/>
  <c r="G2427" i="2"/>
  <c r="J2451" i="2"/>
  <c r="H2451" i="2"/>
  <c r="I2451" i="2"/>
  <c r="G2451" i="2"/>
  <c r="G2041" i="2"/>
  <c r="G2057" i="2"/>
  <c r="G2073" i="2"/>
  <c r="H2098" i="2"/>
  <c r="G2098" i="2"/>
  <c r="I2141" i="2"/>
  <c r="H2141" i="2"/>
  <c r="G2141" i="2"/>
  <c r="H2147" i="2"/>
  <c r="G2147" i="2"/>
  <c r="J2147" i="2"/>
  <c r="I2147" i="2"/>
  <c r="J2169" i="2"/>
  <c r="I2169" i="2"/>
  <c r="G2169" i="2"/>
  <c r="I2190" i="2"/>
  <c r="H2190" i="2"/>
  <c r="G2190" i="2"/>
  <c r="J2190" i="2"/>
  <c r="J2281" i="2"/>
  <c r="I2281" i="2"/>
  <c r="H2281" i="2"/>
  <c r="G2281" i="2"/>
  <c r="I2286" i="2"/>
  <c r="H2286" i="2"/>
  <c r="G2286" i="2"/>
  <c r="J2313" i="2"/>
  <c r="I2313" i="2"/>
  <c r="H2313" i="2"/>
  <c r="G2313" i="2"/>
  <c r="I2318" i="2"/>
  <c r="H2318" i="2"/>
  <c r="G2318" i="2"/>
  <c r="J2345" i="2"/>
  <c r="I2345" i="2"/>
  <c r="H2345" i="2"/>
  <c r="G2345" i="2"/>
  <c r="I2350" i="2"/>
  <c r="H2350" i="2"/>
  <c r="G2350" i="2"/>
  <c r="J2377" i="2"/>
  <c r="I2377" i="2"/>
  <c r="H2377" i="2"/>
  <c r="G2377" i="2"/>
  <c r="I2382" i="2"/>
  <c r="H2382" i="2"/>
  <c r="G2382" i="2"/>
  <c r="J2409" i="2"/>
  <c r="I2409" i="2"/>
  <c r="H2409" i="2"/>
  <c r="G2409" i="2"/>
  <c r="I2414" i="2"/>
  <c r="H2414" i="2"/>
  <c r="G2414" i="2"/>
  <c r="H2493" i="2"/>
  <c r="G2493" i="2"/>
  <c r="J2493" i="2"/>
  <c r="I2493" i="2"/>
  <c r="G2099" i="2"/>
  <c r="G2107" i="2"/>
  <c r="G2115" i="2"/>
  <c r="G2123" i="2"/>
  <c r="I2129" i="2"/>
  <c r="G2131" i="2"/>
  <c r="I2134" i="2"/>
  <c r="H2134" i="2"/>
  <c r="J2136" i="2"/>
  <c r="I2144" i="2"/>
  <c r="I2152" i="2"/>
  <c r="I2160" i="2"/>
  <c r="H2168" i="2"/>
  <c r="I2176" i="2"/>
  <c r="J2193" i="2"/>
  <c r="I2193" i="2"/>
  <c r="H2193" i="2"/>
  <c r="H2195" i="2"/>
  <c r="G2195" i="2"/>
  <c r="I2208" i="2"/>
  <c r="J2221" i="2"/>
  <c r="J2237" i="2"/>
  <c r="J2289" i="2"/>
  <c r="I2289" i="2"/>
  <c r="H2289" i="2"/>
  <c r="G2289" i="2"/>
  <c r="I2294" i="2"/>
  <c r="H2294" i="2"/>
  <c r="G2294" i="2"/>
  <c r="J2321" i="2"/>
  <c r="I2321" i="2"/>
  <c r="H2321" i="2"/>
  <c r="G2321" i="2"/>
  <c r="I2326" i="2"/>
  <c r="H2326" i="2"/>
  <c r="G2326" i="2"/>
  <c r="J2353" i="2"/>
  <c r="I2353" i="2"/>
  <c r="H2353" i="2"/>
  <c r="G2353" i="2"/>
  <c r="I2358" i="2"/>
  <c r="H2358" i="2"/>
  <c r="G2358" i="2"/>
  <c r="J2385" i="2"/>
  <c r="I2385" i="2"/>
  <c r="H2385" i="2"/>
  <c r="G2385" i="2"/>
  <c r="I2390" i="2"/>
  <c r="H2390" i="2"/>
  <c r="G2390" i="2"/>
  <c r="J2417" i="2"/>
  <c r="I2417" i="2"/>
  <c r="H2417" i="2"/>
  <c r="G2417" i="2"/>
  <c r="I2422" i="2"/>
  <c r="H2422" i="2"/>
  <c r="G2422" i="2"/>
  <c r="I2436" i="2"/>
  <c r="H2436" i="2"/>
  <c r="G2436" i="2"/>
  <c r="H2541" i="2"/>
  <c r="G2541" i="2"/>
  <c r="J2541" i="2"/>
  <c r="I2541" i="2"/>
  <c r="J2587" i="2"/>
  <c r="I2587" i="2"/>
  <c r="H2587" i="2"/>
  <c r="G2587" i="2"/>
  <c r="I2142" i="2"/>
  <c r="H2142" i="2"/>
  <c r="I2150" i="2"/>
  <c r="H2150" i="2"/>
  <c r="I2158" i="2"/>
  <c r="H2158" i="2"/>
  <c r="I2174" i="2"/>
  <c r="H2174" i="2"/>
  <c r="G2174" i="2"/>
  <c r="I2206" i="2"/>
  <c r="H2206" i="2"/>
  <c r="G2206" i="2"/>
  <c r="J2217" i="2"/>
  <c r="I2217" i="2"/>
  <c r="H2217" i="2"/>
  <c r="J2233" i="2"/>
  <c r="I2233" i="2"/>
  <c r="H2233" i="2"/>
  <c r="I2270" i="2"/>
  <c r="H2270" i="2"/>
  <c r="G2270" i="2"/>
  <c r="J2449" i="2"/>
  <c r="H2449" i="2"/>
  <c r="G2449" i="2"/>
  <c r="J2491" i="2"/>
  <c r="I2491" i="2"/>
  <c r="H2491" i="2"/>
  <c r="G2491" i="2"/>
  <c r="H2549" i="2"/>
  <c r="G2549" i="2"/>
  <c r="J2549" i="2"/>
  <c r="H2557" i="2"/>
  <c r="G2557" i="2"/>
  <c r="J2557" i="2"/>
  <c r="H2565" i="2"/>
  <c r="G2565" i="2"/>
  <c r="J2565" i="2"/>
  <c r="I2166" i="2"/>
  <c r="H2166" i="2"/>
  <c r="J2185" i="2"/>
  <c r="I2185" i="2"/>
  <c r="H2185" i="2"/>
  <c r="H2187" i="2"/>
  <c r="G2187" i="2"/>
  <c r="I2254" i="2"/>
  <c r="H2254" i="2"/>
  <c r="G2254" i="2"/>
  <c r="J2273" i="2"/>
  <c r="I2273" i="2"/>
  <c r="H2273" i="2"/>
  <c r="G2273" i="2"/>
  <c r="J2297" i="2"/>
  <c r="I2297" i="2"/>
  <c r="H2297" i="2"/>
  <c r="G2297" i="2"/>
  <c r="I2302" i="2"/>
  <c r="H2302" i="2"/>
  <c r="G2302" i="2"/>
  <c r="J2329" i="2"/>
  <c r="I2329" i="2"/>
  <c r="H2329" i="2"/>
  <c r="G2329" i="2"/>
  <c r="I2334" i="2"/>
  <c r="H2334" i="2"/>
  <c r="G2334" i="2"/>
  <c r="J2361" i="2"/>
  <c r="I2361" i="2"/>
  <c r="H2361" i="2"/>
  <c r="G2361" i="2"/>
  <c r="I2366" i="2"/>
  <c r="H2366" i="2"/>
  <c r="G2366" i="2"/>
  <c r="J2393" i="2"/>
  <c r="I2393" i="2"/>
  <c r="H2393" i="2"/>
  <c r="G2393" i="2"/>
  <c r="I2398" i="2"/>
  <c r="H2398" i="2"/>
  <c r="G2398" i="2"/>
  <c r="J2425" i="2"/>
  <c r="I2425" i="2"/>
  <c r="H2425" i="2"/>
  <c r="G2425" i="2"/>
  <c r="J2441" i="2"/>
  <c r="I2441" i="2"/>
  <c r="H2441" i="2"/>
  <c r="G2441" i="2"/>
  <c r="J2459" i="2"/>
  <c r="H2459" i="2"/>
  <c r="G2459" i="2"/>
  <c r="J2531" i="2"/>
  <c r="I2531" i="2"/>
  <c r="H2531" i="2"/>
  <c r="G2531" i="2"/>
  <c r="J2539" i="2"/>
  <c r="I2539" i="2"/>
  <c r="H2539" i="2"/>
  <c r="G2539" i="2"/>
  <c r="I2198" i="2"/>
  <c r="H2198" i="2"/>
  <c r="G2198" i="2"/>
  <c r="J2200" i="2"/>
  <c r="I2222" i="2"/>
  <c r="H2222" i="2"/>
  <c r="G2222" i="2"/>
  <c r="G2224" i="2"/>
  <c r="J2224" i="2"/>
  <c r="I2238" i="2"/>
  <c r="H2238" i="2"/>
  <c r="G2238" i="2"/>
  <c r="G2240" i="2"/>
  <c r="J2240" i="2"/>
  <c r="J2257" i="2"/>
  <c r="I2257" i="2"/>
  <c r="H2257" i="2"/>
  <c r="G2257" i="2"/>
  <c r="H2509" i="2"/>
  <c r="G2509" i="2"/>
  <c r="J2509" i="2"/>
  <c r="I2509" i="2"/>
  <c r="J2137" i="2"/>
  <c r="I2137" i="2"/>
  <c r="H2139" i="2"/>
  <c r="G2139" i="2"/>
  <c r="J2177" i="2"/>
  <c r="I2177" i="2"/>
  <c r="H2177" i="2"/>
  <c r="H2179" i="2"/>
  <c r="G2179" i="2"/>
  <c r="J2209" i="2"/>
  <c r="I2209" i="2"/>
  <c r="H2209" i="2"/>
  <c r="H2211" i="2"/>
  <c r="G2211" i="2"/>
  <c r="J2241" i="2"/>
  <c r="I2241" i="2"/>
  <c r="H2241" i="2"/>
  <c r="G2241" i="2"/>
  <c r="I2278" i="2"/>
  <c r="H2278" i="2"/>
  <c r="G2278" i="2"/>
  <c r="J2305" i="2"/>
  <c r="I2305" i="2"/>
  <c r="H2305" i="2"/>
  <c r="G2305" i="2"/>
  <c r="I2310" i="2"/>
  <c r="H2310" i="2"/>
  <c r="G2310" i="2"/>
  <c r="J2337" i="2"/>
  <c r="I2337" i="2"/>
  <c r="H2337" i="2"/>
  <c r="G2337" i="2"/>
  <c r="I2342" i="2"/>
  <c r="H2342" i="2"/>
  <c r="G2342" i="2"/>
  <c r="J2369" i="2"/>
  <c r="I2369" i="2"/>
  <c r="H2369" i="2"/>
  <c r="G2369" i="2"/>
  <c r="I2374" i="2"/>
  <c r="H2374" i="2"/>
  <c r="G2374" i="2"/>
  <c r="J2401" i="2"/>
  <c r="I2401" i="2"/>
  <c r="H2401" i="2"/>
  <c r="G2401" i="2"/>
  <c r="I2406" i="2"/>
  <c r="H2406" i="2"/>
  <c r="G2406" i="2"/>
  <c r="H2429" i="2"/>
  <c r="I2429" i="2"/>
  <c r="G2429" i="2"/>
  <c r="G2434" i="2"/>
  <c r="J2434" i="2"/>
  <c r="I2434" i="2"/>
  <c r="H2434" i="2"/>
  <c r="H2445" i="2"/>
  <c r="J2445" i="2"/>
  <c r="I2445" i="2"/>
  <c r="G2445" i="2"/>
  <c r="H2469" i="2"/>
  <c r="G2469" i="2"/>
  <c r="I2469" i="2"/>
  <c r="J2256" i="2"/>
  <c r="J2264" i="2"/>
  <c r="J2272" i="2"/>
  <c r="I2285" i="2"/>
  <c r="I2293" i="2"/>
  <c r="I2301" i="2"/>
  <c r="I2309" i="2"/>
  <c r="I2317" i="2"/>
  <c r="I2325" i="2"/>
  <c r="I2333" i="2"/>
  <c r="I2341" i="2"/>
  <c r="I2349" i="2"/>
  <c r="I2357" i="2"/>
  <c r="I2365" i="2"/>
  <c r="I2373" i="2"/>
  <c r="I2381" i="2"/>
  <c r="I2389" i="2"/>
  <c r="I2397" i="2"/>
  <c r="I2405" i="2"/>
  <c r="I2413" i="2"/>
  <c r="I2421" i="2"/>
  <c r="I2426" i="2"/>
  <c r="I2433" i="2"/>
  <c r="H2435" i="2"/>
  <c r="I2442" i="2"/>
  <c r="I2463" i="2"/>
  <c r="I2480" i="2"/>
  <c r="H2480" i="2"/>
  <c r="G2480" i="2"/>
  <c r="I2485" i="2"/>
  <c r="J2547" i="2"/>
  <c r="I2547" i="2"/>
  <c r="H2547" i="2"/>
  <c r="G2547" i="2"/>
  <c r="H2613" i="2"/>
  <c r="G2613" i="2"/>
  <c r="J2613" i="2"/>
  <c r="J2651" i="2"/>
  <c r="I2651" i="2"/>
  <c r="H2651" i="2"/>
  <c r="G2651" i="2"/>
  <c r="J2894" i="2"/>
  <c r="I2894" i="2"/>
  <c r="H2894" i="2"/>
  <c r="G2894" i="2"/>
  <c r="J2902" i="2"/>
  <c r="I2902" i="2"/>
  <c r="H2902" i="2"/>
  <c r="G2902" i="2"/>
  <c r="J2426" i="2"/>
  <c r="I2435" i="2"/>
  <c r="J2442" i="2"/>
  <c r="I2496" i="2"/>
  <c r="H2496" i="2"/>
  <c r="G2496" i="2"/>
  <c r="I2512" i="2"/>
  <c r="H2512" i="2"/>
  <c r="G2512" i="2"/>
  <c r="H2517" i="2"/>
  <c r="G2517" i="2"/>
  <c r="J2517" i="2"/>
  <c r="J2555" i="2"/>
  <c r="I2555" i="2"/>
  <c r="H2555" i="2"/>
  <c r="G2555" i="2"/>
  <c r="J2563" i="2"/>
  <c r="I2563" i="2"/>
  <c r="H2563" i="2"/>
  <c r="G2563" i="2"/>
  <c r="H2573" i="2"/>
  <c r="G2573" i="2"/>
  <c r="J2573" i="2"/>
  <c r="J2595" i="2"/>
  <c r="I2595" i="2"/>
  <c r="H2595" i="2"/>
  <c r="G2595" i="2"/>
  <c r="J2659" i="2"/>
  <c r="I2659" i="2"/>
  <c r="H2659" i="2"/>
  <c r="G2659" i="2"/>
  <c r="J2886" i="2"/>
  <c r="I2886" i="2"/>
  <c r="H2886" i="2"/>
  <c r="G2886" i="2"/>
  <c r="I2987" i="2"/>
  <c r="H2987" i="2"/>
  <c r="G2987" i="2"/>
  <c r="J2987" i="2"/>
  <c r="J2483" i="2"/>
  <c r="I2483" i="2"/>
  <c r="H2483" i="2"/>
  <c r="H2485" i="2"/>
  <c r="G2485" i="2"/>
  <c r="J2499" i="2"/>
  <c r="I2499" i="2"/>
  <c r="H2499" i="2"/>
  <c r="G2499" i="2"/>
  <c r="H2501" i="2"/>
  <c r="G2501" i="2"/>
  <c r="J2515" i="2"/>
  <c r="I2515" i="2"/>
  <c r="H2515" i="2"/>
  <c r="G2515" i="2"/>
  <c r="J2603" i="2"/>
  <c r="I2603" i="2"/>
  <c r="H2603" i="2"/>
  <c r="G2603" i="2"/>
  <c r="J2667" i="2"/>
  <c r="I2667" i="2"/>
  <c r="H2667" i="2"/>
  <c r="G2667" i="2"/>
  <c r="I2979" i="2"/>
  <c r="H2979" i="2"/>
  <c r="G2979" i="2"/>
  <c r="J2979" i="2"/>
  <c r="I2448" i="2"/>
  <c r="G2448" i="2"/>
  <c r="I2472" i="2"/>
  <c r="H2472" i="2"/>
  <c r="G2472" i="2"/>
  <c r="H2525" i="2"/>
  <c r="G2525" i="2"/>
  <c r="J2525" i="2"/>
  <c r="J2571" i="2"/>
  <c r="I2571" i="2"/>
  <c r="H2571" i="2"/>
  <c r="G2571" i="2"/>
  <c r="H2581" i="2"/>
  <c r="G2581" i="2"/>
  <c r="J2581" i="2"/>
  <c r="J2611" i="2"/>
  <c r="I2611" i="2"/>
  <c r="H2611" i="2"/>
  <c r="G2611" i="2"/>
  <c r="J2675" i="2"/>
  <c r="I2675" i="2"/>
  <c r="H2675" i="2"/>
  <c r="G2675" i="2"/>
  <c r="I2755" i="2"/>
  <c r="H2755" i="2"/>
  <c r="G2755" i="2"/>
  <c r="J2755" i="2"/>
  <c r="I2971" i="2"/>
  <c r="H2971" i="2"/>
  <c r="G2971" i="2"/>
  <c r="J2971" i="2"/>
  <c r="G2219" i="2"/>
  <c r="G2227" i="2"/>
  <c r="G2235" i="2"/>
  <c r="G2243" i="2"/>
  <c r="G2251" i="2"/>
  <c r="G2259" i="2"/>
  <c r="G2267" i="2"/>
  <c r="G2275" i="2"/>
  <c r="G2283" i="2"/>
  <c r="G2291" i="2"/>
  <c r="G2299" i="2"/>
  <c r="G2307" i="2"/>
  <c r="G2315" i="2"/>
  <c r="G2323" i="2"/>
  <c r="G2331" i="2"/>
  <c r="G2339" i="2"/>
  <c r="G2347" i="2"/>
  <c r="G2355" i="2"/>
  <c r="G2363" i="2"/>
  <c r="G2371" i="2"/>
  <c r="G2379" i="2"/>
  <c r="G2387" i="2"/>
  <c r="G2395" i="2"/>
  <c r="G2403" i="2"/>
  <c r="G2411" i="2"/>
  <c r="G2419" i="2"/>
  <c r="J2432" i="2"/>
  <c r="G2447" i="2"/>
  <c r="I2456" i="2"/>
  <c r="G2456" i="2"/>
  <c r="J2466" i="2"/>
  <c r="J2523" i="2"/>
  <c r="I2523" i="2"/>
  <c r="H2523" i="2"/>
  <c r="G2523" i="2"/>
  <c r="J2619" i="2"/>
  <c r="I2619" i="2"/>
  <c r="H2619" i="2"/>
  <c r="G2619" i="2"/>
  <c r="J2683" i="2"/>
  <c r="I2683" i="2"/>
  <c r="H2683" i="2"/>
  <c r="G2683" i="2"/>
  <c r="J2691" i="2"/>
  <c r="I2691" i="2"/>
  <c r="H2691" i="2"/>
  <c r="G2691" i="2"/>
  <c r="J2699" i="2"/>
  <c r="I2699" i="2"/>
  <c r="H2699" i="2"/>
  <c r="G2699" i="2"/>
  <c r="J2707" i="2"/>
  <c r="I2707" i="2"/>
  <c r="H2707" i="2"/>
  <c r="G2707" i="2"/>
  <c r="J2715" i="2"/>
  <c r="I2715" i="2"/>
  <c r="H2715" i="2"/>
  <c r="G2715" i="2"/>
  <c r="J2723" i="2"/>
  <c r="I2723" i="2"/>
  <c r="H2723" i="2"/>
  <c r="G2723" i="2"/>
  <c r="J2731" i="2"/>
  <c r="I2731" i="2"/>
  <c r="H2731" i="2"/>
  <c r="G2731" i="2"/>
  <c r="J2739" i="2"/>
  <c r="I2739" i="2"/>
  <c r="H2739" i="2"/>
  <c r="G2739" i="2"/>
  <c r="J2747" i="2"/>
  <c r="I2747" i="2"/>
  <c r="H2747" i="2"/>
  <c r="G2747" i="2"/>
  <c r="J2838" i="2"/>
  <c r="I2838" i="2"/>
  <c r="H2838" i="2"/>
  <c r="G2838" i="2"/>
  <c r="J2443" i="2"/>
  <c r="H2443" i="2"/>
  <c r="G2457" i="2"/>
  <c r="G2461" i="2"/>
  <c r="I2464" i="2"/>
  <c r="G2464" i="2"/>
  <c r="J2475" i="2"/>
  <c r="I2475" i="2"/>
  <c r="H2475" i="2"/>
  <c r="H2477" i="2"/>
  <c r="G2477" i="2"/>
  <c r="I2488" i="2"/>
  <c r="H2488" i="2"/>
  <c r="G2488" i="2"/>
  <c r="I2504" i="2"/>
  <c r="H2504" i="2"/>
  <c r="G2504" i="2"/>
  <c r="H2533" i="2"/>
  <c r="G2533" i="2"/>
  <c r="J2533" i="2"/>
  <c r="J2579" i="2"/>
  <c r="I2579" i="2"/>
  <c r="H2579" i="2"/>
  <c r="G2579" i="2"/>
  <c r="H2589" i="2"/>
  <c r="G2589" i="2"/>
  <c r="J2589" i="2"/>
  <c r="J2627" i="2"/>
  <c r="I2627" i="2"/>
  <c r="H2627" i="2"/>
  <c r="G2627" i="2"/>
  <c r="J2942" i="2"/>
  <c r="I2942" i="2"/>
  <c r="H2942" i="2"/>
  <c r="G2942" i="2"/>
  <c r="J2950" i="2"/>
  <c r="I2950" i="2"/>
  <c r="H2950" i="2"/>
  <c r="G2950" i="2"/>
  <c r="H2519" i="2"/>
  <c r="I2522" i="2"/>
  <c r="H2527" i="2"/>
  <c r="I2530" i="2"/>
  <c r="H2535" i="2"/>
  <c r="I2538" i="2"/>
  <c r="H2543" i="2"/>
  <c r="I2546" i="2"/>
  <c r="H2551" i="2"/>
  <c r="I2554" i="2"/>
  <c r="I2562" i="2"/>
  <c r="J2621" i="2"/>
  <c r="J2629" i="2"/>
  <c r="J2637" i="2"/>
  <c r="J2645" i="2"/>
  <c r="J2653" i="2"/>
  <c r="J2661" i="2"/>
  <c r="J2669" i="2"/>
  <c r="J2677" i="2"/>
  <c r="J2685" i="2"/>
  <c r="J2693" i="2"/>
  <c r="J2701" i="2"/>
  <c r="J2709" i="2"/>
  <c r="J2717" i="2"/>
  <c r="J2725" i="2"/>
  <c r="J2733" i="2"/>
  <c r="J2741" i="2"/>
  <c r="J2758" i="2"/>
  <c r="I2758" i="2"/>
  <c r="H2758" i="2"/>
  <c r="G2758" i="2"/>
  <c r="I2763" i="2"/>
  <c r="H2763" i="2"/>
  <c r="G2763" i="2"/>
  <c r="J2774" i="2"/>
  <c r="I2774" i="2"/>
  <c r="H2774" i="2"/>
  <c r="G2774" i="2"/>
  <c r="I2779" i="2"/>
  <c r="H2779" i="2"/>
  <c r="G2779" i="2"/>
  <c r="J2790" i="2"/>
  <c r="I2790" i="2"/>
  <c r="H2790" i="2"/>
  <c r="G2790" i="2"/>
  <c r="J2798" i="2"/>
  <c r="I2798" i="2"/>
  <c r="H2798" i="2"/>
  <c r="G2798" i="2"/>
  <c r="I2899" i="2"/>
  <c r="H2899" i="2"/>
  <c r="G2899" i="2"/>
  <c r="J2910" i="2"/>
  <c r="I2910" i="2"/>
  <c r="H2910" i="2"/>
  <c r="G2910" i="2"/>
  <c r="J2918" i="2"/>
  <c r="I2918" i="2"/>
  <c r="H2918" i="2"/>
  <c r="G2918" i="2"/>
  <c r="J2926" i="2"/>
  <c r="I2926" i="2"/>
  <c r="H2926" i="2"/>
  <c r="G2926" i="2"/>
  <c r="I2963" i="2"/>
  <c r="H2963" i="2"/>
  <c r="G2963" i="2"/>
  <c r="H3041" i="2"/>
  <c r="G3041" i="2"/>
  <c r="I3041" i="2"/>
  <c r="I3169" i="2"/>
  <c r="J3169" i="2"/>
  <c r="H3169" i="2"/>
  <c r="G3169" i="2"/>
  <c r="H3178" i="2"/>
  <c r="G3178" i="2"/>
  <c r="J3178" i="2"/>
  <c r="I3178" i="2"/>
  <c r="I3257" i="2"/>
  <c r="G3257" i="2"/>
  <c r="J3257" i="2"/>
  <c r="H3257" i="2"/>
  <c r="J3274" i="2"/>
  <c r="H3274" i="2"/>
  <c r="G3274" i="2"/>
  <c r="I3274" i="2"/>
  <c r="J3410" i="2"/>
  <c r="H3410" i="2"/>
  <c r="G3410" i="2"/>
  <c r="I3410" i="2"/>
  <c r="J2766" i="2"/>
  <c r="I2766" i="2"/>
  <c r="H2766" i="2"/>
  <c r="G2766" i="2"/>
  <c r="I2771" i="2"/>
  <c r="H2771" i="2"/>
  <c r="G2771" i="2"/>
  <c r="J2782" i="2"/>
  <c r="I2782" i="2"/>
  <c r="H2782" i="2"/>
  <c r="G2782" i="2"/>
  <c r="I2787" i="2"/>
  <c r="H2787" i="2"/>
  <c r="G2787" i="2"/>
  <c r="I2795" i="2"/>
  <c r="H2795" i="2"/>
  <c r="G2795" i="2"/>
  <c r="I2811" i="2"/>
  <c r="H2811" i="2"/>
  <c r="G2811" i="2"/>
  <c r="I2891" i="2"/>
  <c r="H2891" i="2"/>
  <c r="G2891" i="2"/>
  <c r="I2907" i="2"/>
  <c r="H2907" i="2"/>
  <c r="G2907" i="2"/>
  <c r="I2915" i="2"/>
  <c r="H2915" i="2"/>
  <c r="G2915" i="2"/>
  <c r="I2923" i="2"/>
  <c r="H2923" i="2"/>
  <c r="G2923" i="2"/>
  <c r="J2934" i="2"/>
  <c r="I2934" i="2"/>
  <c r="H2934" i="2"/>
  <c r="G2934" i="2"/>
  <c r="I2955" i="2"/>
  <c r="H2955" i="2"/>
  <c r="G2955" i="2"/>
  <c r="H3025" i="2"/>
  <c r="G3025" i="2"/>
  <c r="I3025" i="2"/>
  <c r="G3123" i="2"/>
  <c r="J3123" i="2"/>
  <c r="I3123" i="2"/>
  <c r="H3123" i="2"/>
  <c r="G3134" i="2"/>
  <c r="J3134" i="2"/>
  <c r="I3134" i="2"/>
  <c r="H3134" i="2"/>
  <c r="H3166" i="2"/>
  <c r="J3166" i="2"/>
  <c r="I3166" i="2"/>
  <c r="G3166" i="2"/>
  <c r="I3197" i="2"/>
  <c r="J3197" i="2"/>
  <c r="H3197" i="2"/>
  <c r="G3197" i="2"/>
  <c r="H2537" i="2"/>
  <c r="H2545" i="2"/>
  <c r="H2553" i="2"/>
  <c r="H2561" i="2"/>
  <c r="H2569" i="2"/>
  <c r="H2577" i="2"/>
  <c r="H2585" i="2"/>
  <c r="H2593" i="2"/>
  <c r="I2596" i="2"/>
  <c r="H2601" i="2"/>
  <c r="I2604" i="2"/>
  <c r="H2609" i="2"/>
  <c r="I2612" i="2"/>
  <c r="H2617" i="2"/>
  <c r="I2620" i="2"/>
  <c r="H2625" i="2"/>
  <c r="I2628" i="2"/>
  <c r="H2633" i="2"/>
  <c r="I2636" i="2"/>
  <c r="H2641" i="2"/>
  <c r="I2644" i="2"/>
  <c r="H2649" i="2"/>
  <c r="I2652" i="2"/>
  <c r="H2657" i="2"/>
  <c r="I2660" i="2"/>
  <c r="H2665" i="2"/>
  <c r="I2668" i="2"/>
  <c r="H2673" i="2"/>
  <c r="I2676" i="2"/>
  <c r="H2681" i="2"/>
  <c r="I2684" i="2"/>
  <c r="H2689" i="2"/>
  <c r="I2692" i="2"/>
  <c r="H2697" i="2"/>
  <c r="I2700" i="2"/>
  <c r="H2705" i="2"/>
  <c r="I2708" i="2"/>
  <c r="H2713" i="2"/>
  <c r="I2716" i="2"/>
  <c r="H2721" i="2"/>
  <c r="I2724" i="2"/>
  <c r="H2729" i="2"/>
  <c r="I2732" i="2"/>
  <c r="H2737" i="2"/>
  <c r="I2740" i="2"/>
  <c r="H2745" i="2"/>
  <c r="J2814" i="2"/>
  <c r="I2814" i="2"/>
  <c r="H2814" i="2"/>
  <c r="G2814" i="2"/>
  <c r="I2835" i="2"/>
  <c r="H2835" i="2"/>
  <c r="G2835" i="2"/>
  <c r="I2931" i="2"/>
  <c r="H2931" i="2"/>
  <c r="G2931" i="2"/>
  <c r="I2939" i="2"/>
  <c r="H2939" i="2"/>
  <c r="G2939" i="2"/>
  <c r="I2947" i="2"/>
  <c r="H2947" i="2"/>
  <c r="G2947" i="2"/>
  <c r="J3135" i="2"/>
  <c r="I3135" i="2"/>
  <c r="H3135" i="2"/>
  <c r="G3135" i="2"/>
  <c r="G3147" i="2"/>
  <c r="H3147" i="2"/>
  <c r="J3147" i="2"/>
  <c r="I3147" i="2"/>
  <c r="I2561" i="2"/>
  <c r="I2569" i="2"/>
  <c r="I2577" i="2"/>
  <c r="I2585" i="2"/>
  <c r="I2593" i="2"/>
  <c r="I2601" i="2"/>
  <c r="I2609" i="2"/>
  <c r="I2617" i="2"/>
  <c r="I2625" i="2"/>
  <c r="I2633" i="2"/>
  <c r="I2641" i="2"/>
  <c r="I2649" i="2"/>
  <c r="I2657" i="2"/>
  <c r="I2665" i="2"/>
  <c r="I2673" i="2"/>
  <c r="I2681" i="2"/>
  <c r="I2689" i="2"/>
  <c r="I2697" i="2"/>
  <c r="I2705" i="2"/>
  <c r="I2713" i="2"/>
  <c r="I2721" i="2"/>
  <c r="I2729" i="2"/>
  <c r="I2737" i="2"/>
  <c r="I2745" i="2"/>
  <c r="J2870" i="2"/>
  <c r="I2870" i="2"/>
  <c r="H2870" i="2"/>
  <c r="G2870" i="2"/>
  <c r="I2875" i="2"/>
  <c r="H2875" i="2"/>
  <c r="G2875" i="2"/>
  <c r="G3010" i="2"/>
  <c r="I3010" i="2"/>
  <c r="H3010" i="2"/>
  <c r="G2520" i="2"/>
  <c r="G2528" i="2"/>
  <c r="G2536" i="2"/>
  <c r="G2544" i="2"/>
  <c r="G2552" i="2"/>
  <c r="G2560" i="2"/>
  <c r="G2568" i="2"/>
  <c r="G2576" i="2"/>
  <c r="G2584" i="2"/>
  <c r="G2592" i="2"/>
  <c r="G2600" i="2"/>
  <c r="G2608" i="2"/>
  <c r="G2616" i="2"/>
  <c r="G2624" i="2"/>
  <c r="G2632" i="2"/>
  <c r="G2640" i="2"/>
  <c r="G2648" i="2"/>
  <c r="G2656" i="2"/>
  <c r="G2664" i="2"/>
  <c r="G2672" i="2"/>
  <c r="G2680" i="2"/>
  <c r="G2688" i="2"/>
  <c r="G2696" i="2"/>
  <c r="G2704" i="2"/>
  <c r="G2712" i="2"/>
  <c r="G2720" i="2"/>
  <c r="G2728" i="2"/>
  <c r="G2736" i="2"/>
  <c r="G2744" i="2"/>
  <c r="J2822" i="2"/>
  <c r="I2822" i="2"/>
  <c r="H2822" i="2"/>
  <c r="G2822" i="2"/>
  <c r="I2827" i="2"/>
  <c r="H2827" i="2"/>
  <c r="G2827" i="2"/>
  <c r="J2830" i="2"/>
  <c r="I2830" i="2"/>
  <c r="H2830" i="2"/>
  <c r="G2830" i="2"/>
  <c r="J2854" i="2"/>
  <c r="I2854" i="2"/>
  <c r="H2854" i="2"/>
  <c r="G2854" i="2"/>
  <c r="I2859" i="2"/>
  <c r="H2859" i="2"/>
  <c r="G2859" i="2"/>
  <c r="J2862" i="2"/>
  <c r="I2862" i="2"/>
  <c r="H2862" i="2"/>
  <c r="G2862" i="2"/>
  <c r="I2867" i="2"/>
  <c r="H2867" i="2"/>
  <c r="G2867" i="2"/>
  <c r="H3105" i="2"/>
  <c r="G3105" i="2"/>
  <c r="I3105" i="2"/>
  <c r="G2621" i="2"/>
  <c r="G2629" i="2"/>
  <c r="G2637" i="2"/>
  <c r="G2645" i="2"/>
  <c r="G2653" i="2"/>
  <c r="G2661" i="2"/>
  <c r="G2669" i="2"/>
  <c r="G2677" i="2"/>
  <c r="G2685" i="2"/>
  <c r="H2688" i="2"/>
  <c r="G2693" i="2"/>
  <c r="H2696" i="2"/>
  <c r="G2701" i="2"/>
  <c r="H2704" i="2"/>
  <c r="G2709" i="2"/>
  <c r="H2712" i="2"/>
  <c r="G2717" i="2"/>
  <c r="H2720" i="2"/>
  <c r="G2725" i="2"/>
  <c r="H2728" i="2"/>
  <c r="G2733" i="2"/>
  <c r="H2736" i="2"/>
  <c r="G2741" i="2"/>
  <c r="H2744" i="2"/>
  <c r="I2819" i="2"/>
  <c r="H2819" i="2"/>
  <c r="G2819" i="2"/>
  <c r="J2846" i="2"/>
  <c r="I2846" i="2"/>
  <c r="H2846" i="2"/>
  <c r="G2846" i="2"/>
  <c r="I2851" i="2"/>
  <c r="H2851" i="2"/>
  <c r="G2851" i="2"/>
  <c r="J2878" i="2"/>
  <c r="I2878" i="2"/>
  <c r="H2878" i="2"/>
  <c r="G2878" i="2"/>
  <c r="J2966" i="2"/>
  <c r="I2966" i="2"/>
  <c r="H2966" i="2"/>
  <c r="G2966" i="2"/>
  <c r="J2974" i="2"/>
  <c r="I2974" i="2"/>
  <c r="H2974" i="2"/>
  <c r="G2974" i="2"/>
  <c r="J2982" i="2"/>
  <c r="I2982" i="2"/>
  <c r="H2982" i="2"/>
  <c r="G2982" i="2"/>
  <c r="J2990" i="2"/>
  <c r="I2990" i="2"/>
  <c r="H2990" i="2"/>
  <c r="G2990" i="2"/>
  <c r="J2999" i="2"/>
  <c r="I2999" i="2"/>
  <c r="H2999" i="2"/>
  <c r="G2999" i="2"/>
  <c r="I3008" i="2"/>
  <c r="H3008" i="2"/>
  <c r="G3008" i="2"/>
  <c r="H3089" i="2"/>
  <c r="G3089" i="2"/>
  <c r="I3089" i="2"/>
  <c r="J2750" i="2"/>
  <c r="I2750" i="2"/>
  <c r="H2750" i="2"/>
  <c r="G2750" i="2"/>
  <c r="J2806" i="2"/>
  <c r="I2806" i="2"/>
  <c r="H2806" i="2"/>
  <c r="G2806" i="2"/>
  <c r="I2843" i="2"/>
  <c r="H2843" i="2"/>
  <c r="G2843" i="2"/>
  <c r="I2883" i="2"/>
  <c r="H2883" i="2"/>
  <c r="G2883" i="2"/>
  <c r="J2958" i="2"/>
  <c r="I2958" i="2"/>
  <c r="H2958" i="2"/>
  <c r="G2958" i="2"/>
  <c r="H3073" i="2"/>
  <c r="G3073" i="2"/>
  <c r="I3073" i="2"/>
  <c r="J2749" i="2"/>
  <c r="H2767" i="2"/>
  <c r="J2773" i="2"/>
  <c r="J2789" i="2"/>
  <c r="J2797" i="2"/>
  <c r="H2799" i="2"/>
  <c r="J2805" i="2"/>
  <c r="G2820" i="2"/>
  <c r="I2834" i="2"/>
  <c r="G2836" i="2"/>
  <c r="J2837" i="2"/>
  <c r="J2845" i="2"/>
  <c r="J2853" i="2"/>
  <c r="J2869" i="2"/>
  <c r="I2882" i="2"/>
  <c r="I2890" i="2"/>
  <c r="G2892" i="2"/>
  <c r="I2898" i="2"/>
  <c r="G2900" i="2"/>
  <c r="I2906" i="2"/>
  <c r="G2908" i="2"/>
  <c r="I2914" i="2"/>
  <c r="G2916" i="2"/>
  <c r="I2922" i="2"/>
  <c r="G2924" i="2"/>
  <c r="I2930" i="2"/>
  <c r="G2932" i="2"/>
  <c r="I2938" i="2"/>
  <c r="G2940" i="2"/>
  <c r="J2941" i="2"/>
  <c r="I2946" i="2"/>
  <c r="G2948" i="2"/>
  <c r="J2949" i="2"/>
  <c r="I2954" i="2"/>
  <c r="G2956" i="2"/>
  <c r="J2957" i="2"/>
  <c r="I2962" i="2"/>
  <c r="G2964" i="2"/>
  <c r="J2965" i="2"/>
  <c r="I2970" i="2"/>
  <c r="G2972" i="2"/>
  <c r="J2973" i="2"/>
  <c r="I2978" i="2"/>
  <c r="G2980" i="2"/>
  <c r="J2981" i="2"/>
  <c r="I2986" i="2"/>
  <c r="G2988" i="2"/>
  <c r="J2989" i="2"/>
  <c r="J2994" i="2"/>
  <c r="I3000" i="2"/>
  <c r="H3000" i="2"/>
  <c r="G3000" i="2"/>
  <c r="J3002" i="2"/>
  <c r="J3011" i="2"/>
  <c r="I3011" i="2"/>
  <c r="H3011" i="2"/>
  <c r="G3011" i="2"/>
  <c r="H3013" i="2"/>
  <c r="G3013" i="2"/>
  <c r="J3039" i="2"/>
  <c r="I3039" i="2"/>
  <c r="G3039" i="2"/>
  <c r="J3055" i="2"/>
  <c r="I3055" i="2"/>
  <c r="G3055" i="2"/>
  <c r="J3071" i="2"/>
  <c r="I3071" i="2"/>
  <c r="G3071" i="2"/>
  <c r="J3087" i="2"/>
  <c r="I3087" i="2"/>
  <c r="G3087" i="2"/>
  <c r="J3103" i="2"/>
  <c r="I3103" i="2"/>
  <c r="G3103" i="2"/>
  <c r="J3136" i="2"/>
  <c r="I3136" i="2"/>
  <c r="H3136" i="2"/>
  <c r="G3136" i="2"/>
  <c r="J3192" i="2"/>
  <c r="I3192" i="2"/>
  <c r="H3192" i="2"/>
  <c r="G3192" i="2"/>
  <c r="H3202" i="2"/>
  <c r="J3202" i="2"/>
  <c r="I3202" i="2"/>
  <c r="H3270" i="2"/>
  <c r="J3270" i="2"/>
  <c r="I3270" i="2"/>
  <c r="G3270" i="2"/>
  <c r="H3396" i="2"/>
  <c r="G3396" i="2"/>
  <c r="I3396" i="2"/>
  <c r="J3396" i="2"/>
  <c r="I2759" i="2"/>
  <c r="G2761" i="2"/>
  <c r="I2767" i="2"/>
  <c r="I2775" i="2"/>
  <c r="I2783" i="2"/>
  <c r="I2799" i="2"/>
  <c r="H2820" i="2"/>
  <c r="I2823" i="2"/>
  <c r="G2825" i="2"/>
  <c r="H2828" i="2"/>
  <c r="I2831" i="2"/>
  <c r="G2833" i="2"/>
  <c r="H2836" i="2"/>
  <c r="I2855" i="2"/>
  <c r="I2863" i="2"/>
  <c r="I2871" i="2"/>
  <c r="H2884" i="2"/>
  <c r="H2892" i="2"/>
  <c r="H2900" i="2"/>
  <c r="H2908" i="2"/>
  <c r="H2916" i="2"/>
  <c r="H2924" i="2"/>
  <c r="H2932" i="2"/>
  <c r="H2940" i="2"/>
  <c r="H2948" i="2"/>
  <c r="H2956" i="2"/>
  <c r="H2964" i="2"/>
  <c r="H2972" i="2"/>
  <c r="H2980" i="2"/>
  <c r="H2988" i="2"/>
  <c r="J3023" i="2"/>
  <c r="I3023" i="2"/>
  <c r="G3023" i="2"/>
  <c r="H3137" i="2"/>
  <c r="G3137" i="2"/>
  <c r="J3137" i="2"/>
  <c r="I3137" i="2"/>
  <c r="I3145" i="2"/>
  <c r="H3145" i="2"/>
  <c r="G3145" i="2"/>
  <c r="J3145" i="2"/>
  <c r="I3217" i="2"/>
  <c r="H3217" i="2"/>
  <c r="J3217" i="2"/>
  <c r="G3217" i="2"/>
  <c r="J3244" i="2"/>
  <c r="H3244" i="2"/>
  <c r="I3244" i="2"/>
  <c r="G3244" i="2"/>
  <c r="J3252" i="2"/>
  <c r="H3252" i="2"/>
  <c r="I3252" i="2"/>
  <c r="G3252" i="2"/>
  <c r="J3280" i="2"/>
  <c r="H3280" i="2"/>
  <c r="I3280" i="2"/>
  <c r="G3280" i="2"/>
  <c r="I3360" i="2"/>
  <c r="H3360" i="2"/>
  <c r="G3360" i="2"/>
  <c r="J3360" i="2"/>
  <c r="I3451" i="2"/>
  <c r="H3451" i="2"/>
  <c r="G3451" i="2"/>
  <c r="J3451" i="2"/>
  <c r="I3483" i="2"/>
  <c r="H3483" i="2"/>
  <c r="G3483" i="2"/>
  <c r="J3483" i="2"/>
  <c r="I2748" i="2"/>
  <c r="H2753" i="2"/>
  <c r="H2761" i="2"/>
  <c r="H2769" i="2"/>
  <c r="I2772" i="2"/>
  <c r="H2777" i="2"/>
  <c r="H2785" i="2"/>
  <c r="I2788" i="2"/>
  <c r="H2793" i="2"/>
  <c r="I2796" i="2"/>
  <c r="H2801" i="2"/>
  <c r="I2804" i="2"/>
  <c r="I2820" i="2"/>
  <c r="I2828" i="2"/>
  <c r="I2836" i="2"/>
  <c r="H2841" i="2"/>
  <c r="I2844" i="2"/>
  <c r="H2849" i="2"/>
  <c r="I2852" i="2"/>
  <c r="I2860" i="2"/>
  <c r="I2868" i="2"/>
  <c r="I2892" i="2"/>
  <c r="I2900" i="2"/>
  <c r="I2908" i="2"/>
  <c r="I2916" i="2"/>
  <c r="I2924" i="2"/>
  <c r="I2940" i="2"/>
  <c r="I2948" i="2"/>
  <c r="I2956" i="2"/>
  <c r="I2964" i="2"/>
  <c r="J3234" i="2"/>
  <c r="H3234" i="2"/>
  <c r="I3234" i="2"/>
  <c r="G3234" i="2"/>
  <c r="I3241" i="2"/>
  <c r="G3241" i="2"/>
  <c r="J3241" i="2"/>
  <c r="H3241" i="2"/>
  <c r="I3289" i="2"/>
  <c r="G3289" i="2"/>
  <c r="J3289" i="2"/>
  <c r="H3289" i="2"/>
  <c r="I3343" i="2"/>
  <c r="J3343" i="2"/>
  <c r="G3343" i="2"/>
  <c r="H3343" i="2"/>
  <c r="I3408" i="2"/>
  <c r="H3408" i="2"/>
  <c r="G3408" i="2"/>
  <c r="J3408" i="2"/>
  <c r="I2841" i="2"/>
  <c r="I2849" i="2"/>
  <c r="J3003" i="2"/>
  <c r="I3003" i="2"/>
  <c r="H3003" i="2"/>
  <c r="H3005" i="2"/>
  <c r="G3005" i="2"/>
  <c r="G3018" i="2"/>
  <c r="J3018" i="2"/>
  <c r="H3033" i="2"/>
  <c r="G3033" i="2"/>
  <c r="I3033" i="2"/>
  <c r="H3049" i="2"/>
  <c r="G3049" i="2"/>
  <c r="I3049" i="2"/>
  <c r="H3065" i="2"/>
  <c r="G3065" i="2"/>
  <c r="I3065" i="2"/>
  <c r="H3081" i="2"/>
  <c r="G3081" i="2"/>
  <c r="I3081" i="2"/>
  <c r="H3097" i="2"/>
  <c r="G3097" i="2"/>
  <c r="I3097" i="2"/>
  <c r="H3113" i="2"/>
  <c r="G3113" i="2"/>
  <c r="I3113" i="2"/>
  <c r="I3157" i="2"/>
  <c r="J3157" i="2"/>
  <c r="H3157" i="2"/>
  <c r="I3213" i="2"/>
  <c r="J3213" i="2"/>
  <c r="G3213" i="2"/>
  <c r="H3213" i="2"/>
  <c r="J3268" i="2"/>
  <c r="H3268" i="2"/>
  <c r="I3268" i="2"/>
  <c r="G3268" i="2"/>
  <c r="J3394" i="2"/>
  <c r="H3394" i="2"/>
  <c r="G3394" i="2"/>
  <c r="I3394" i="2"/>
  <c r="G2752" i="2"/>
  <c r="G2776" i="2"/>
  <c r="G2784" i="2"/>
  <c r="G2792" i="2"/>
  <c r="G2800" i="2"/>
  <c r="G2808" i="2"/>
  <c r="G2832" i="2"/>
  <c r="G2840" i="2"/>
  <c r="G2848" i="2"/>
  <c r="G2856" i="2"/>
  <c r="G2864" i="2"/>
  <c r="G2872" i="2"/>
  <c r="G2880" i="2"/>
  <c r="J2995" i="2"/>
  <c r="I2995" i="2"/>
  <c r="H2997" i="2"/>
  <c r="G2997" i="2"/>
  <c r="I3016" i="2"/>
  <c r="H3016" i="2"/>
  <c r="G3016" i="2"/>
  <c r="J3019" i="2"/>
  <c r="I3019" i="2"/>
  <c r="H3019" i="2"/>
  <c r="G3019" i="2"/>
  <c r="J3031" i="2"/>
  <c r="I3031" i="2"/>
  <c r="G3031" i="2"/>
  <c r="J3047" i="2"/>
  <c r="I3047" i="2"/>
  <c r="G3047" i="2"/>
  <c r="J3063" i="2"/>
  <c r="I3063" i="2"/>
  <c r="G3063" i="2"/>
  <c r="J3079" i="2"/>
  <c r="I3079" i="2"/>
  <c r="G3079" i="2"/>
  <c r="J3095" i="2"/>
  <c r="I3095" i="2"/>
  <c r="G3095" i="2"/>
  <c r="J3111" i="2"/>
  <c r="I3111" i="2"/>
  <c r="G3111" i="2"/>
  <c r="I3140" i="2"/>
  <c r="H3140" i="2"/>
  <c r="J3140" i="2"/>
  <c r="G3140" i="2"/>
  <c r="I3225" i="2"/>
  <c r="G3225" i="2"/>
  <c r="J3225" i="2"/>
  <c r="H3225" i="2"/>
  <c r="J3304" i="2"/>
  <c r="G3304" i="2"/>
  <c r="I3304" i="2"/>
  <c r="H3304" i="2"/>
  <c r="J3390" i="2"/>
  <c r="I3390" i="2"/>
  <c r="H3390" i="2"/>
  <c r="G3390" i="2"/>
  <c r="I3153" i="2"/>
  <c r="J3153" i="2"/>
  <c r="H3153" i="2"/>
  <c r="J3172" i="2"/>
  <c r="H3172" i="2"/>
  <c r="G3172" i="2"/>
  <c r="I3172" i="2"/>
  <c r="J3266" i="2"/>
  <c r="H3266" i="2"/>
  <c r="I3266" i="2"/>
  <c r="G3266" i="2"/>
  <c r="J3272" i="2"/>
  <c r="I3272" i="2"/>
  <c r="H3272" i="2"/>
  <c r="G3272" i="2"/>
  <c r="J3119" i="2"/>
  <c r="I3119" i="2"/>
  <c r="H3121" i="2"/>
  <c r="G3121" i="2"/>
  <c r="H3174" i="2"/>
  <c r="I3174" i="2"/>
  <c r="G3174" i="2"/>
  <c r="J3176" i="2"/>
  <c r="G3176" i="2"/>
  <c r="I3273" i="2"/>
  <c r="G3273" i="2"/>
  <c r="J3273" i="2"/>
  <c r="H3273" i="2"/>
  <c r="H3278" i="2"/>
  <c r="I3278" i="2"/>
  <c r="H3302" i="2"/>
  <c r="G3302" i="2"/>
  <c r="J3307" i="2"/>
  <c r="H3307" i="2"/>
  <c r="I3335" i="2"/>
  <c r="J3335" i="2"/>
  <c r="H3335" i="2"/>
  <c r="G3335" i="2"/>
  <c r="I3407" i="2"/>
  <c r="J3407" i="2"/>
  <c r="G3407" i="2"/>
  <c r="I3424" i="2"/>
  <c r="H3424" i="2"/>
  <c r="G3424" i="2"/>
  <c r="J3424" i="2"/>
  <c r="I3440" i="2"/>
  <c r="H3440" i="2"/>
  <c r="G3440" i="2"/>
  <c r="J3440" i="2"/>
  <c r="J3127" i="2"/>
  <c r="I3127" i="2"/>
  <c r="H3129" i="2"/>
  <c r="G3129" i="2"/>
  <c r="I3149" i="2"/>
  <c r="G3149" i="2"/>
  <c r="J3164" i="2"/>
  <c r="I3164" i="2"/>
  <c r="H3164" i="2"/>
  <c r="I3193" i="2"/>
  <c r="J3193" i="2"/>
  <c r="H3193" i="2"/>
  <c r="I3221" i="2"/>
  <c r="H3221" i="2"/>
  <c r="J3242" i="2"/>
  <c r="H3242" i="2"/>
  <c r="G3242" i="2"/>
  <c r="J3276" i="2"/>
  <c r="H3276" i="2"/>
  <c r="G3276" i="2"/>
  <c r="J3298" i="2"/>
  <c r="H3298" i="2"/>
  <c r="J3300" i="2"/>
  <c r="H3300" i="2"/>
  <c r="J3308" i="2"/>
  <c r="H3308" i="2"/>
  <c r="I3308" i="2"/>
  <c r="G3308" i="2"/>
  <c r="I3344" i="2"/>
  <c r="H3344" i="2"/>
  <c r="G3344" i="2"/>
  <c r="I3399" i="2"/>
  <c r="J3399" i="2"/>
  <c r="H3399" i="2"/>
  <c r="G3399" i="2"/>
  <c r="J3143" i="2"/>
  <c r="I3143" i="2"/>
  <c r="H3162" i="2"/>
  <c r="J3162" i="2"/>
  <c r="I3162" i="2"/>
  <c r="J3374" i="2"/>
  <c r="I3374" i="2"/>
  <c r="H3374" i="2"/>
  <c r="G3374" i="2"/>
  <c r="J3438" i="2"/>
  <c r="I3438" i="2"/>
  <c r="H3438" i="2"/>
  <c r="G3438" i="2"/>
  <c r="J3022" i="2"/>
  <c r="I3028" i="2"/>
  <c r="H3028" i="2"/>
  <c r="I3036" i="2"/>
  <c r="H3036" i="2"/>
  <c r="I3044" i="2"/>
  <c r="H3044" i="2"/>
  <c r="I3052" i="2"/>
  <c r="H3052" i="2"/>
  <c r="I3060" i="2"/>
  <c r="H3060" i="2"/>
  <c r="I3068" i="2"/>
  <c r="H3068" i="2"/>
  <c r="I3076" i="2"/>
  <c r="H3076" i="2"/>
  <c r="I3084" i="2"/>
  <c r="H3084" i="2"/>
  <c r="I3092" i="2"/>
  <c r="H3092" i="2"/>
  <c r="I3100" i="2"/>
  <c r="H3100" i="2"/>
  <c r="I3108" i="2"/>
  <c r="H3108" i="2"/>
  <c r="I3116" i="2"/>
  <c r="H3116" i="2"/>
  <c r="G3144" i="2"/>
  <c r="H3170" i="2"/>
  <c r="I3170" i="2"/>
  <c r="G3170" i="2"/>
  <c r="I3205" i="2"/>
  <c r="H3205" i="2"/>
  <c r="G3205" i="2"/>
  <c r="I3209" i="2"/>
  <c r="G3209" i="2"/>
  <c r="J3224" i="2"/>
  <c r="I3224" i="2"/>
  <c r="H3224" i="2"/>
  <c r="I3233" i="2"/>
  <c r="G3233" i="2"/>
  <c r="J3233" i="2"/>
  <c r="I3265" i="2"/>
  <c r="G3265" i="2"/>
  <c r="J3265" i="2"/>
  <c r="H3339" i="2"/>
  <c r="G3339" i="2"/>
  <c r="J3339" i="2"/>
  <c r="I3339" i="2"/>
  <c r="I3383" i="2"/>
  <c r="J3383" i="2"/>
  <c r="H3383" i="2"/>
  <c r="G3383" i="2"/>
  <c r="I3391" i="2"/>
  <c r="G3391" i="2"/>
  <c r="H3391" i="2"/>
  <c r="G3021" i="2"/>
  <c r="G3027" i="2"/>
  <c r="G3035" i="2"/>
  <c r="G3043" i="2"/>
  <c r="G3051" i="2"/>
  <c r="G3059" i="2"/>
  <c r="G3067" i="2"/>
  <c r="G3075" i="2"/>
  <c r="G3083" i="2"/>
  <c r="G3091" i="2"/>
  <c r="G3099" i="2"/>
  <c r="G3107" i="2"/>
  <c r="G3115" i="2"/>
  <c r="I3124" i="2"/>
  <c r="H3124" i="2"/>
  <c r="J3126" i="2"/>
  <c r="H3142" i="2"/>
  <c r="H3144" i="2"/>
  <c r="J3160" i="2"/>
  <c r="I3160" i="2"/>
  <c r="H3160" i="2"/>
  <c r="J3173" i="2"/>
  <c r="H3182" i="2"/>
  <c r="G3182" i="2"/>
  <c r="I3184" i="2"/>
  <c r="J3186" i="2"/>
  <c r="G3206" i="2"/>
  <c r="H3238" i="2"/>
  <c r="G3238" i="2"/>
  <c r="H3246" i="2"/>
  <c r="J3246" i="2"/>
  <c r="G3246" i="2"/>
  <c r="J3248" i="2"/>
  <c r="H3248" i="2"/>
  <c r="H3254" i="2"/>
  <c r="J3254" i="2"/>
  <c r="I3254" i="2"/>
  <c r="G3314" i="2"/>
  <c r="J3314" i="2"/>
  <c r="H3314" i="2"/>
  <c r="H3317" i="2"/>
  <c r="G3317" i="2"/>
  <c r="J3317" i="2"/>
  <c r="I3351" i="2"/>
  <c r="J3351" i="2"/>
  <c r="H3351" i="2"/>
  <c r="G3351" i="2"/>
  <c r="I3367" i="2"/>
  <c r="J3367" i="2"/>
  <c r="H3367" i="2"/>
  <c r="G3367" i="2"/>
  <c r="I3375" i="2"/>
  <c r="J3375" i="2"/>
  <c r="G3375" i="2"/>
  <c r="I3392" i="2"/>
  <c r="H3392" i="2"/>
  <c r="G3392" i="2"/>
  <c r="J3392" i="2"/>
  <c r="H3403" i="2"/>
  <c r="G3403" i="2"/>
  <c r="J3403" i="2"/>
  <c r="I3403" i="2"/>
  <c r="G3119" i="2"/>
  <c r="I3121" i="2"/>
  <c r="I3132" i="2"/>
  <c r="H3132" i="2"/>
  <c r="I3142" i="2"/>
  <c r="G3161" i="2"/>
  <c r="J3168" i="2"/>
  <c r="H3168" i="2"/>
  <c r="G3168" i="2"/>
  <c r="H3176" i="2"/>
  <c r="J3180" i="2"/>
  <c r="G3180" i="2"/>
  <c r="I3201" i="2"/>
  <c r="H3201" i="2"/>
  <c r="G3201" i="2"/>
  <c r="I3206" i="2"/>
  <c r="J3236" i="2"/>
  <c r="H3236" i="2"/>
  <c r="G3278" i="2"/>
  <c r="I3302" i="2"/>
  <c r="G3307" i="2"/>
  <c r="H3332" i="2"/>
  <c r="G3332" i="2"/>
  <c r="I3332" i="2"/>
  <c r="J3332" i="2"/>
  <c r="J3346" i="2"/>
  <c r="H3346" i="2"/>
  <c r="G3346" i="2"/>
  <c r="I3346" i="2"/>
  <c r="I3359" i="2"/>
  <c r="J3359" i="2"/>
  <c r="G3359" i="2"/>
  <c r="I3376" i="2"/>
  <c r="H3376" i="2"/>
  <c r="G3376" i="2"/>
  <c r="J3376" i="2"/>
  <c r="I3415" i="2"/>
  <c r="J3415" i="2"/>
  <c r="H3415" i="2"/>
  <c r="G3415" i="2"/>
  <c r="I3431" i="2"/>
  <c r="J3431" i="2"/>
  <c r="H3431" i="2"/>
  <c r="G3431" i="2"/>
  <c r="J3228" i="2"/>
  <c r="H3228" i="2"/>
  <c r="I3249" i="2"/>
  <c r="G3249" i="2"/>
  <c r="G3256" i="2"/>
  <c r="J3260" i="2"/>
  <c r="H3260" i="2"/>
  <c r="I3281" i="2"/>
  <c r="G3281" i="2"/>
  <c r="G3286" i="2"/>
  <c r="G3288" i="2"/>
  <c r="J3292" i="2"/>
  <c r="H3292" i="2"/>
  <c r="J3315" i="2"/>
  <c r="I3315" i="2"/>
  <c r="H3315" i="2"/>
  <c r="G3315" i="2"/>
  <c r="J3488" i="2"/>
  <c r="I3488" i="2"/>
  <c r="H3488" i="2"/>
  <c r="G3488" i="2"/>
  <c r="J3226" i="2"/>
  <c r="H3226" i="2"/>
  <c r="H3256" i="2"/>
  <c r="J3258" i="2"/>
  <c r="H3258" i="2"/>
  <c r="I3286" i="2"/>
  <c r="H3288" i="2"/>
  <c r="J3290" i="2"/>
  <c r="H3290" i="2"/>
  <c r="I3305" i="2"/>
  <c r="G3305" i="2"/>
  <c r="I3320" i="2"/>
  <c r="H3320" i="2"/>
  <c r="G3320" i="2"/>
  <c r="J3320" i="2"/>
  <c r="H3355" i="2"/>
  <c r="G3355" i="2"/>
  <c r="J3355" i="2"/>
  <c r="H3371" i="2"/>
  <c r="G3371" i="2"/>
  <c r="J3371" i="2"/>
  <c r="H3387" i="2"/>
  <c r="G3387" i="2"/>
  <c r="J3387" i="2"/>
  <c r="H3419" i="2"/>
  <c r="G3419" i="2"/>
  <c r="J3419" i="2"/>
  <c r="H3435" i="2"/>
  <c r="G3435" i="2"/>
  <c r="J3435" i="2"/>
  <c r="J3456" i="2"/>
  <c r="I3456" i="2"/>
  <c r="H3456" i="2"/>
  <c r="G3456" i="2"/>
  <c r="J3472" i="2"/>
  <c r="I3472" i="2"/>
  <c r="H3472" i="2"/>
  <c r="G3472" i="2"/>
  <c r="J3250" i="2"/>
  <c r="H3250" i="2"/>
  <c r="J3282" i="2"/>
  <c r="H3282" i="2"/>
  <c r="J3284" i="2"/>
  <c r="H3284" i="2"/>
  <c r="I3297" i="2"/>
  <c r="G3297" i="2"/>
  <c r="I3327" i="2"/>
  <c r="G3327" i="2"/>
  <c r="J3330" i="2"/>
  <c r="H3330" i="2"/>
  <c r="G3330" i="2"/>
  <c r="J3342" i="2"/>
  <c r="I3342" i="2"/>
  <c r="H3342" i="2"/>
  <c r="G3342" i="2"/>
  <c r="I3350" i="2"/>
  <c r="G3350" i="2"/>
  <c r="G3353" i="2"/>
  <c r="I3353" i="2"/>
  <c r="H3353" i="2"/>
  <c r="J3358" i="2"/>
  <c r="I3358" i="2"/>
  <c r="H3358" i="2"/>
  <c r="J3362" i="2"/>
  <c r="H3362" i="2"/>
  <c r="G3362" i="2"/>
  <c r="I3362" i="2"/>
  <c r="J3378" i="2"/>
  <c r="H3378" i="2"/>
  <c r="G3378" i="2"/>
  <c r="I3378" i="2"/>
  <c r="J3406" i="2"/>
  <c r="I3406" i="2"/>
  <c r="H3406" i="2"/>
  <c r="G3406" i="2"/>
  <c r="I3414" i="2"/>
  <c r="G3414" i="2"/>
  <c r="G3417" i="2"/>
  <c r="I3417" i="2"/>
  <c r="H3417" i="2"/>
  <c r="J3422" i="2"/>
  <c r="I3422" i="2"/>
  <c r="H3422" i="2"/>
  <c r="J3426" i="2"/>
  <c r="H3426" i="2"/>
  <c r="G3426" i="2"/>
  <c r="I3426" i="2"/>
  <c r="I3467" i="2"/>
  <c r="H3467" i="2"/>
  <c r="G3467" i="2"/>
  <c r="J3467" i="2"/>
  <c r="J3442" i="2"/>
  <c r="H3442" i="2"/>
  <c r="G3442" i="2"/>
  <c r="I3442" i="2"/>
  <c r="G3449" i="2"/>
  <c r="J3449" i="2"/>
  <c r="I3449" i="2"/>
  <c r="H3449" i="2"/>
  <c r="G3481" i="2"/>
  <c r="J3481" i="2"/>
  <c r="I3481" i="2"/>
  <c r="H3481" i="2"/>
  <c r="J3458" i="2"/>
  <c r="I3458" i="2"/>
  <c r="H3458" i="2"/>
  <c r="G3458" i="2"/>
  <c r="G3465" i="2"/>
  <c r="J3465" i="2"/>
  <c r="I3465" i="2"/>
  <c r="H3465" i="2"/>
  <c r="I3306" i="2"/>
  <c r="I3322" i="2"/>
  <c r="I3328" i="2"/>
  <c r="H3328" i="2"/>
  <c r="G3328" i="2"/>
  <c r="G3337" i="2"/>
  <c r="I3337" i="2"/>
  <c r="H3337" i="2"/>
  <c r="H3380" i="2"/>
  <c r="G3380" i="2"/>
  <c r="G3401" i="2"/>
  <c r="I3401" i="2"/>
  <c r="H3401" i="2"/>
  <c r="H3444" i="2"/>
  <c r="G3444" i="2"/>
  <c r="H3496" i="2"/>
  <c r="G3496" i="2"/>
  <c r="I3312" i="2"/>
  <c r="H3312" i="2"/>
  <c r="G3312" i="2"/>
  <c r="H3364" i="2"/>
  <c r="G3364" i="2"/>
  <c r="G3385" i="2"/>
  <c r="I3385" i="2"/>
  <c r="H3385" i="2"/>
  <c r="H3428" i="2"/>
  <c r="G3428" i="2"/>
  <c r="H3460" i="2"/>
  <c r="I3460" i="2"/>
  <c r="G3460" i="2"/>
  <c r="H3476" i="2"/>
  <c r="I3476" i="2"/>
  <c r="G3476" i="2"/>
  <c r="H3492" i="2"/>
  <c r="I3492" i="2"/>
  <c r="G3492" i="2"/>
  <c r="J3323" i="2"/>
  <c r="I3323" i="2"/>
  <c r="H3323" i="2"/>
  <c r="H3325" i="2"/>
  <c r="G3325" i="2"/>
  <c r="H3348" i="2"/>
  <c r="G3348" i="2"/>
  <c r="G3369" i="2"/>
  <c r="I3369" i="2"/>
  <c r="H3369" i="2"/>
  <c r="H3412" i="2"/>
  <c r="G3412" i="2"/>
  <c r="G3433" i="2"/>
  <c r="I3433" i="2"/>
  <c r="H3433" i="2"/>
  <c r="J3474" i="2"/>
  <c r="I3474" i="2"/>
  <c r="H3474" i="2"/>
  <c r="G3474" i="2"/>
  <c r="J3490" i="2"/>
  <c r="I3490" i="2"/>
  <c r="H3490" i="2"/>
  <c r="G3490" i="2"/>
  <c r="G3454" i="2"/>
  <c r="G3470" i="2"/>
  <c r="G3486" i="2"/>
  <c r="J3340" i="2"/>
  <c r="J3356" i="2"/>
  <c r="J3372" i="2"/>
  <c r="J3388" i="2"/>
  <c r="J3404" i="2"/>
  <c r="J3420" i="2"/>
  <c r="J3436" i="2"/>
  <c r="G3447" i="2"/>
  <c r="H3454" i="2"/>
  <c r="G3463" i="2"/>
  <c r="J3468" i="2"/>
  <c r="H3470" i="2"/>
  <c r="G3479" i="2"/>
  <c r="J3484" i="2"/>
  <c r="H3486" i="2"/>
  <c r="G3495" i="2"/>
  <c r="H3447" i="2"/>
  <c r="I3454" i="2"/>
  <c r="H3463" i="2"/>
  <c r="I3470" i="2"/>
  <c r="H3479" i="2"/>
  <c r="I3486" i="2"/>
  <c r="H3495" i="2"/>
  <c r="J3447" i="2"/>
  <c r="J3463" i="2"/>
  <c r="J3479" i="2"/>
  <c r="J3495" i="2"/>
  <c r="J3500" i="2"/>
  <c r="H3500" i="2"/>
  <c r="G3500" i="2"/>
  <c r="I3500" i="2"/>
  <c r="J742" i="2" l="1"/>
  <c r="I742" i="2"/>
  <c r="H742" i="2"/>
  <c r="I547" i="2"/>
  <c r="H547" i="2"/>
  <c r="J377" i="2"/>
  <c r="I377" i="2"/>
  <c r="J286" i="2"/>
  <c r="I286" i="2"/>
  <c r="J178" i="2"/>
  <c r="I178" i="2"/>
  <c r="J738" i="2"/>
  <c r="I738" i="2"/>
  <c r="H738" i="2"/>
  <c r="G706" i="2"/>
  <c r="G603" i="2"/>
  <c r="J603" i="2"/>
  <c r="I603" i="2"/>
  <c r="G835" i="2"/>
  <c r="J282" i="2"/>
  <c r="I282" i="2"/>
  <c r="J142" i="2"/>
  <c r="I142" i="2"/>
  <c r="H390" i="2"/>
  <c r="J734" i="2"/>
  <c r="I734" i="2"/>
  <c r="H734" i="2"/>
  <c r="H823" i="2"/>
  <c r="H771" i="2"/>
  <c r="J591" i="2"/>
  <c r="I591" i="2"/>
  <c r="H591" i="2"/>
  <c r="J705" i="2"/>
  <c r="I705" i="2"/>
  <c r="I246" i="2"/>
  <c r="J246" i="2"/>
  <c r="H855" i="2"/>
  <c r="H759" i="2"/>
  <c r="I771" i="2"/>
  <c r="J614" i="2"/>
  <c r="H614" i="2"/>
  <c r="G123" i="2"/>
  <c r="J587" i="2"/>
  <c r="I587" i="2"/>
  <c r="H587" i="2"/>
  <c r="J579" i="2"/>
  <c r="H579" i="2"/>
  <c r="I579" i="2"/>
  <c r="I714" i="2"/>
  <c r="G650" i="2"/>
  <c r="G547" i="2"/>
  <c r="G377" i="2"/>
  <c r="G485" i="2"/>
  <c r="J314" i="2"/>
  <c r="I314" i="2"/>
  <c r="J206" i="2"/>
  <c r="I206" i="2"/>
  <c r="J102" i="2"/>
  <c r="I102" i="2"/>
  <c r="I392" i="2"/>
  <c r="H392" i="2"/>
  <c r="H314" i="2"/>
  <c r="G759" i="2"/>
  <c r="J701" i="2"/>
  <c r="I701" i="2"/>
  <c r="H706" i="2"/>
  <c r="J575" i="2"/>
  <c r="I575" i="2"/>
  <c r="H575" i="2"/>
  <c r="H770" i="2"/>
  <c r="G373" i="2"/>
  <c r="H835" i="2"/>
  <c r="G146" i="2"/>
  <c r="H485" i="2"/>
  <c r="J170" i="2"/>
  <c r="I170" i="2"/>
  <c r="J139" i="2"/>
  <c r="J728" i="2"/>
  <c r="I728" i="2"/>
  <c r="H728" i="2"/>
  <c r="G389" i="2"/>
  <c r="J670" i="2"/>
  <c r="I373" i="2"/>
  <c r="H179" i="2"/>
  <c r="H123" i="2"/>
  <c r="J754" i="2"/>
  <c r="I754" i="2"/>
  <c r="H754" i="2"/>
  <c r="G621" i="2"/>
  <c r="H702" i="2"/>
  <c r="G787" i="2"/>
  <c r="G717" i="2"/>
  <c r="G701" i="2"/>
  <c r="I767" i="2"/>
  <c r="G611" i="2"/>
  <c r="J611" i="2"/>
  <c r="I611" i="2"/>
  <c r="H747" i="2"/>
  <c r="H729" i="2"/>
  <c r="H678" i="2"/>
  <c r="G666" i="2"/>
  <c r="H646" i="2"/>
  <c r="G634" i="2"/>
  <c r="J709" i="2"/>
  <c r="G572" i="2"/>
  <c r="H556" i="2"/>
  <c r="I544" i="2"/>
  <c r="H713" i="2"/>
  <c r="H611" i="2"/>
  <c r="H521" i="2"/>
  <c r="J489" i="2"/>
  <c r="H410" i="2"/>
  <c r="G198" i="2"/>
  <c r="G134" i="2"/>
  <c r="G102" i="2"/>
  <c r="J799" i="2"/>
  <c r="G584" i="2"/>
  <c r="H568" i="2"/>
  <c r="I552" i="2"/>
  <c r="H847" i="2"/>
  <c r="H679" i="2"/>
  <c r="G600" i="2"/>
  <c r="H529" i="2"/>
  <c r="H497" i="2"/>
  <c r="I430" i="2"/>
  <c r="I404" i="2"/>
  <c r="H404" i="2"/>
  <c r="G404" i="2"/>
  <c r="I372" i="2"/>
  <c r="H372" i="2"/>
  <c r="G372" i="2"/>
  <c r="J346" i="2"/>
  <c r="I346" i="2"/>
  <c r="G346" i="2"/>
  <c r="J517" i="2"/>
  <c r="J445" i="2"/>
  <c r="G397" i="2"/>
  <c r="J330" i="2"/>
  <c r="I330" i="2"/>
  <c r="J298" i="2"/>
  <c r="I298" i="2"/>
  <c r="J266" i="2"/>
  <c r="I266" i="2"/>
  <c r="J222" i="2"/>
  <c r="I222" i="2"/>
  <c r="J190" i="2"/>
  <c r="I190" i="2"/>
  <c r="J158" i="2"/>
  <c r="I158" i="2"/>
  <c r="I126" i="2"/>
  <c r="J126" i="2"/>
  <c r="H631" i="2"/>
  <c r="H473" i="2"/>
  <c r="H418" i="2"/>
  <c r="G560" i="2"/>
  <c r="J457" i="2"/>
  <c r="G85" i="2"/>
  <c r="H341" i="2"/>
  <c r="I548" i="2"/>
  <c r="I592" i="2"/>
  <c r="H74" i="2"/>
  <c r="H66" i="2"/>
  <c r="H667" i="2"/>
  <c r="G366" i="2"/>
  <c r="I78" i="2"/>
  <c r="I374" i="2"/>
  <c r="H206" i="2"/>
  <c r="H142" i="2"/>
  <c r="H54" i="2"/>
  <c r="I81" i="2"/>
  <c r="J81" i="2"/>
  <c r="I195" i="2"/>
  <c r="I179" i="2"/>
  <c r="I131" i="2"/>
  <c r="G57" i="2"/>
  <c r="H282" i="2"/>
  <c r="I123" i="2"/>
  <c r="J341" i="2"/>
  <c r="J770" i="2"/>
  <c r="I770" i="2"/>
  <c r="H714" i="2"/>
  <c r="J358" i="2"/>
  <c r="I358" i="2"/>
  <c r="J210" i="2"/>
  <c r="I210" i="2"/>
  <c r="J106" i="2"/>
  <c r="I106" i="2"/>
  <c r="H358" i="2"/>
  <c r="H139" i="2"/>
  <c r="G839" i="2"/>
  <c r="G682" i="2"/>
  <c r="G405" i="2"/>
  <c r="H174" i="2"/>
  <c r="G709" i="2"/>
  <c r="H839" i="2"/>
  <c r="H766" i="2"/>
  <c r="J714" i="2"/>
  <c r="H650" i="2"/>
  <c r="J759" i="2"/>
  <c r="H405" i="2"/>
  <c r="H683" i="2"/>
  <c r="J393" i="2"/>
  <c r="I393" i="2"/>
  <c r="I596" i="2"/>
  <c r="G517" i="2"/>
  <c r="J381" i="2"/>
  <c r="I381" i="2"/>
  <c r="I278" i="2"/>
  <c r="J278" i="2"/>
  <c r="J138" i="2"/>
  <c r="I138" i="2"/>
  <c r="I390" i="2"/>
  <c r="G385" i="2"/>
  <c r="J203" i="2"/>
  <c r="I823" i="2"/>
  <c r="H743" i="2"/>
  <c r="I839" i="2"/>
  <c r="G705" i="2"/>
  <c r="G599" i="2"/>
  <c r="J599" i="2"/>
  <c r="I599" i="2"/>
  <c r="J682" i="2"/>
  <c r="H638" i="2"/>
  <c r="G575" i="2"/>
  <c r="G544" i="2"/>
  <c r="H373" i="2"/>
  <c r="I835" i="2"/>
  <c r="H489" i="2"/>
  <c r="J349" i="2"/>
  <c r="H349" i="2"/>
  <c r="I349" i="2"/>
  <c r="J596" i="2"/>
  <c r="I485" i="2"/>
  <c r="J306" i="2"/>
  <c r="I306" i="2"/>
  <c r="J242" i="2"/>
  <c r="I242" i="2"/>
  <c r="J166" i="2"/>
  <c r="I166" i="2"/>
  <c r="I376" i="2"/>
  <c r="H376" i="2"/>
  <c r="H457" i="2"/>
  <c r="H138" i="2"/>
  <c r="G548" i="2"/>
  <c r="G592" i="2"/>
  <c r="G78" i="2"/>
  <c r="H401" i="2"/>
  <c r="G179" i="2"/>
  <c r="J758" i="2"/>
  <c r="I758" i="2"/>
  <c r="H758" i="2"/>
  <c r="I855" i="2"/>
  <c r="I743" i="2"/>
  <c r="J706" i="2"/>
  <c r="G635" i="2"/>
  <c r="J555" i="2"/>
  <c r="I555" i="2"/>
  <c r="H555" i="2"/>
  <c r="H705" i="2"/>
  <c r="G729" i="2"/>
  <c r="G678" i="2"/>
  <c r="G646" i="2"/>
  <c r="G591" i="2"/>
  <c r="H544" i="2"/>
  <c r="G713" i="2"/>
  <c r="G521" i="2"/>
  <c r="G106" i="2"/>
  <c r="G568" i="2"/>
  <c r="G529" i="2"/>
  <c r="G497" i="2"/>
  <c r="I445" i="2"/>
  <c r="H381" i="2"/>
  <c r="J302" i="2"/>
  <c r="I302" i="2"/>
  <c r="I238" i="2"/>
  <c r="J238" i="2"/>
  <c r="J162" i="2"/>
  <c r="I162" i="2"/>
  <c r="H651" i="2"/>
  <c r="G418" i="2"/>
  <c r="I457" i="2"/>
  <c r="H194" i="2"/>
  <c r="H548" i="2"/>
  <c r="H78" i="2"/>
  <c r="H374" i="2"/>
  <c r="G54" i="2"/>
  <c r="H195" i="2"/>
  <c r="J750" i="2"/>
  <c r="I750" i="2"/>
  <c r="H750" i="2"/>
  <c r="G725" i="2"/>
  <c r="G751" i="2"/>
  <c r="G735" i="2"/>
  <c r="I702" i="2"/>
  <c r="I683" i="2"/>
  <c r="J663" i="2"/>
  <c r="I651" i="2"/>
  <c r="J631" i="2"/>
  <c r="G819" i="2"/>
  <c r="H787" i="2"/>
  <c r="H701" i="2"/>
  <c r="G647" i="2"/>
  <c r="J583" i="2"/>
  <c r="I583" i="2"/>
  <c r="H583" i="2"/>
  <c r="J567" i="2"/>
  <c r="I567" i="2"/>
  <c r="H567" i="2"/>
  <c r="J551" i="2"/>
  <c r="I551" i="2"/>
  <c r="H551" i="2"/>
  <c r="I747" i="2"/>
  <c r="I729" i="2"/>
  <c r="G686" i="2"/>
  <c r="J678" i="2"/>
  <c r="H666" i="2"/>
  <c r="G654" i="2"/>
  <c r="J646" i="2"/>
  <c r="H634" i="2"/>
  <c r="I614" i="2"/>
  <c r="G588" i="2"/>
  <c r="H572" i="2"/>
  <c r="I556" i="2"/>
  <c r="G608" i="2"/>
  <c r="I521" i="2"/>
  <c r="I410" i="2"/>
  <c r="J384" i="2"/>
  <c r="G162" i="2"/>
  <c r="H584" i="2"/>
  <c r="I568" i="2"/>
  <c r="I847" i="2"/>
  <c r="H600" i="2"/>
  <c r="I529" i="2"/>
  <c r="I497" i="2"/>
  <c r="G583" i="2"/>
  <c r="G461" i="2"/>
  <c r="I326" i="2"/>
  <c r="J326" i="2"/>
  <c r="J294" i="2"/>
  <c r="I294" i="2"/>
  <c r="I262" i="2"/>
  <c r="J262" i="2"/>
  <c r="J218" i="2"/>
  <c r="I218" i="2"/>
  <c r="J186" i="2"/>
  <c r="I186" i="2"/>
  <c r="J154" i="2"/>
  <c r="I154" i="2"/>
  <c r="J122" i="2"/>
  <c r="I122" i="2"/>
  <c r="G505" i="2"/>
  <c r="I473" i="2"/>
  <c r="I418" i="2"/>
  <c r="H560" i="2"/>
  <c r="H178" i="2"/>
  <c r="H85" i="2"/>
  <c r="I341" i="2"/>
  <c r="G576" i="2"/>
  <c r="G364" i="2"/>
  <c r="G579" i="2"/>
  <c r="J89" i="2"/>
  <c r="I89" i="2"/>
  <c r="I66" i="2"/>
  <c r="J823" i="2"/>
  <c r="I366" i="2"/>
  <c r="H294" i="2"/>
  <c r="G406" i="2"/>
  <c r="J374" i="2"/>
  <c r="I54" i="2"/>
  <c r="H21" i="2"/>
  <c r="J195" i="2"/>
  <c r="J131" i="2"/>
  <c r="G356" i="2"/>
  <c r="J21" i="2"/>
  <c r="J563" i="2"/>
  <c r="H563" i="2"/>
  <c r="I563" i="2"/>
  <c r="J622" i="2"/>
  <c r="H622" i="2"/>
  <c r="I318" i="2"/>
  <c r="J318" i="2"/>
  <c r="I254" i="2"/>
  <c r="J254" i="2"/>
  <c r="J146" i="2"/>
  <c r="I146" i="2"/>
  <c r="H203" i="2"/>
  <c r="J766" i="2"/>
  <c r="I766" i="2"/>
  <c r="G771" i="2"/>
  <c r="G827" i="2"/>
  <c r="I388" i="2"/>
  <c r="H388" i="2"/>
  <c r="G388" i="2"/>
  <c r="I355" i="2"/>
  <c r="H355" i="2"/>
  <c r="J250" i="2"/>
  <c r="I250" i="2"/>
  <c r="J174" i="2"/>
  <c r="I174" i="2"/>
  <c r="I203" i="2"/>
  <c r="I139" i="2"/>
  <c r="H82" i="2"/>
  <c r="G855" i="2"/>
  <c r="G742" i="2"/>
  <c r="G671" i="2"/>
  <c r="G639" i="2"/>
  <c r="J559" i="2"/>
  <c r="I559" i="2"/>
  <c r="H559" i="2"/>
  <c r="H827" i="2"/>
  <c r="H682" i="2"/>
  <c r="G178" i="2"/>
  <c r="G815" i="2"/>
  <c r="H377" i="2"/>
  <c r="G445" i="2"/>
  <c r="I310" i="2"/>
  <c r="J310" i="2"/>
  <c r="J202" i="2"/>
  <c r="I202" i="2"/>
  <c r="H210" i="2"/>
  <c r="G401" i="2"/>
  <c r="J187" i="2"/>
  <c r="I82" i="2"/>
  <c r="J617" i="2"/>
  <c r="I617" i="2"/>
  <c r="H617" i="2"/>
  <c r="I827" i="2"/>
  <c r="H670" i="2"/>
  <c r="J650" i="2"/>
  <c r="G622" i="2"/>
  <c r="I405" i="2"/>
  <c r="G206" i="2"/>
  <c r="G142" i="2"/>
  <c r="H815" i="2"/>
  <c r="G552" i="2"/>
  <c r="G393" i="2"/>
  <c r="G625" i="2"/>
  <c r="H517" i="2"/>
  <c r="G381" i="2"/>
  <c r="J274" i="2"/>
  <c r="I274" i="2"/>
  <c r="J198" i="2"/>
  <c r="I198" i="2"/>
  <c r="J134" i="2"/>
  <c r="I134" i="2"/>
  <c r="H671" i="2"/>
  <c r="J390" i="2"/>
  <c r="H202" i="2"/>
  <c r="H385" i="2"/>
  <c r="H254" i="2"/>
  <c r="G131" i="2"/>
  <c r="G702" i="2"/>
  <c r="J717" i="2"/>
  <c r="I717" i="2"/>
  <c r="G683" i="2"/>
  <c r="G651" i="2"/>
  <c r="J571" i="2"/>
  <c r="I571" i="2"/>
  <c r="H571" i="2"/>
  <c r="G747" i="2"/>
  <c r="J638" i="2"/>
  <c r="G556" i="2"/>
  <c r="H389" i="2"/>
  <c r="H639" i="2"/>
  <c r="G202" i="2"/>
  <c r="I815" i="2"/>
  <c r="H552" i="2"/>
  <c r="H393" i="2"/>
  <c r="G847" i="2"/>
  <c r="H603" i="2"/>
  <c r="J397" i="2"/>
  <c r="I397" i="2"/>
  <c r="I334" i="2"/>
  <c r="J334" i="2"/>
  <c r="I270" i="2"/>
  <c r="J270" i="2"/>
  <c r="J194" i="2"/>
  <c r="I194" i="2"/>
  <c r="J130" i="2"/>
  <c r="I130" i="2"/>
  <c r="H130" i="2"/>
  <c r="G66" i="2"/>
  <c r="H246" i="2"/>
  <c r="J746" i="2"/>
  <c r="I746" i="2"/>
  <c r="H746" i="2"/>
  <c r="J774" i="2"/>
  <c r="I774" i="2"/>
  <c r="H725" i="2"/>
  <c r="G831" i="2"/>
  <c r="H819" i="2"/>
  <c r="I787" i="2"/>
  <c r="G734" i="2"/>
  <c r="G807" i="2"/>
  <c r="G607" i="2"/>
  <c r="J607" i="2"/>
  <c r="I607" i="2"/>
  <c r="H686" i="2"/>
  <c r="G674" i="2"/>
  <c r="J666" i="2"/>
  <c r="H654" i="2"/>
  <c r="G642" i="2"/>
  <c r="J634" i="2"/>
  <c r="J547" i="2"/>
  <c r="H588" i="2"/>
  <c r="I572" i="2"/>
  <c r="G358" i="2"/>
  <c r="G318" i="2"/>
  <c r="G286" i="2"/>
  <c r="G254" i="2"/>
  <c r="I584" i="2"/>
  <c r="H400" i="2"/>
  <c r="I363" i="2"/>
  <c r="G363" i="2"/>
  <c r="I343" i="2"/>
  <c r="H343" i="2"/>
  <c r="G343" i="2"/>
  <c r="G728" i="2"/>
  <c r="H599" i="2"/>
  <c r="G564" i="2"/>
  <c r="H386" i="2"/>
  <c r="I361" i="2"/>
  <c r="J361" i="2"/>
  <c r="J322" i="2"/>
  <c r="I322" i="2"/>
  <c r="J290" i="2"/>
  <c r="I290" i="2"/>
  <c r="J258" i="2"/>
  <c r="I258" i="2"/>
  <c r="J214" i="2"/>
  <c r="I214" i="2"/>
  <c r="I182" i="2"/>
  <c r="J182" i="2"/>
  <c r="J150" i="2"/>
  <c r="I150" i="2"/>
  <c r="J110" i="2"/>
  <c r="I110" i="2"/>
  <c r="I368" i="2"/>
  <c r="H368" i="2"/>
  <c r="I400" i="2"/>
  <c r="H170" i="2"/>
  <c r="H576" i="2"/>
  <c r="H110" i="2"/>
  <c r="I389" i="2"/>
  <c r="G89" i="2"/>
  <c r="G746" i="2"/>
  <c r="H366" i="2"/>
  <c r="H286" i="2"/>
  <c r="J342" i="2"/>
  <c r="H190" i="2"/>
  <c r="H126" i="2"/>
  <c r="I97" i="2"/>
  <c r="J97" i="2"/>
  <c r="H81" i="2"/>
  <c r="H106" i="2"/>
  <c r="H330" i="2"/>
  <c r="H26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Nam</author>
  </authors>
  <commentList>
    <comment ref="H2" authorId="0" shapeId="0" xr:uid="{9BF7B42D-4EB5-4120-B84D-B95199960816}">
      <text>
        <r>
          <rPr>
            <b/>
            <sz val="9"/>
            <color indexed="81"/>
            <rFont val="Tahoma"/>
            <family val="2"/>
          </rPr>
          <t>Luu y: trong luong trung binh va trong luong tuyet doi</t>
        </r>
      </text>
    </comment>
    <comment ref="J2" authorId="0" shapeId="0" xr:uid="{0E9FEC48-B709-4F16-BF3F-BAB393A14BAB}">
      <text>
        <r>
          <rPr>
            <b/>
            <sz val="9"/>
            <color indexed="81"/>
            <rFont val="Tahoma"/>
            <family val="2"/>
          </rPr>
          <t>Luu y: trong luong trung binh va trong luong tuyet doi</t>
        </r>
      </text>
    </comment>
  </commentList>
</comments>
</file>

<file path=xl/sharedStrings.xml><?xml version="1.0" encoding="utf-8"?>
<sst xmlns="http://schemas.openxmlformats.org/spreadsheetml/2006/main" count="2809" uniqueCount="981">
  <si>
    <t>Luật trung bình</t>
  </si>
  <si>
    <r>
      <t>Lượng danh định (Q</t>
    </r>
    <r>
      <rPr>
        <b/>
        <vertAlign val="subscript"/>
        <sz val="14"/>
        <rFont val="Times New Roman"/>
        <family val="1"/>
      </rPr>
      <t>n</t>
    </r>
    <r>
      <rPr>
        <b/>
        <sz val="14"/>
        <rFont val="Times New Roman"/>
        <family val="1"/>
      </rPr>
      <t>) theo đơn vị đo khối lượng (hoặc thể tích)</t>
    </r>
  </si>
  <si>
    <t xml:space="preserve">Lượng thiếu 
cho phép T </t>
  </si>
  <si>
    <t>g (hoặc mL)</t>
  </si>
  <si>
    <r>
      <t>theo % của Q</t>
    </r>
    <r>
      <rPr>
        <b/>
        <vertAlign val="subscript"/>
        <sz val="14"/>
        <rFont val="Times New Roman"/>
        <family val="1"/>
      </rPr>
      <t>n</t>
    </r>
  </si>
  <si>
    <t>theo g 
(hoặc mL)</t>
  </si>
  <si>
    <r>
      <t xml:space="preserve">Lớn hơn 0 đến 5 </t>
    </r>
    <r>
      <rPr>
        <vertAlign val="superscript"/>
        <sz val="14"/>
        <rFont val="Times New Roman"/>
        <family val="1"/>
      </rPr>
      <t>(2)</t>
    </r>
  </si>
  <si>
    <t>-</t>
  </si>
  <si>
    <t>Trên 5 đến 50</t>
  </si>
  <si>
    <t>Trên 50 đến 100</t>
  </si>
  <si>
    <t>4,5</t>
  </si>
  <si>
    <t>Không có mẫu dưới Q - 2T</t>
  </si>
  <si>
    <t>Trên 100 đến 200</t>
  </si>
  <si>
    <t>Cảnh báo: target lệch 1 mức s</t>
  </si>
  <si>
    <t>Trên 200 đến 300</t>
  </si>
  <si>
    <r>
      <t>USL: Q + T với T&gt;s, Q + 1.3T với T</t>
    </r>
    <r>
      <rPr>
        <sz val="10"/>
        <color indexed="8"/>
        <rFont val="Times New Roman"/>
        <family val="1"/>
      </rPr>
      <t>≤</t>
    </r>
    <r>
      <rPr>
        <sz val="10"/>
        <color indexed="8"/>
        <rFont val="Times New Roman"/>
        <family val="2"/>
      </rPr>
      <t>s</t>
    </r>
  </si>
  <si>
    <t>Trên 300 đến 500</t>
  </si>
  <si>
    <t>LSL: Q - T</t>
  </si>
  <si>
    <t>Trên 500 đến 1 000</t>
  </si>
  <si>
    <t>Trên 1 000 đến 10 000</t>
  </si>
  <si>
    <t>1,5</t>
  </si>
  <si>
    <t>Trên 10 000 đến 15 000</t>
  </si>
  <si>
    <t xml:space="preserve">Trên 15 000 </t>
  </si>
  <si>
    <t>1,0</t>
  </si>
  <si>
    <t xml:space="preserve">Cỡ lô </t>
  </si>
  <si>
    <t xml:space="preserve">Cỡ mẫu </t>
  </si>
  <si>
    <t xml:space="preserve">Hệ số hiệu chỉnh </t>
  </si>
  <si>
    <t xml:space="preserve">Số lượng đơn vị hàng đóng gói sẵn không phù hợp cho phép </t>
  </si>
  <si>
    <t>(N)</t>
  </si>
  <si>
    <t>(n)</t>
  </si>
  <si>
    <t>(k)</t>
  </si>
  <si>
    <t>(m)</t>
  </si>
  <si>
    <t>Từ 1 đến 10</t>
  </si>
  <si>
    <t>N</t>
  </si>
  <si>
    <t>Từ 11 đến 50</t>
  </si>
  <si>
    <t>Từ 51 đến 99</t>
  </si>
  <si>
    <t>0,848</t>
  </si>
  <si>
    <t>Từ 100 đến 500</t>
  </si>
  <si>
    <t>0,379</t>
  </si>
  <si>
    <t>Từ 501 đến 3 200</t>
  </si>
  <si>
    <t>0,295</t>
  </si>
  <si>
    <t>Trên 3 200</t>
  </si>
  <si>
    <t>0,234</t>
  </si>
  <si>
    <t>Luật tuyệt đối</t>
  </si>
  <si>
    <t>Tính hao hụt trên con số được thông tin trên bao bì</t>
  </si>
  <si>
    <t>Sản xuất vượt con số thông tin trên bao bì --&gt; tính vào hao hụt</t>
  </si>
  <si>
    <t>Red defect ( 0% )</t>
  </si>
  <si>
    <t>Amber defect ( 4% )</t>
  </si>
  <si>
    <t>s (nội bộ): dao động cho phép khi chạy máy</t>
  </si>
  <si>
    <t>Cảnh báo: target lệch 1 mức 1.5s</t>
  </si>
  <si>
    <t>USL: target + 1.3s</t>
  </si>
  <si>
    <t>LSL: Q</t>
  </si>
  <si>
    <t>Pro-name</t>
  </si>
  <si>
    <t>SAP code</t>
  </si>
  <si>
    <t>Description</t>
  </si>
  <si>
    <t>Type</t>
  </si>
  <si>
    <t>Weight
on pack</t>
  </si>
  <si>
    <t>Unit</t>
  </si>
  <si>
    <t>Trọng lượng an toàn trên
(khong bi)</t>
  </si>
  <si>
    <t>Trọng lượng an toàn dưới
(khong bi)</t>
  </si>
  <si>
    <t>Trọng lượng cận trên
(khong bi)</t>
  </si>
  <si>
    <t>Trọng lượng cận dưới
(khong bi)</t>
  </si>
  <si>
    <t>Trong luong net weigh (g)</t>
  </si>
  <si>
    <t>Tỉ trọng</t>
  </si>
  <si>
    <t>T (Trọng lượng thiếu cho phép)
g</t>
  </si>
  <si>
    <t>Trọng lượng bì (g)</t>
  </si>
  <si>
    <t>Week</t>
  </si>
  <si>
    <t>Note</t>
  </si>
  <si>
    <t xml:space="preserve">CUC </t>
  </si>
  <si>
    <t xml:space="preserve"> SPEC</t>
  </si>
  <si>
    <t>PS-NUCLEA</t>
  </si>
  <si>
    <t>EXP P/S AD ANTI CAVITY130G/100 Mongolia</t>
  </si>
  <si>
    <t>Mongolia</t>
  </si>
  <si>
    <t>g</t>
  </si>
  <si>
    <t>PSGT-G-O</t>
  </si>
  <si>
    <t>P/S GREENTEA RE0208 100G/60</t>
  </si>
  <si>
    <t>Vietnam</t>
  </si>
  <si>
    <t>PSSE-O</t>
  </si>
  <si>
    <t>P/S TP E-SALT P0112 60x120g</t>
  </si>
  <si>
    <t>CURH</t>
  </si>
  <si>
    <t>CUP ACTIVE GEL RED HOT 8ML/240</t>
  </si>
  <si>
    <t>Ghana</t>
  </si>
  <si>
    <t>ml</t>
  </si>
  <si>
    <t>PSC12-GN</t>
  </si>
  <si>
    <t>PEPSODENT COMPL 12  10ML/240</t>
  </si>
  <si>
    <t>CUMF-O</t>
  </si>
  <si>
    <t>EXP CUP MENTHOL CHILL 18G/288 Thailand</t>
  </si>
  <si>
    <t>Thailand</t>
  </si>
  <si>
    <t>TL tuyệt đối</t>
  </si>
  <si>
    <t>EXP CUP MENTHOL CHILL 30G/144 Thailand</t>
  </si>
  <si>
    <t>EXP CUP MENTHOL CHILL 75G/72 Thailand</t>
  </si>
  <si>
    <t>EXP CUP MENTHOL CHILL160G/72 Thailand</t>
  </si>
  <si>
    <t>EXPCUP MENT CHILL TWIN160G/36 Thailand</t>
  </si>
  <si>
    <t>CUCF-O</t>
  </si>
  <si>
    <t>EXP CUP CRYSTAL FROST 30G/144 Thailand</t>
  </si>
  <si>
    <t>EXP CUP CRYSTAL FROST 75G/72 Thailand</t>
  </si>
  <si>
    <t>EXP CUP CRYSTAL FROST 160G/72 Thailand</t>
  </si>
  <si>
    <t>EXP CUP CRYS.FROST TWIN160G/36 Thailand</t>
  </si>
  <si>
    <t>CUCA-SO</t>
  </si>
  <si>
    <t>EXP CUP MILK CALCIUM 160G/72 Thailand</t>
  </si>
  <si>
    <t>EXP CUP MILK CAL TWIN 160G/36 Thailand</t>
  </si>
  <si>
    <t>EXP CUP MILK CALCIUM 75G/72 Thailand</t>
  </si>
  <si>
    <t>EXP CUP MILK CALCIUM 35G/144 Thailand</t>
  </si>
  <si>
    <t>EXP CUP MENT CHILL 160G/72 Campuchia</t>
  </si>
  <si>
    <t>Campuchia</t>
  </si>
  <si>
    <t>CUP MENTHOL CHILL 40G/144 Campuchia</t>
  </si>
  <si>
    <t>EXP CUP MENT CHILL 18G/288 Campuchia</t>
  </si>
  <si>
    <t>CUFG-K</t>
  </si>
  <si>
    <t>CLOSE UP MENTHOL COOL 160G/60 - EROS KOREA</t>
  </si>
  <si>
    <t>Korea</t>
  </si>
  <si>
    <t>CUFB-K</t>
  </si>
  <si>
    <t>CLOSE UP ICE FRESH (Korea) 160G/60 - EROS</t>
  </si>
  <si>
    <t>CLOSE UP ICE FRESH 35G/280-EROS</t>
  </si>
  <si>
    <t>PEPSODENT COMPLETE-12 100ML/72 GHANA</t>
  </si>
  <si>
    <t>CU8A-W-V</t>
  </si>
  <si>
    <t>CUP COMPLETE 8 ACTIONS 125ML/72 NIGERIA</t>
  </si>
  <si>
    <t>Nigeria</t>
  </si>
  <si>
    <t>CU8A-W-X</t>
  </si>
  <si>
    <t>CUP COMP 8 ACT WHITE 125ML/72 NIGERIA</t>
  </si>
  <si>
    <t xml:space="preserve">P/S GREENTEA P0110 200G/36 </t>
  </si>
  <si>
    <t>P/S GOLDMINE 70G/60</t>
  </si>
  <si>
    <t>P/S GOLDMINE 150G/60</t>
  </si>
  <si>
    <t>PEPSODENT COMPL 12 50ML/72</t>
  </si>
  <si>
    <t>CUP ACTIVE GEL RED HOT 50ML/72</t>
  </si>
  <si>
    <t>CUP CRYS.GREEN P0510 70G/60</t>
  </si>
  <si>
    <t>PS/Kid-LO</t>
  </si>
  <si>
    <t>P/S KIDS STRAWBERRY 80G/72-Girl</t>
  </si>
  <si>
    <t>P/S KIDS STRAW-BOYS 80G/72</t>
  </si>
  <si>
    <t>PSWN-SH</t>
  </si>
  <si>
    <t>P/S WHITE NOW RE0410 100G/54</t>
  </si>
  <si>
    <t>CUP-F-R</t>
  </si>
  <si>
    <t>CUP PHOENIX 180G/60</t>
  </si>
  <si>
    <t>TEMPO P/S GREENTEA 200G-SM/30</t>
  </si>
  <si>
    <t>EXPCUP ACTIVE RED HOT 125ML/72 GHANA</t>
  </si>
  <si>
    <t>CLOSE UP TP MILK CALCIUM NUTRIENT 72x75g</t>
  </si>
  <si>
    <t>Pak</t>
  </si>
  <si>
    <t>CLOSE UP TP MILK CALCIUM NUTRIENT60x130g</t>
  </si>
  <si>
    <t>PSLM-NIA</t>
  </si>
  <si>
    <t>P/S TOOTHPASTE LEMN FRESH 100x100g</t>
  </si>
  <si>
    <t>P/S TOOTHPASTE LEMN FRESH 36x200g</t>
  </si>
  <si>
    <t>CLOSE UP TOOTHPASTE GRN TEMPO 36x220g</t>
  </si>
  <si>
    <t>CLOSE UP TOOTHPASTE WHTNG TEMPO 36x220g</t>
  </si>
  <si>
    <t>PS-BUL</t>
  </si>
  <si>
    <t>PEPSODENT TOOTHPASTE U2 12x6x160G(KH)</t>
  </si>
  <si>
    <t>PEPSODENT TOOTHPASTE U2 12x12x40G(KH)</t>
  </si>
  <si>
    <t>PEP-BULL</t>
  </si>
  <si>
    <t>PEPSODENT TP CAVITY FIGHTER 72x100ml</t>
  </si>
  <si>
    <t>PEPSODENT TP CAVITY FIGHTER 240x10ml</t>
  </si>
  <si>
    <t>PEPSODENT TP CAVITY FIGHTER 72x50ml</t>
  </si>
  <si>
    <t>MW-GTEA</t>
  </si>
  <si>
    <t>P/S MOUTHWASH GREEN TEA AW0211 12x300ml</t>
  </si>
  <si>
    <t>MW-ANTI</t>
  </si>
  <si>
    <t>P/S MOUTHWASH COMPLETE-8 12x300ml</t>
  </si>
  <si>
    <t>P/S MOUTHWASH COMPLETE-8 24x150ml</t>
  </si>
  <si>
    <t>P/S TP COMPLETE 8 TEMPO 36x150g</t>
  </si>
  <si>
    <t>PSSE-PLS</t>
  </si>
  <si>
    <t>P/S TP SENSITIVE EXPERT 54x100g</t>
  </si>
  <si>
    <t>P/S TOOTHPASTE BV2L SAMPLE 350x20g</t>
  </si>
  <si>
    <t>P/S TP COMPLETE 8 SAMP 600x18g</t>
  </si>
  <si>
    <t>PSWN-STL</t>
  </si>
  <si>
    <t>CLOSE UP TOOTHPASTE WHITE NOW 54x100G</t>
  </si>
  <si>
    <t>P/S TP BV2L/SAMP 36x(1+1)200g/20g</t>
  </si>
  <si>
    <t>P/S TP BV2L TEMPO (LFB SP) 100x120g</t>
  </si>
  <si>
    <t>P/S TP GTEA TEMPO TET-XSOFT 30x200g</t>
  </si>
  <si>
    <t>CLOSE UP TP BLUE AW0111 BIGGER 60x100g</t>
  </si>
  <si>
    <t>P/S TP COMPLETE-8 P0211 60x150g</t>
  </si>
  <si>
    <t>PEPSODENT COMPLETE 8 ACTION WHT 72x100ml</t>
  </si>
  <si>
    <t>P/S TP HEALTHY FRESH SAMP 350x20g</t>
  </si>
  <si>
    <t>P/S TP BV2L/HEALTHY FRSH 36(1+1)200g/20g</t>
  </si>
  <si>
    <t>CLOSE UP TP GREEN P0211 36x220g</t>
  </si>
  <si>
    <t>CLOSE UP TP WHITENING P0211 36x220g</t>
  </si>
  <si>
    <t>CLOSE UP TP FIRE-FREEZE P0211 60x180g</t>
  </si>
  <si>
    <t>PSK-O</t>
  </si>
  <si>
    <t>P/S TP KIDS STRAWBERRY P0111 120x35g</t>
  </si>
  <si>
    <t>P/S TP HEALTHY FRESH TEMP(X30) 30x200g</t>
  </si>
  <si>
    <t>PEPSODENT TP CAVITY FIGHTER PRO 36x150ml</t>
  </si>
  <si>
    <t>SAF</t>
  </si>
  <si>
    <t>PEPSODENT COMPLETE 8 ACTION 72x100ml</t>
  </si>
  <si>
    <t>PEPSODENT TP GREEN TEA 72x100ml</t>
  </si>
  <si>
    <t>PEPSODENT TP COMPLETE 8 72x100ml</t>
  </si>
  <si>
    <t>PEPSODENT TP CAVITY FIGHTER(SA) 72x100ml</t>
  </si>
  <si>
    <t>CLOSE UP TP GREEN SAMPLE 350x25g</t>
  </si>
  <si>
    <t>CLOSE UP TP GREEN/SAMP 36(1+1)220g/25g</t>
  </si>
  <si>
    <t>CLOSE UP TP FIRE-FR/GRN 36x(1+1)180g/25g</t>
  </si>
  <si>
    <t>P/S TP ANTI CAVITY RE0112 36x250g</t>
  </si>
  <si>
    <t>P/S TP ANTI CAVITY RE0112 120x45g</t>
  </si>
  <si>
    <t>P/S TP ANTI CAVITY RE0112 100x120g</t>
  </si>
  <si>
    <t>P/S TP ANTI CAVITY RE0112 36x200g</t>
  </si>
  <si>
    <t>CLOSE UP TP BLUE/GRN SAMP36(1+1)220g/25g</t>
  </si>
  <si>
    <t>PSHB-S-O</t>
  </si>
  <si>
    <t>P/S TP DEEP FRESH P0112 60x160g</t>
  </si>
  <si>
    <t>P/S TP GTEA P0211 36x200g</t>
  </si>
  <si>
    <t>P/S TP SENSITIVE EXPERT SAMP 240x20g</t>
  </si>
  <si>
    <t>PSP123-W</t>
  </si>
  <si>
    <t>P/S TP PROTECTION 123 36x200g</t>
  </si>
  <si>
    <t>CUIW-MB</t>
  </si>
  <si>
    <t>CLOSE UP TP GREEN 72x60g</t>
  </si>
  <si>
    <t>CLOSE-UP TP GREEN RE0112 60x150g</t>
  </si>
  <si>
    <t>CLOSE-UP TP GREEN RE0112 36x220g</t>
  </si>
  <si>
    <t>CUIW-WB</t>
  </si>
  <si>
    <t>CLOSE-UP TP WHITENING RE0112 60x150g</t>
  </si>
  <si>
    <t>CLOSE-UP TP WHITENING RE0112 36x220g</t>
  </si>
  <si>
    <t>CLOSE UP TP GREEN SAMP 288x25g</t>
  </si>
  <si>
    <t>CURH-DA</t>
  </si>
  <si>
    <t>CLOSE UP TP RED HOT DEEP ACTION 72x125g</t>
  </si>
  <si>
    <t xml:space="preserve">SAF </t>
  </si>
  <si>
    <t>CUCB-DA</t>
  </si>
  <si>
    <t>CLOSE UP TP COOL BREEZE DA 72x125g</t>
  </si>
  <si>
    <t>CLOSE UP TP RED HOT DEEP ACT 72x160g</t>
  </si>
  <si>
    <t>P8A-W-SA</t>
  </si>
  <si>
    <t>PEPSODENT TP COMPLETE 8 ACTION 72x100ml</t>
  </si>
  <si>
    <t>kiem tra lai code FG tren interspec</t>
  </si>
  <si>
    <t>CUFF-R-SA</t>
  </si>
  <si>
    <t>CLOSE UP TP FIRE FREEZE 72x125g</t>
  </si>
  <si>
    <t>CUMF-DA</t>
  </si>
  <si>
    <t>CLOSE UP TP MENTHOL FRESH DA 72x160g</t>
  </si>
  <si>
    <t>Ghana Venus</t>
  </si>
  <si>
    <t>P8AWW-SA</t>
  </si>
  <si>
    <t>PEPSODENT TP COMPLETE 8 ACT WH 72x100ml</t>
  </si>
  <si>
    <t>Ghana Gold</t>
  </si>
  <si>
    <t>P/S MOUTHWASH GREEN TEA RE0112 12x300ml</t>
  </si>
  <si>
    <t>P/S MOUTHWASH PROTECTION EXPERT 12x300ml</t>
  </si>
  <si>
    <t>P/S MOUTHWASH PROTECTION EXPERT 12x500ml</t>
  </si>
  <si>
    <t>P/S MOUTHWASH GREEN TEA 12x500ml</t>
  </si>
  <si>
    <t>P/S KIDS STRAWBERRY 35G/120</t>
  </si>
  <si>
    <t>PEPSODENT TP CAVITY FIGHTER 240x15g</t>
  </si>
  <si>
    <t>Ghana Bull Eyes</t>
  </si>
  <si>
    <t>PEPSODENT TP CAVITY FIGHTER 72x175g</t>
  </si>
  <si>
    <t>CLOSE UP TP RED HOT DEEP ACT 120x30g</t>
  </si>
  <si>
    <t>Ghana/Kenya Venus</t>
  </si>
  <si>
    <t>CUDA-TL</t>
  </si>
  <si>
    <t>CLOSE UP TP DEEP ACTION P12x12x30g</t>
  </si>
  <si>
    <t>Thai Venus</t>
  </si>
  <si>
    <t>CLOSE UP TP DEEP ACTION P12x6x75g</t>
  </si>
  <si>
    <t>CLOSE UP TP DEEP ACTION P12x6x160g</t>
  </si>
  <si>
    <t>CLOSE UP TP DEEP ACTION TW P12x3x160g</t>
  </si>
  <si>
    <t>PEPSODENT TP CAVITY FIGHTER 120x35g</t>
  </si>
  <si>
    <t>PEPSODENT TP CAVITY FIGHTER 72x65g</t>
  </si>
  <si>
    <t>CLOSE UP TP ICY WHITE P12x6x160g</t>
  </si>
  <si>
    <t>Thai Alaska</t>
  </si>
  <si>
    <t>CLOSE UP TP ICY WHITE TWIN P12x3x160g</t>
  </si>
  <si>
    <t>CLOSE UP TP RED HOT DEEP ACT 240x10g</t>
  </si>
  <si>
    <t>CLOSE UP TP RED HOT DEEP ACT 72x60g</t>
  </si>
  <si>
    <t>CLOSE UP TP MENTHOL FRESH DA 240x10g</t>
  </si>
  <si>
    <t>CLOSE UP TP MENTHOL FRESH DA 120x30g</t>
  </si>
  <si>
    <t>CLOSE UP TP MENTHOL FRESH DA 72x60g</t>
  </si>
  <si>
    <t>CLOSE UP TP MENTHOL FRESH DA 72x125g</t>
  </si>
  <si>
    <t>Kenya Venus</t>
  </si>
  <si>
    <t>CLOSE UP TP FIRE-FR TEMP (CMPLT) 45x180g</t>
  </si>
  <si>
    <t>P/S TOOTHPASTE GTEA SAMPLE 600x18g</t>
  </si>
  <si>
    <t>P/S TP GTEA 200g free GTea 18g 36(1+1)x200g</t>
  </si>
  <si>
    <t>PEPSODENT TP CAVITY FIGHTER PRO 36x200g</t>
  </si>
  <si>
    <t>Ghana Bull Eyes/Venus</t>
  </si>
  <si>
    <t>P/S TP ANTI CAVITY P0212 120x45g</t>
  </si>
  <si>
    <t>P/S TP ANTI CAVITY P0212 100x120g</t>
  </si>
  <si>
    <t>P/S TP ANTI CAVITY P0212 36x200g</t>
  </si>
  <si>
    <t>P/S TP ANTI CAVITY P0212 36x250g</t>
  </si>
  <si>
    <t>P/S TP PROTECTION 123 TEMP 30x200g</t>
  </si>
  <si>
    <t>CLOSE UP TP FIRE FREEZE SAMP 350x25g</t>
  </si>
  <si>
    <t>CLOSE UP TP RED HOT DEEP ACT 72x125g</t>
  </si>
  <si>
    <t>SN-CVFWM-CVFWM</t>
  </si>
  <si>
    <t>SIGNAL TP CAVITY FIGHTER 72x75g</t>
  </si>
  <si>
    <t>Myanmar</t>
  </si>
  <si>
    <t>SIGNAL TP CAVITY FIGHTER 72x160</t>
  </si>
  <si>
    <t>PS-APUN</t>
  </si>
  <si>
    <t>PEPSODENT TP APPLE(UNI) 72x50ml</t>
  </si>
  <si>
    <t>Unica</t>
  </si>
  <si>
    <t>PEPSODENT TP APPLE(UNI) 72x100ml</t>
  </si>
  <si>
    <t>PS-SPEA</t>
  </si>
  <si>
    <t>PEPSODENT TP SPEARMINT(UNI) 72x50ml</t>
  </si>
  <si>
    <t>PEPSODENT TP SPEARMINT(UNI) 72x100ml</t>
  </si>
  <si>
    <t>PS-SMUN</t>
  </si>
  <si>
    <t>PEPSODENT TP CAVITY FIGHTER(UNI) 72x50ml</t>
  </si>
  <si>
    <t>PEPSODENT TP CAVITY FIGHTER(UNI)72x100ml</t>
  </si>
  <si>
    <t>PEPSODENT TP CAVITY FIGHTER(SA) 72x50ml</t>
  </si>
  <si>
    <t>PS-EXPO</t>
  </si>
  <si>
    <t>P/S TP EXPERT PROTECT CORE TEMP 60x150g</t>
  </si>
  <si>
    <t>PSEP-W</t>
  </si>
  <si>
    <t>P/S TP EXPERT PROTECT WHITE TEMP 60x150g</t>
  </si>
  <si>
    <t>PEPSODENT TP COMPLETE 8 WHITE 72x100ml</t>
  </si>
  <si>
    <t>MW-EXPERT</t>
  </si>
  <si>
    <t>P/S MW EP SNSTV EXPERT RE0113 12x300ml</t>
  </si>
  <si>
    <t>P/S TP EPRT PRO CMPLT SAMP(CARTN)288X30G</t>
  </si>
  <si>
    <t>P/S TP EXPERT PRO WHT SAMP(CARTN)288X30G</t>
  </si>
  <si>
    <t>P/S TP GTEA/TB X-SOFT TEMPO 30X200G</t>
  </si>
  <si>
    <t>P/S TP ANTI CAVITY AW0113 120x45g</t>
  </si>
  <si>
    <t>PVS Campuchiapaign</t>
  </si>
  <si>
    <t>P/S TP ANTI CAVITY AW0113 100x120g</t>
  </si>
  <si>
    <t>P/S TP ANTI CAVITY AW0113 36x200g</t>
  </si>
  <si>
    <t>Ghana Goldmine</t>
  </si>
  <si>
    <t>CLOSE UP TP FIRE FRZ SAMP(CARTN) 288X25G</t>
  </si>
  <si>
    <t>SINOHA</t>
  </si>
  <si>
    <t>SIGNAL TP WHITE NOW TRIP POWER 54x75ml</t>
  </si>
  <si>
    <t>Turkey</t>
  </si>
  <si>
    <t>PEPSODENT TP GREENTEA PROMOTION 36x150ml</t>
  </si>
  <si>
    <t>P/S TP SENSITIVE EPRT SAMP(CARTN)288X30G</t>
  </si>
  <si>
    <t>P/S TP SENSITIVE EXPERT TEMPO 54x100g</t>
  </si>
  <si>
    <t>CLOSE UP TOOTHPASTE FIRE-FREEZE 60X170G</t>
  </si>
  <si>
    <t>CUPSASA</t>
  </si>
  <si>
    <t>CLOSE UP TP WHITE NOW IC MINT 54X100G</t>
  </si>
  <si>
    <t>CLOSE UP TP FIRE-FREEZE SAMP 60X60G</t>
  </si>
  <si>
    <t>Sampling</t>
  </si>
  <si>
    <t>CUDA-( CPC )</t>
  </si>
  <si>
    <t>CLOSE UP TP DA MENTHOL FRESH 144x40g</t>
  </si>
  <si>
    <t>CLOSE UP TP DEEP ACTION RED HOT 144x40g</t>
  </si>
  <si>
    <t>CLOSE UP TP DEEP ACTION RED HOT 72x160g</t>
  </si>
  <si>
    <t>CLOSE UP TP MENTHOL CHILL (IR) 72x60g</t>
  </si>
  <si>
    <t>Iran</t>
  </si>
  <si>
    <t>CUPBL-IR</t>
  </si>
  <si>
    <t>CLOSE UP TP CRYSTAL FROST WB(IR) 72x60g</t>
  </si>
  <si>
    <t>CUPGR-IR</t>
  </si>
  <si>
    <t>CLOSE UP TP CRYSTAL FROST MB(IR) 72x60g</t>
  </si>
  <si>
    <t>CLOSE UP TP RED HOT (IR) 72x60g</t>
  </si>
  <si>
    <t>CUPLEMON</t>
  </si>
  <si>
    <t>CLOSE UP TP LEMON MINT (IR) 72x60g</t>
  </si>
  <si>
    <t>CLOSE UP TP CRYSTAL FROST MB(IR) 72x125g</t>
  </si>
  <si>
    <t>CLOSE UP TP CRYSTAL FROST WB(IR) 72x125g</t>
  </si>
  <si>
    <t>CLOSE UP TP RED HOT (IR) 72x125g</t>
  </si>
  <si>
    <t>CLOSE UP TP LEMON MINT (IR) 72x125g</t>
  </si>
  <si>
    <t>CLOSE UP TP MENTHOL CHILL (IR) 72x125g</t>
  </si>
  <si>
    <t>SINHE-G</t>
  </si>
  <si>
    <t>SIGNAL TP CAVITY FIGHTER HERBAL 72x50ml</t>
  </si>
  <si>
    <t>SIGNAL TP CAVITY FIGHTER HERBAL 72x100ml</t>
  </si>
  <si>
    <t>SIMMO-W</t>
  </si>
  <si>
    <t>SIGNAL TP WHITENING 72x50ml</t>
  </si>
  <si>
    <t>SIGNAL TP WHITENING 72x100ml</t>
  </si>
  <si>
    <t>CLOSE UP TP GREEN P0113 36X210G</t>
  </si>
  <si>
    <t>CLOSE UP TP BLUE P0113 36X210G</t>
  </si>
  <si>
    <t>MW-ACTI</t>
  </si>
  <si>
    <t>P/S MW EP PRO COMPLETE SAMP 12X250ML</t>
  </si>
  <si>
    <t>SINAP-W</t>
  </si>
  <si>
    <t>SIGNAL TP CAVITY FIGHTER APPLE 72x50ml</t>
  </si>
  <si>
    <t>SIGNAL TP CAVITY FIGHTER APPLE 72x100ml</t>
  </si>
  <si>
    <t>CUFFR-SA</t>
  </si>
  <si>
    <t>CLOSE UP TP FIRE FREEZE (IR) 72x125g</t>
  </si>
  <si>
    <t>SIGNAL TP COMPLETE 8 GOLD 72x100ml</t>
  </si>
  <si>
    <t>SIGNAL TP COMPLETE 8 WHITE 72x100ml</t>
  </si>
  <si>
    <t>PS-SMUN-CFUN</t>
  </si>
  <si>
    <t>SIGNAL TP CAVITY FIGHTER 72x50ml</t>
  </si>
  <si>
    <t>SIGNAL TP CAVITY FIGHTER 72x100ml</t>
  </si>
  <si>
    <t>P/S TP GREEN TEA RE0113 60X100G</t>
  </si>
  <si>
    <t>P/S TP GREEN TEA RE0113 36X200G</t>
  </si>
  <si>
    <t>PS-LEMON</t>
  </si>
  <si>
    <t>P/S TP LEMON FRESH 60X90G</t>
  </si>
  <si>
    <t>P/S TP HEALTHY FRESH 36X180G</t>
  </si>
  <si>
    <t>PS-SE-PLS</t>
  </si>
  <si>
    <t>P/S TP SENSITIVE EXPERT(BACKCARD)54x100g</t>
  </si>
  <si>
    <t>P/S TP PROTECTION 123 60X100G</t>
  </si>
  <si>
    <t>P/S MW EP SENSITIVE EXPERT SAMP 12X250ML</t>
  </si>
  <si>
    <t>MW Sampling</t>
  </si>
  <si>
    <t>P/S TP PROTECTION123 SAMP 288x30g</t>
  </si>
  <si>
    <t>CLOSE UP TP FIRE-FREEZE AW0113 60X170G</t>
  </si>
  <si>
    <t>CLOSE UP TP GREEN AW0113 36X210G</t>
  </si>
  <si>
    <t>CLOSE UP TP WHITENING AW0113 60X150G</t>
  </si>
  <si>
    <t>CLOSE UP TP WHITENING AW0113 36X210G</t>
  </si>
  <si>
    <t/>
  </si>
  <si>
    <t>PEPSODENT WHITE CAVITY FIGHTER 144x(2x12g)</t>
  </si>
  <si>
    <t>Philippines</t>
  </si>
  <si>
    <t>P/S TP GREEN TEA P0114 60X100G</t>
  </si>
  <si>
    <t>P/S TP GREEN TEA P0114 36X200G</t>
  </si>
  <si>
    <t>SIGNAL TP CAVITY FIGHTER 288X20G</t>
  </si>
  <si>
    <t>P/S TP EXPERT PROTECT SAMP(CARTN) 72X60G</t>
  </si>
  <si>
    <t>P/S TP EXPERT PROTECT (BACKCARD)60X150G</t>
  </si>
  <si>
    <t>P/S TP ANTI CAVITY P0212 60x120g</t>
  </si>
  <si>
    <t>P/S TP EXPERT PRO WHITE (BACKCARD)60X150G</t>
  </si>
  <si>
    <t>CLOSE UP TP GREEN 60X110G</t>
  </si>
  <si>
    <t>P/S TP ANTI CAVITY AW0213 60X120G</t>
  </si>
  <si>
    <t>PEPSODENT TOOTHPASTE ACTION123 6x6x250g</t>
  </si>
  <si>
    <t>Indo</t>
  </si>
  <si>
    <t>P/S TP EXPERT PRO GUMCARE (BCARD) 60x 150g</t>
  </si>
  <si>
    <t>SIGNAL TP TRIP PROTECTION 123 ORI 72 x160G</t>
  </si>
  <si>
    <t>MYANMAR</t>
  </si>
  <si>
    <t>P/S CAVITY FIGHTER 3X ACTION 36 x 180G</t>
  </si>
  <si>
    <t>CLOSE UP TP GREEN SAMP13 288X25G</t>
  </si>
  <si>
    <t>P/S TP PROTECTION 123 COMBO 30X(2X200G)</t>
  </si>
  <si>
    <t>CLOSE UP TP MENTHOL FRESH P12X12X30G</t>
  </si>
  <si>
    <t>CLOSE UP TP MENTHOL FRESH P12X6X160G</t>
  </si>
  <si>
    <t>CLOSE UP TP FIRE FREEZE SAMP13 60X60G</t>
  </si>
  <si>
    <t>CLOSE UP TP MENTHOL FRESH P12X6X75G</t>
  </si>
  <si>
    <t>CLOSE UP TP DEEP ACT RED HOT P12X6X75G</t>
  </si>
  <si>
    <t>CLOSE UP TP MENTHOL FRESH TW P12X3X160G</t>
  </si>
  <si>
    <t>CLOSE UP TP DEEP ACT RED HOT P12X12X30G</t>
  </si>
  <si>
    <t>CLOSE UP TP DAT RED HOT P12X6X160G</t>
  </si>
  <si>
    <t>CLOSE UP TP DAT RED HOT TW P12X3X160G</t>
  </si>
  <si>
    <t>P/S TP E.P GUMCARE SAMP(CARTON) 288X30G</t>
  </si>
  <si>
    <t>Item mới</t>
  </si>
  <si>
    <t>P/S TP ADV AC 3X ACTN SAMP(CARTN) 72X60G</t>
  </si>
  <si>
    <t>P/S MW EP PRO-COMPLETE RE0114 12X300ML</t>
  </si>
  <si>
    <t>P/S MW EP PRO-COMPLETE RE0114 12X500ML</t>
  </si>
  <si>
    <t>CLOSE UP TP MENTHOL FRESH P12X6X60G</t>
  </si>
  <si>
    <t>P/S TP ADVANCED ANTI-CAVITY 60X110G</t>
  </si>
  <si>
    <t>P/S MW EP GREENTEA FRESH P0214 12X500ML</t>
  </si>
  <si>
    <t>P/S MW EP GREENTEA FRESH P0214 12X300ML</t>
  </si>
  <si>
    <t>SIGNAL TP TRIP PROTECTION123 ORI 72X75G</t>
  </si>
  <si>
    <t>P/S TP ADV AC 3X ACTN SAMP(CARTN)288X30G</t>
  </si>
  <si>
    <t>CLOSE UP TP FIRE FREEZE (GAGA) 72X125G</t>
  </si>
  <si>
    <t>CLOSE UP TP RED HOT (Gaga) 72x125g</t>
  </si>
  <si>
    <t>CLOSE UP TP RED HOT (GAGA) 72X60G</t>
  </si>
  <si>
    <t>CLOSE UP TP RED HOT (Gaga) 108x30g</t>
  </si>
  <si>
    <t>CLOSE UP TP MENTHOL FRESH (Gaga) 72x125g</t>
  </si>
  <si>
    <t>CLOSE UP TP MENTHOL FRESH (Gaga) 108x30g</t>
  </si>
  <si>
    <t>CLOSE UP TP DIAMOND ATTRACTION 36X100G</t>
  </si>
  <si>
    <t>CLOSE UP TP GREEN COMBO 24X(2X210G)</t>
  </si>
  <si>
    <t>SIGNAL TP TRIP PROTECTION123 ORI 216X30G</t>
  </si>
  <si>
    <t>P/S TOOTHPASTE PROTECTION123 36X240G</t>
  </si>
  <si>
    <t xml:space="preserve"> P/S TOOTHPASTE GREEN TEA 36X240G</t>
  </si>
  <si>
    <t>CLOSE UP TOOTHPASTE GREEN 36X230G</t>
  </si>
  <si>
    <t>CLOSE UP TOOTHPASTE WHITENING 36X230G</t>
  </si>
  <si>
    <t>CLOSE UP DIA ATTRACT-POWER WHITE 36X100G</t>
  </si>
  <si>
    <t>CLOSE UP DIA ATTRACT-POWER WHITE 36X50G (Snow - Thailand )</t>
  </si>
  <si>
    <t xml:space="preserve">CLOSE UP TP GREEN AW0113 60X150G </t>
  </si>
  <si>
    <t>CLOSE UP TOOTHPASTE GREEN 36X200G</t>
  </si>
  <si>
    <t>CLOSE UP TOOTHPASTE WHITENING 36X200G</t>
  </si>
  <si>
    <t>P/S TP PRO123 TEMP (TB TRIDENT) 30X200G</t>
  </si>
  <si>
    <t xml:space="preserve">Chưa có </t>
  </si>
  <si>
    <t>CUP FIRE FREEZE TWIN PACK 36x2x145ML</t>
  </si>
  <si>
    <t>Chưa có (1)</t>
  </si>
  <si>
    <t>CUP FIRE FREEZE TWIN PACK 48X2X95ML</t>
  </si>
  <si>
    <t>CLOSE UP TP GREEN 60X90G</t>
  </si>
  <si>
    <t>CLOSE UP TP RED HOT (GAGA SAF) 72X125G</t>
  </si>
  <si>
    <t>CLOSE UP TP COOL BREEZE (Gaga) 72x125g</t>
  </si>
  <si>
    <t>CUP MENTHOL FRESH 144x2x11g</t>
  </si>
  <si>
    <t>CLOSE UP TP GREEN COMBO-DC 24X(2X200G)</t>
  </si>
  <si>
    <t>CLOSE UP TP RED HOT (Gaga) 72x160g</t>
  </si>
  <si>
    <t>Gaga</t>
  </si>
  <si>
    <t>CLOSE UP MENTHOL FRESH PACK 36X2X145ML</t>
  </si>
  <si>
    <t>CLOSE UP MENTHOL FRESH PACK 48X2X95ML</t>
  </si>
  <si>
    <t>CLOSE UP RED HOT TWIN 48X2X95ML</t>
  </si>
  <si>
    <t>CLOSE UP RED HOT TWIN 36X2X145ML</t>
  </si>
  <si>
    <t>PEPSODENT TP CAVITY FIGHTER CORE 72X175G</t>
  </si>
  <si>
    <t>Ghana/UMDCA</t>
  </si>
  <si>
    <t>PEPSODENT TP CAVITY FIGHTER CORE 240X15G</t>
  </si>
  <si>
    <t>P/S TP PROTECTION 123 P0115 36X200G</t>
  </si>
  <si>
    <t>P/S TP GREEN TEA P0115 60X100G</t>
  </si>
  <si>
    <t>PEPSODENT TP CAVITY FIGHTER CORE 72X65G</t>
  </si>
  <si>
    <t>PEPSODENT TP CAVITY FIGHTER CORE 108X35G</t>
  </si>
  <si>
    <t>P/S TP ANTI CAVITY P0114 36X200G</t>
  </si>
  <si>
    <t>PEPSODENT TP CAVITY FIGHTER CORE 72X150G</t>
  </si>
  <si>
    <t>P/S TP GREEN TEA P0115 36X200G</t>
  </si>
  <si>
    <t>CLOSE UP TOOTHPASTE GREEN  60X140G</t>
  </si>
  <si>
    <t>CLOSE UP TOTHPASTE WHITENING 60X140G</t>
  </si>
  <si>
    <t>CLOSE UP TOOTHPASTE GREEN P0115 36X200G</t>
  </si>
  <si>
    <t>CLOSE UP TP GREEN CMB P0115 24X(2X200G)</t>
  </si>
  <si>
    <t>CLOSE UP TP WHITENING P0115 36X200G</t>
  </si>
  <si>
    <t>CLOSE UP TP DEEP ACTION GREEN 72X140G</t>
  </si>
  <si>
    <t>P/S TP PRTCTN123 COMBO P0115 30X(2X200G)</t>
  </si>
  <si>
    <t>PEPSODENT TP TRIP PROTECTION ORI 72X140G</t>
  </si>
  <si>
    <t>SIGNAL TP CAVITY FIGHTER 72X150G</t>
  </si>
  <si>
    <t>CDI</t>
  </si>
  <si>
    <t>SIGNAL TP CAVITY FIGHTER 108X35G</t>
  </si>
  <si>
    <t>SIGNAL TP TRIP PROTECTION ORI 72X140G</t>
  </si>
  <si>
    <t>CLOSE UP TP WHITENING RIHANNA-15 36X200G</t>
  </si>
  <si>
    <t>CLOSE UP TP GREEN RIHANNA-15 36X200G</t>
  </si>
  <si>
    <t>P/S TP AAC TEMP16(TET-SENSITIVE) 36X200G</t>
  </si>
  <si>
    <t>P/S TP AAC TEMP16(TET-PRO123) 36X200G</t>
  </si>
  <si>
    <t>P/S TP SNSTV EPRT (BCARD) P0115 54X100G</t>
  </si>
  <si>
    <t>CLOSE UP TP WHITE VALENTINE(16) 36X230G</t>
  </si>
  <si>
    <t>CLOSE UP TP GREEN VALENTINE(16) 36X230G</t>
  </si>
  <si>
    <t>P/S TP EXPERT PRO CORE RE0115 60X150G</t>
  </si>
  <si>
    <t>P/S TP EXPERT PRO GUMCARE RE0115 60X150G</t>
  </si>
  <si>
    <t>P/S TP EXPERT PRO WHITE RE0115 60X150G</t>
  </si>
  <si>
    <t>P/S TP SENSITIVE EXPRT WHITENING 54X100G</t>
  </si>
  <si>
    <t>P/S TP SENSITIVE EXPRT FRESHNESS 54X100G</t>
  </si>
  <si>
    <t>CLOSE UP TOOTHPASTE RED 36X200G</t>
  </si>
  <si>
    <t>CLOSE UP TOOTHPASTE RED 60X140G</t>
  </si>
  <si>
    <t>CLOSE UP TOOTHPASTE RED CMB 24X(2X200G)</t>
  </si>
  <si>
    <t>CLOSE UP RED HOT RL PH 144X(2X11G)</t>
  </si>
  <si>
    <t>PEPSODENT TP CAVITY FIGHTER CORE 36x200g</t>
  </si>
  <si>
    <t>P/S TP 123 GTEA RE0116 36X240G</t>
  </si>
  <si>
    <t>P/S TP PROTECTION 123 P0116 36X240G</t>
  </si>
  <si>
    <t>CLOSE UP TOOTHPASTE GREEN P0116 36X230G</t>
  </si>
  <si>
    <t>P/S TP 123 GTEA RE0116 36X200G</t>
  </si>
  <si>
    <t>P/S TP 123 GTEA COMBO 24X(2X200G)</t>
  </si>
  <si>
    <t>P/S TP PROTECTION 123 P0116 36X200G</t>
  </si>
  <si>
    <t>P/S TP PRTCTN 123 P0116 CMB 30X(2X200G)</t>
  </si>
  <si>
    <t>CLOSE UP TP WHITENING P0116 36X200G</t>
  </si>
  <si>
    <t>CLOSE UP TOOTHPASTE GREEN P0116 36X200G</t>
  </si>
  <si>
    <t>CLOSE UP TP MENTHOL FRESH (GAGA) 72X60G</t>
  </si>
  <si>
    <t>CLOSE UP TP WHITENING P0116 36X230G</t>
  </si>
  <si>
    <t>P/S TP 123 GTEA RE0116 60X100G</t>
  </si>
  <si>
    <t>CLOSE UP RED HOT TWIN PI 36X2X145ML</t>
  </si>
  <si>
    <t xml:space="preserve">ml </t>
  </si>
  <si>
    <t>CLOSE UP RED HOT TWIN PI 48X2X95ML</t>
  </si>
  <si>
    <t>CLOSE UP MENTHOL FRESH TW PI 48X2X95ML</t>
  </si>
  <si>
    <t>CLOSE UP MENTHOL FRESH TW PI 36X2X145ML</t>
  </si>
  <si>
    <t>P/S TP AAC TEMP16 36X200G</t>
  </si>
  <si>
    <t>CLOSE UP TP GREEN CMB P0116 24X(2X200G)</t>
  </si>
  <si>
    <t>SIGNAL TP SENSITIVE EXPERT GUM 54X100G</t>
  </si>
  <si>
    <t>CLOSE UP MENTHOL FRESH FO10B P12X12X30G</t>
  </si>
  <si>
    <t>CLOSE UP TP DA RED HOT FO10B P12X12X30G</t>
  </si>
  <si>
    <t>SIGNAL TP SENSITIVE EXPERT WHT 54X100G</t>
  </si>
  <si>
    <t>SIGNAL TP SENSITIVE EXPERT CORE 54X100G</t>
  </si>
  <si>
    <t>P/S TP ANTI CAVITY AW0116 36X200G</t>
  </si>
  <si>
    <t>CLOSE UP TOOTHPASTE RED SAMP 288X30G</t>
  </si>
  <si>
    <t>P/S TP ANTI CAVITY AW0116 36X240G</t>
  </si>
  <si>
    <t>P/S TP ANTI CAVITY AW0116 60X110G</t>
  </si>
  <si>
    <t>CLOSE UP RED HOT Y15 72X60G</t>
  </si>
  <si>
    <t>CLOSE UP TP RED HOT Y15 72X125G</t>
  </si>
  <si>
    <t>CLOSE UP TP MENTHOL FRESH Y15 72X125G</t>
  </si>
  <si>
    <t>CLOSE UP TP MENTHOL FRESH Y15 72X60G</t>
  </si>
  <si>
    <t>CLOSE UP TP LEMON MINT Y15 72X60G</t>
  </si>
  <si>
    <t>P/S TP ANTI CAVITY AW0116 120X40G</t>
  </si>
  <si>
    <t>CLOSE UP TP LEMON MINT Y15 72X125G</t>
  </si>
  <si>
    <t xml:space="preserve">Iran </t>
  </si>
  <si>
    <t>CLOSE UP TP CRYSTAL FROST MB Y15 72X60G</t>
  </si>
  <si>
    <t>CLOSE UP TP CRYSTAL FROST MB Y15 72X125G</t>
  </si>
  <si>
    <t>CLOSE UP TP CRYSTAL FROST WB Y15 72X60G</t>
  </si>
  <si>
    <t>CLOSE UP TP CRYSTAL FROST WB Y15 72X125G</t>
  </si>
  <si>
    <t>CLOSE UP DA MENTHOL FRESH UI 60X100G</t>
  </si>
  <si>
    <t xml:space="preserve">UI/Australia </t>
  </si>
  <si>
    <t>CLOSE UP DA MENTHOL FRESH UI 60X160G</t>
  </si>
  <si>
    <t>CLOSE UP DEEP ACTION RED HOT UI 60X100G</t>
  </si>
  <si>
    <t>CLOSE UP DEEP ACTION RED HOT UI 60X160G</t>
  </si>
  <si>
    <t>CLOSE UP TP DIA ATTRACTION UI 36X100G</t>
  </si>
  <si>
    <t>CLOSE UP TP DIA ATTRACTION UI 36X50G</t>
  </si>
  <si>
    <t>CLOSE UP RED HOT TWIN AW16 36X2X145ML</t>
  </si>
  <si>
    <t>Phi</t>
  </si>
  <si>
    <t>CLOSE UP MENTHOL FRSH TW AW16 36X2X145ML</t>
  </si>
  <si>
    <t>CLOSE UP RED HOT TWIN AW16 48X2X95ML</t>
  </si>
  <si>
    <t>P/S TP SNSTVE EPRT FRESHNSS SAMP 288X30G</t>
  </si>
  <si>
    <t>CLOSE UP TP GREEN TEMPO 16 36X230G</t>
  </si>
  <si>
    <t>CLOSE UP TP WHITENING TEMPO16 36X230G</t>
  </si>
  <si>
    <t>P/S TP PRO123-TB TRIDENT TEMP16 30X200G</t>
  </si>
  <si>
    <t>P/S TP PRO 123 BOTTLE TEMPO 36X240G</t>
  </si>
  <si>
    <t>CLOSE UP TP DA RED HOT FO27B P12X6X75G</t>
  </si>
  <si>
    <t>CLOSE UP TP MENTHOL FRSH FO27B P12X6X75G</t>
  </si>
  <si>
    <t>P/S TP ANTI CAVITY BOTTLE TEMPO  36X200G</t>
  </si>
  <si>
    <t>P/S TP ANTI CAVITY P0216  36X200G</t>
  </si>
  <si>
    <t>CLOSE UP TP MENTHOL FRESH (GAGA) 240X10G</t>
  </si>
  <si>
    <t>P/S TP ANTI CAVITY TEMPO 36X190G</t>
  </si>
  <si>
    <t>P/S TP ANTI CAVITY 36X190G</t>
  </si>
  <si>
    <t>SIGNAL TP CAVITY FIGHTER Y16 72X75G</t>
  </si>
  <si>
    <t>SIGNAL TP CAVITY FIGHTER 240X13G</t>
  </si>
  <si>
    <t>SIGNAL TP CAVITY FIGHTER Y16 72X160G</t>
  </si>
  <si>
    <t>CLOSE UP TP GREEN  SAMP 288X30G</t>
  </si>
  <si>
    <t>CLOSE UP TP WHITENING RE0117  36X230G</t>
  </si>
  <si>
    <t>CLOSE UP TP GREEN RE0117 60X140G</t>
  </si>
  <si>
    <t>CLOSE UP TP WHITENING RE0117 60X140G</t>
  </si>
  <si>
    <t>PEPSODENT  TP SENSITIVE EXP WHT 54x100g</t>
  </si>
  <si>
    <t>Ghana/Kenya/SAF/Nig</t>
  </si>
  <si>
    <t>PEPSODENT TP SENSITIVE EXP CORE 54X100G</t>
  </si>
  <si>
    <t>PEPSODENT TP SENSITIVE EXP GUM 54X100G</t>
  </si>
  <si>
    <t>CLOSE UP TP WHITENING RE0117 36X180G</t>
  </si>
  <si>
    <t>CLOSE UP TP GREEN RE0117 36X180G</t>
  </si>
  <si>
    <t>CLOSE UP TP GREEN RE0117 60X90G</t>
  </si>
  <si>
    <t>CLOSE UP TOOTHPASTE RED RE0117 36X230G</t>
  </si>
  <si>
    <t>CLOSE UP TP GREEN RE0117 36X230G</t>
  </si>
  <si>
    <t>CLOSE UP TP RED  RE0117 36X180G</t>
  </si>
  <si>
    <t>CLOSE UP TOOTHPASTE RED RE0117 60X140G</t>
  </si>
  <si>
    <t>P/S TP PROTECTION 123 TEMPO Y17 30X190G</t>
  </si>
  <si>
    <t>CLOSE UP TP GREEN (FVL) 36X200G</t>
  </si>
  <si>
    <t>CLOSE UP TP WHITENING (FVL) 36X200G</t>
  </si>
  <si>
    <t>CLOSEUP RED HOT BEYONCE PROMO 36X2X140ML</t>
  </si>
  <si>
    <t>CLOSE UP MENTHOL FRSH TW RL17 36X2X140ML</t>
  </si>
  <si>
    <t>P/S TP 123 GREEN TEA 36X190G</t>
  </si>
  <si>
    <t>CLOSE UP TP RED (FVL) 36X200G</t>
  </si>
  <si>
    <t>P/S TP ANTI CAVITY TEMPO 36X180G</t>
  </si>
  <si>
    <t>P/S TP 123 GTEA TEMPO Y17 30X190G</t>
  </si>
  <si>
    <t>PS TP PROTECTION  123  36X190G</t>
  </si>
  <si>
    <t>CLOSEUP RED HOT ULP RL1 144X(2X10G)</t>
  </si>
  <si>
    <t>P/S TP 123 GTEA TEMPO Y17 36X240G</t>
  </si>
  <si>
    <t>CLOSEUP GREEN  ULP RL1 144X(2X10G)</t>
  </si>
  <si>
    <t>P/S TP ANTI CAVITY 36X180G</t>
  </si>
  <si>
    <t>CLOSEUP RED HOT BEYONCE PROMO 48X2X90ML</t>
  </si>
  <si>
    <t>CLOSE UP TP GREEN SAMP 288X30G</t>
  </si>
  <si>
    <t>CLOSE UP TP WHITENING TEMPO 36X180G</t>
  </si>
  <si>
    <t>CLOSE UP TP GREEN TEMPO 36X180G</t>
  </si>
  <si>
    <t>P/S TP ANTI CAVITY SAMPLE 120X30G</t>
  </si>
  <si>
    <t>CLOSE UP MENTHOL FRESH TW RL17 48X2X90ML</t>
  </si>
  <si>
    <t>P/S TP SST EXPT ORIGINAL RE0217 54X100G</t>
  </si>
  <si>
    <t>P/S TP CHARCOAL &amp; BAMBOO WHITE 36X180G</t>
  </si>
  <si>
    <t>P/S TP PROTECTION123 GTEA SAMP 288X30G</t>
  </si>
  <si>
    <t>P/S TP CHARCOAL &amp; BMBOO WHT SAMP 288X30G</t>
  </si>
  <si>
    <t>P/S TP ANTI CAVITY P0217 36X240G</t>
  </si>
  <si>
    <t>P/S TP ALOE VERA &amp; PEONY 36X180G</t>
  </si>
  <si>
    <t>P/S TP ANTI CAVITY TEMPO GTEA 36X180G</t>
  </si>
  <si>
    <t>P/S TP ALOE VERA &amp; PEONY SAMP 288X30G</t>
  </si>
  <si>
    <t>P/S TP 123 G.TEA TEMP (G.TEA30G) 36X190G</t>
  </si>
  <si>
    <t>P/S TP SST EXPT WHITENING RE0217 54X100G</t>
  </si>
  <si>
    <t>CLOSE UP TP WHTNNG TEMPO P0118 36X180G</t>
  </si>
  <si>
    <t>CLOSE UP TP GREEN TEMPO P0118 36X180G</t>
  </si>
  <si>
    <t>P/S TP SST EXPT FRESHNESS RE0217 54X100G</t>
  </si>
  <si>
    <t>CLOSE UP TOOTHPASTE RED P0118 36X230G</t>
  </si>
  <si>
    <t>CLOSE UP TP WHITENING P0118 36X230G</t>
  </si>
  <si>
    <t>CLOSE UP TP GREEN P0118 36X230G</t>
  </si>
  <si>
    <t>CLOSE UP TP GREEN P0118 36X180G</t>
  </si>
  <si>
    <t>CLOSE UP TP GREEN P0118 60X90G</t>
  </si>
  <si>
    <t>CLOSE UP TP GREEN P0118 60X140G</t>
  </si>
  <si>
    <t>CLOSE UP TP WHITENING P0118 60X140G</t>
  </si>
  <si>
    <t>CLOSE UP TOOTHPASTE RED P0118 60X140G</t>
  </si>
  <si>
    <t>CLOSE UP TP WHITENING P0118 36X180G</t>
  </si>
  <si>
    <t>CLOSE UP TP DIAMOND ATTRCT P0118 36X100G</t>
  </si>
  <si>
    <t>SIGNAL TP CAVITY FIGHTER TF 288X20G</t>
  </si>
  <si>
    <t>CLOSE UP TP NATURAL GLOW 36X180G</t>
  </si>
  <si>
    <t>P/S TP PROTECTION123 SAMP RE0118 288X30G</t>
  </si>
  <si>
    <t>CLOSE UP TP NATURAL GLOW 36X100G</t>
  </si>
  <si>
    <t>SIGNAL CAVITY FIGHTER LF CP PRO 72X160G</t>
  </si>
  <si>
    <t>P/S TP KIDS 2-6YRS ORANGE 120X45G</t>
  </si>
  <si>
    <t>P/S TP KIDS 2-6YRS STRAWBERRY 120X45G</t>
  </si>
  <si>
    <t>P/S TP KIDS 7-11YRS MINT 36X90G</t>
  </si>
  <si>
    <t>P/S TP PROTECTION 123 RE0118 36X240G</t>
  </si>
  <si>
    <t>P/S TP 123 GTEA RE0118 36X240G</t>
  </si>
  <si>
    <t>P/S TP PROTECTION 123 RE0118 36X190G</t>
  </si>
  <si>
    <t>P/S TP 123 GREEN TEA RE0118 36X190G</t>
  </si>
  <si>
    <t>P/S TP ANTI CAVITY RE0118 36X180G</t>
  </si>
  <si>
    <t>P/S TP ANTI CAVITY RE0118  60X110G</t>
  </si>
  <si>
    <t>P/S TP ANTI CAVITY RE0118 36X240G</t>
  </si>
  <si>
    <t>P/S TP 123 GTEA RE0118 60X100G</t>
  </si>
  <si>
    <t>CLOSE UP NATURAL GLOW SAMP 288X30G</t>
  </si>
  <si>
    <t>P/S TP KIDS 2-6YRS ORANGE SAMP 288X15G</t>
  </si>
  <si>
    <t>P/S TP KIDS 7-11YRS MINT SAMP 288X15G</t>
  </si>
  <si>
    <t>P/S TP ANTI CAVITY TEMPO RE0118 36X180G</t>
  </si>
  <si>
    <t>P/S TP PRTCTN 123 RE0118 CMB 30X(2X190G)</t>
  </si>
  <si>
    <t>P/S TP PRTCN123 GTEA SAMP RE0118 288X30G</t>
  </si>
  <si>
    <t xml:space="preserve">P/S TP ANTI CAVITY  TEMP  Charcoal 36X180G </t>
  </si>
  <si>
    <t>P/S TP 123 GTEA COMBO RE0118 24X(2X190G)</t>
  </si>
  <si>
    <t>CLOSE UP RED HOT BEYONCE 36X2X140ML</t>
  </si>
  <si>
    <t>CLOSE UP RED HOT BEYONCE 48X2X90ML</t>
  </si>
  <si>
    <t>CLOSE UP MENTHOL FRESH 48X2X90ML</t>
  </si>
  <si>
    <t>CLOSE UP MENTHOL FRESH 36X2X140ML</t>
  </si>
  <si>
    <t>P/S TP PROTECTION 123 TEMP Charcoal 36X190G</t>
  </si>
  <si>
    <t>SIGNAL TP CAVITY FIGHTER TOP UP 72X160G</t>
  </si>
  <si>
    <t>SIGNAL TP CAVITY FIGHTER TWIN 36X2X160G</t>
  </si>
  <si>
    <t>P/S TP ACCT TEMP (FREE GTEA 30G) 36X180G</t>
  </si>
  <si>
    <t>PEPSODENT TP SENSITIVE EXP CORE 288X30G</t>
  </si>
  <si>
    <t>P/S TP 123 GTEA TEMP CHARCOAL TP 36X190G</t>
  </si>
  <si>
    <t>CLOSE UP TOOTHPASTE FIRE-FREEZE 36 X180G</t>
  </si>
  <si>
    <t>CLOSE UP TOOTHPASTE FIRE FREEZE 36X230G</t>
  </si>
  <si>
    <t>P/S TP CHARCOAL &amp; BAMBOO WHITE 36X230G</t>
  </si>
  <si>
    <t>CLOSE UP WHITE ATTRCTN NTR GLOW 36X230G</t>
  </si>
  <si>
    <t>P/S TP SST EXPERT PRCR R0118 60X100G</t>
  </si>
  <si>
    <t xml:space="preserve">P/S TP SST EXPERT FRMNT R0118 60X100G </t>
  </si>
  <si>
    <t>P/S TP EXPERT PRO CMPLT R0118 60X150G</t>
  </si>
  <si>
    <t>P/S TP SST EXPRT FRMNT SAMR0118 288X30G</t>
  </si>
  <si>
    <t>CLOSE UP FRESH ATTRCTN NTR BOOST 36X180G</t>
  </si>
  <si>
    <t>CLOSE UP FRESH ATTRCTN NTR BOOST 36X230G</t>
  </si>
  <si>
    <t>P/S TP SST EXPERT WHTNNG R0118 60X100G</t>
  </si>
  <si>
    <t>CLOSE UP TP WHITENINGTEM(GLOW 30G)  36X180G</t>
  </si>
  <si>
    <t>CLOSE UP TP GREEN TEM (GLOW 30G) 36X180G</t>
  </si>
  <si>
    <t>P/S TP ANTI CAVITY LOVE  TEMP(GRP) 36X180G</t>
  </si>
  <si>
    <t>P/S TP ANTI CAVITY LOVE TEMP (B) 36X180G</t>
  </si>
  <si>
    <t>P/S TP ANTI CAVITY LOVE TEMP (G) 36X180G</t>
  </si>
  <si>
    <t>CLOSEUP TP FA MNDRN OIL&amp;R.HERBAL 288X30G</t>
  </si>
  <si>
    <t>P/S TP PROTECTION 123 RE0119 36X190G</t>
  </si>
  <si>
    <t>P/S TP 123 PROTECTION COMPLETE  288X30G</t>
  </si>
  <si>
    <t>P/S TP PROTECTION 123 RE0119 36X240G</t>
  </si>
  <si>
    <t>P/S TP PRTCTN 123 RE0119 CMB 30X(2X190G)</t>
  </si>
  <si>
    <t>SIGNAL TP CAVITY FIGHTER (QAT) 72X100ML</t>
  </si>
  <si>
    <t>Qat</t>
  </si>
  <si>
    <t>CLOSE UP SALT NATURAL WHTNG 36X230G</t>
  </si>
  <si>
    <t>CLOSE UP TP SALT NATURAL WHTNG 36X180G</t>
  </si>
  <si>
    <t>SIGNAL TP TRIP PROTECTION 123 PP 72 x160G</t>
  </si>
  <si>
    <t>CLOSE UP TP MENTHOL FRESH  ( SAF) 72X125G</t>
  </si>
  <si>
    <t>P/S TP ANTI CAVITY RE0119 TEMP 36X180G</t>
  </si>
  <si>
    <t>P/S TP ANTI CAVITY RE0119 36X240G</t>
  </si>
  <si>
    <t>P/S TP PROTECTION 123 RE0119 TEM 36X190G</t>
  </si>
  <si>
    <t>P/S TP ANTI CAVITY RE0119 36X180G</t>
  </si>
  <si>
    <t>P/S TP ANTI CAVITY RE0119 60X110G</t>
  </si>
  <si>
    <t>P/S TP 123 GREEN TEA TEMP (COKE) 42X190G</t>
  </si>
  <si>
    <t>P/S TP 123 GREEN TEA TEM (PEPSI) 42X190G</t>
  </si>
  <si>
    <t>PEPSODENT TP TRIP CHARCOAL LEMON 72X130G</t>
  </si>
  <si>
    <t>P/S TP CHRCL&amp;BMB WHT TEM(TB CHRC ) 24X230G</t>
  </si>
  <si>
    <t>P/S TP  GTEA TEMP ( TB SENSITIVE )  24X240G</t>
  </si>
  <si>
    <t>CLOSE UP TP SALT NATURAL WHTNG 288X30G</t>
  </si>
  <si>
    <t>CLOSE UP TP GREEN TEMP(SALT 30G)36X180G</t>
  </si>
  <si>
    <t>CLOSE UP TP WHTNNG TEMP(SALT 30G)36X180G</t>
  </si>
  <si>
    <t>PEPSODENT TP HERBAL KE 72X150G</t>
  </si>
  <si>
    <t xml:space="preserve">Kenya </t>
  </si>
  <si>
    <t>CLOSE UP TP GREEN TEM(GREEN 30G) 36X180G</t>
  </si>
  <si>
    <t>CLOSE UP TP WITNG TEM(GREEN 30G) 36X180G</t>
  </si>
  <si>
    <t>CLOSE UP RED HOT BRP 36X2X191G</t>
  </si>
  <si>
    <t>CLOSE UP MENTHOL FRESH BRP 36X2X191G</t>
  </si>
  <si>
    <t>CLOSE UP RED HOT BRP 48X2X125G</t>
  </si>
  <si>
    <t>CLOSE UP MENTHOL FRESH BRP 48X2X125G</t>
  </si>
  <si>
    <t>PEPSODENT TP CAVITY FIGHTER ZA 72X65G</t>
  </si>
  <si>
    <t>P/S TP CHARCOAL TEMP (TB CHRCL) 36X180G</t>
  </si>
  <si>
    <t>CLOSE UP RED HOT PROMO 36X2X175G</t>
  </si>
  <si>
    <t>CLOSE UP MENTHOL FRESH PROMO 36X2X175G</t>
  </si>
  <si>
    <t>PEPSODENT TP CAVITY FIGHTER NEW 72X150G</t>
  </si>
  <si>
    <t>CLOSE UP RED HOT BEYONCE PROMO 48X2X120G</t>
  </si>
  <si>
    <t>CLOSE UP MENTHOL FRESH PROMO 48X2X120G</t>
  </si>
  <si>
    <t>P/S TP BAKING SODA &amp; ROSEMARY 36X180G</t>
  </si>
  <si>
    <t>P/S TP BAKING SODA &amp; ROSEMARY 36X230G</t>
  </si>
  <si>
    <t>P/S ANTI CAVITY LIMITED EDITION 36X180G</t>
  </si>
  <si>
    <t>CLOSE UP SOOTHING MENTHOL 36X2X191G</t>
  </si>
  <si>
    <t>CLOSE UP SOOTHING MENTHOL 48X2X125G</t>
  </si>
  <si>
    <t>CLOSE UP COOLING MINT 36X2X191G</t>
  </si>
  <si>
    <t>CLOSE UP COOLING MINT 48X2X125G</t>
  </si>
  <si>
    <t>PEPSODENT TP CAVITY FIGHTER NEW 72X65G</t>
  </si>
  <si>
    <t>P/S ANTI CAVITY LIMITED EDITION 36X240G</t>
  </si>
  <si>
    <t xml:space="preserve">P/S TP KIDS 2 - 6YRS STWBRR SAMP 288X15G </t>
  </si>
  <si>
    <t>P/S TP AC TEMP ( KID ORG/STR  36X240G</t>
  </si>
  <si>
    <t>P/S TP AAC LIMITED EDITION 60X110G</t>
  </si>
  <si>
    <t>CIF</t>
  </si>
  <si>
    <t>CIF ULTRAFAST GLASS 12X520ML</t>
  </si>
  <si>
    <t>67878785 - CUC CIF GLASS SPRAY VN (COLDPLAY)</t>
  </si>
  <si>
    <t>0.96 - 1.00 - 1.04</t>
  </si>
  <si>
    <t>CIF ULTRAFAST KITCHEN 12X520ML</t>
  </si>
  <si>
    <t>32000646 - CUC CIF SPRAY KITCHEN (DREAM RUSH)</t>
  </si>
  <si>
    <t>CIF ULTRFST MULTIPURPOSE RE0118 12X520ML</t>
  </si>
  <si>
    <t>67639208 - CUC (Natural)</t>
  </si>
  <si>
    <t>0.975 -  1.005 - 1.035</t>
  </si>
  <si>
    <t>SUNLIGHT</t>
  </si>
  <si>
    <t>SUNLIGHT HDW LEMON AW0219 3X3.8KG</t>
  </si>
  <si>
    <t>CIF PRO SPRAY ALLPURPOSE 12X520ML</t>
  </si>
  <si>
    <t>UI</t>
  </si>
  <si>
    <t>67350842 - CUC (Gotan)</t>
  </si>
  <si>
    <t>CIF PRO SPRAY ALLPURPOSE REFILL 2X5L</t>
  </si>
  <si>
    <t>SIGNAL TP CAVITY FIGHTER (QAT) 72X50ML</t>
  </si>
  <si>
    <t>SIGNAL TP CAVITY FIGHTER EN+FR 72X50ML</t>
  </si>
  <si>
    <t>UI/Quatar</t>
  </si>
  <si>
    <t>SIGNAL TP CAVITY FIGHTER EN+FR 72x100ml</t>
  </si>
  <si>
    <t>P/S TP BAKING SODA &amp; ROSEMARY 288X30G</t>
  </si>
  <si>
    <t>CIF ULTRFST MTPURPOSE RE0120 12X520ML</t>
  </si>
  <si>
    <t xml:space="preserve">CIF PRO SRY ALLPURPOSE REFILL 2X4.2L   </t>
  </si>
  <si>
    <t>P/S AAC L.EDITION TEM(B.SODA 30G)36X180G</t>
  </si>
  <si>
    <t>PEPSODENT TP CAVITY FIGHTER NEW  72X175G</t>
  </si>
  <si>
    <t>CIF ULTRAFAST GLASS RE0120 12X520ML</t>
  </si>
  <si>
    <t>SIGNAL TP TRIP PROTECTION CPT 72X140G</t>
  </si>
  <si>
    <t>P/S TP PRTCTN 123 (BMBOO 30G)TEM 36X190G</t>
  </si>
  <si>
    <t>P/S TP CHRCL&amp;BMB TEMP (MW 130ML) 36X180G</t>
  </si>
  <si>
    <t>CLOSE UP TP E-FRESH MNTHL BURST 36X180G</t>
  </si>
  <si>
    <t>CLOSE UP TP E-FRESH MNTHL BURST 60X140G</t>
  </si>
  <si>
    <t>CLOSE UP TP E-FRESH MNTHL BURST 36X230G</t>
  </si>
  <si>
    <t>CLOSE UP TP E-FRESH WINTER BLAST 36X230G</t>
  </si>
  <si>
    <t>CLOSE UP TP E-FRESH WINTER BLAST 36X180G</t>
  </si>
  <si>
    <t>CLOSE UP TP E-FRESH WINTER BLAST 60X140G</t>
  </si>
  <si>
    <t>CLOSE UP TP W.BLAST TEM(SALT30G) 36X180G</t>
  </si>
  <si>
    <t>CLOSE UP TP M.BURST TEM(SALT30G) 36X180G</t>
  </si>
  <si>
    <t>CLOSE UP WHTN CLAY&amp;MINTY MATCHA 36X230G</t>
  </si>
  <si>
    <t>CLOSE UP NTR WHTN CLAY&amp;ACAIBERRY 36X230G</t>
  </si>
  <si>
    <t>P/S AAC L.IMITED EDITION U25Y 36X180G</t>
  </si>
  <si>
    <t>CLOSE UP TP MENTHOL FRESH MM P12X6X160G</t>
  </si>
  <si>
    <t>P/S TP SENSITIVE EXPERT PRO-CARE 60X100G</t>
  </si>
  <si>
    <t>P/S TP SNSTV EXPERT FRESH MINT 60X100G</t>
  </si>
  <si>
    <t>P/S TP SENSITIVE EXPERT WHTNNG 60X100G</t>
  </si>
  <si>
    <t>P/S TP ANTI CAVITY (CHRC 30G)TEM 36X180G</t>
  </si>
  <si>
    <t>CLOSE UP CLAY&amp;MINTY  MATCHA  288X30G</t>
  </si>
  <si>
    <t>CLOSE UP NTR WHTN CLAY &amp;ACAIBERRY  288X30G</t>
  </si>
  <si>
    <t>CIF NATURE KITCHEN AW0220 BTL 12X500ML</t>
  </si>
  <si>
    <t xml:space="preserve">CIF NATURE MTP AW0220 BTL 12X500ML </t>
  </si>
  <si>
    <t>P/S TP GREEN TEA SAMP 60X80G</t>
  </si>
  <si>
    <t xml:space="preserve">CLOSE UP TP MENTHOL FRESH  MM P12x6x60G </t>
  </si>
  <si>
    <t>CLOSE UP MENTHOL FRESH PROMO N  36X2X175G</t>
  </si>
  <si>
    <t>CLOSE UP RED HOT PRMO N 36X2X175G</t>
  </si>
  <si>
    <t>Vim</t>
  </si>
  <si>
    <t>VIM MULTIPURPOSE BLEACH SPRAY 12X500ML</t>
  </si>
  <si>
    <t>SIGNAL TP CAVITY FTR HBL EN+FR 72X100ML</t>
  </si>
  <si>
    <t>IR/UA</t>
  </si>
  <si>
    <t>SIGNAL TP CAVITY FTR HBL EN+FR 72X50ML</t>
  </si>
  <si>
    <t>CLOSE UP TP E-FRESH  SAMP 288X30G</t>
  </si>
  <si>
    <t>CLOSE UP TP M.BURST TEM(M.BST30G)36X180G</t>
  </si>
  <si>
    <t>CLOSE UP TP W.BLAST TEM(M.BST30G)36X180G</t>
  </si>
  <si>
    <t>CLOSE UP TP W-BLAST TEM (N.GLOW) 36X180G</t>
  </si>
  <si>
    <t>CLOSE UP TP M.BURST TEM (N.GLOW) 36X180G</t>
  </si>
  <si>
    <t>PEPSODENT TP HERBAL (GHANA) 72X140G</t>
  </si>
  <si>
    <t>PEPSODENT TP TRIP PROTECTION CPT 72X140G</t>
  </si>
  <si>
    <t xml:space="preserve"> P/S TP 123 G.TEA TEMP (B.SODA) 36X190G</t>
  </si>
  <si>
    <t>SIGNAL TP CAVITY FGTR HERBAL EU 72X100ML</t>
  </si>
  <si>
    <t>EU</t>
  </si>
  <si>
    <t>P/S TP GREEN TEA TEM ((MW CMPLT) 36X190G</t>
  </si>
  <si>
    <t>SIGNAL TP CAVITY FIGHTER EU 72X100ML</t>
  </si>
  <si>
    <t>SIGNAL TP WHITENING EU 72X100ML</t>
  </si>
  <si>
    <t>PEPSODENT TP HERBAL 72X65G</t>
  </si>
  <si>
    <t>Kenya</t>
  </si>
  <si>
    <t>CLOSE UP MENTHOL FRESH VDAY CP 12X6X160G</t>
  </si>
  <si>
    <t>CLOSE UP TP REDHOT EVERFRESH 72X140G</t>
  </si>
  <si>
    <t>Ghana/Kenya</t>
  </si>
  <si>
    <t>CLOSE UP TP MENTHOL EVERFRESH 72X140G</t>
  </si>
  <si>
    <t>CLOSEUP TP W.BLAST TEM (N.GLOW) 36X180G</t>
  </si>
  <si>
    <t>P/S TP CHRCL&amp;BMB TEMP (MW PRO) 36X180G</t>
  </si>
  <si>
    <t>CLOSE UP TP REDHOT EVERFRESH 72X60G</t>
  </si>
  <si>
    <t>CLOSE UP TP M.BRST TEMP (M.BRST) 36X180G</t>
  </si>
  <si>
    <t>CLOSE UP TP W.BLAST TEM (M.BRST) 36X180G</t>
  </si>
  <si>
    <t>CLOSE UP TP M.BRST TEMP (N.GLOW) 36X180G</t>
  </si>
  <si>
    <t>CLOSE UP TP RED HOT EVERFRESH 12(6X125G)</t>
  </si>
  <si>
    <t>South Africa, Kenya &amp; Uganda</t>
  </si>
  <si>
    <t>P/S TP GREEN TEA TEMP (CHARCOAL) 36X190G</t>
  </si>
  <si>
    <t>CLOSE UP TP MENTHOL FR EVERFR 12(6X125G)</t>
  </si>
  <si>
    <t>CLOSE UP TP RED HOT (EVERFRESH) 108X30G</t>
  </si>
  <si>
    <t>Kenya &amp; Uganda</t>
  </si>
  <si>
    <t>CLOSE UP TP COOLBREEZE EVERFR 12(6X125G)</t>
  </si>
  <si>
    <t>CLOSE UP TP RED HOT (EVERFRESH) 72X60G</t>
  </si>
  <si>
    <t>P/S TP AAC L.EDITION TEM(CHCL&amp;BB)36X180G</t>
  </si>
  <si>
    <t>CLOSE UP TP SALT NTRL WHT AW0121 288X30G</t>
  </si>
  <si>
    <t>CLOSE UP TP M.BURST AW0121 SAMP 288X30G</t>
  </si>
  <si>
    <t>PEPSODENT TP CAVITY FIGHTER EU 60X75ML</t>
  </si>
  <si>
    <t>UI / EU</t>
  </si>
  <si>
    <t>PEPSODENT TP WHITENING EU 60X75ML</t>
  </si>
  <si>
    <t>CLOSE UP W.BLAST TEM(S.SALT 30G) 36X180G</t>
  </si>
  <si>
    <t>CLOSE UP M.BURST TEM(S.SALT 30G) 36X180G</t>
  </si>
  <si>
    <t>PEPSODENT TP CVT FGTR HERBAL EU 60X75ML</t>
  </si>
  <si>
    <t>P/S TP B.SODA TEMP(TB X30) Y21 24X230G</t>
  </si>
  <si>
    <t>CLOSE UP MENTHOLFRESH GISLE MM 12X6X160G</t>
  </si>
  <si>
    <t>CLOSE UP MENTHOL FRESH GISLE MM 12X6X60G</t>
  </si>
  <si>
    <t>CLOSE UP RED HOT GISELLE MM 12x6X160G</t>
  </si>
  <si>
    <t>CLOSE UP ICY WHITE GISELLE MM 12X6X160G</t>
  </si>
  <si>
    <t>CLOSE UP ICY WHITE GISELLE MM 12X6X60G</t>
  </si>
  <si>
    <t>P/S TP PROTECTION 123 Y21 36X180G</t>
  </si>
  <si>
    <t>P/S TP 123 GREEN TEA Y21 PI 36X180G</t>
  </si>
  <si>
    <t>LIFEBUOY SSC BOTANI TECHSPRAY 12X500ML</t>
  </si>
  <si>
    <t>P/S TP PROTECTION 123 Y21 36X230G</t>
  </si>
  <si>
    <t>P/S TP 123 GREEN TEA Y21 PI 36X230G</t>
  </si>
  <si>
    <t>P/S TP CHARCOAL&amp;BAMBOO WHT SAMP 288X30G</t>
  </si>
  <si>
    <t>P/S TP AAC TEMP (CHRCL&amp;BB30G) 36X180G</t>
  </si>
  <si>
    <t>P/S TP PROTECTION TEM (GTEA 30G) 36X180G</t>
  </si>
  <si>
    <t>CIF PRO SPRAY WINDOW GLASS 12X520ML</t>
  </si>
  <si>
    <t>P/S TP PROTECTION 123 GTEA SAMP 288X30G</t>
  </si>
  <si>
    <t>LIFEBUOY SPRAY TEATREE (ORANGE) 12X500ML</t>
  </si>
  <si>
    <t>MYSG/ MYM</t>
  </si>
  <si>
    <t>P/S TP B.SODA&amp;ROSEMARY SAMP 288X30G</t>
  </si>
  <si>
    <t>P/S TP 123 G.TEA TEMP(CHRCL 30G) 36X180G</t>
  </si>
  <si>
    <t>CLOSE UP WHTN CLAY&amp;MINTY MATCHA 36X180G</t>
  </si>
  <si>
    <t>CLOSE UP TP NTRL GLOW AW0121 SAM 288X30G</t>
  </si>
  <si>
    <t>CLOSE UP TP W.BLAST TEM(SALT60G) 36X230G</t>
  </si>
  <si>
    <t>CLOSE UP TP M.BURST TEM(SALT60G) 36X230G</t>
  </si>
  <si>
    <t>PEPSODENT TP KIDS STRAWBERRY 12X10X45G</t>
  </si>
  <si>
    <t>CLOSE UP TP SALT NTRL WHTN SAMP 72X60G</t>
  </si>
  <si>
    <t>PEPSODENT TP KIDS ORANGE 12X10X45G</t>
  </si>
  <si>
    <t>P/S TP AAC TEMP (G.TEA 30G) 36X180G</t>
  </si>
  <si>
    <t>CLOSE UP TOOTHPASTE MENT FR CP 12X6X160G</t>
  </si>
  <si>
    <t>CLOSE UP TOOTHPASTE ICY WTE CP 12X6X160G</t>
  </si>
  <si>
    <t>CLOSE UP TP SALT TEMP(T.DEFENSE) 24X230G</t>
  </si>
  <si>
    <t>SIGNAL TP CAVITY FGHT ALADDIN MM 72X75G</t>
  </si>
  <si>
    <t>CIF ULTRAFAST GLASS RE0121 12X520ML</t>
  </si>
  <si>
    <t>P/S TP SST EXPERT WHITENING SAMP 288X30G</t>
  </si>
  <si>
    <t>CLOSE UP COMPLETE FRESH PRTCTN 72X140G</t>
  </si>
  <si>
    <t>P/S TP G.TEA TEMP (B.SODA 30G) 36X180G</t>
  </si>
  <si>
    <t>P/S TP B.SODA TEMP (EX.WHTNNG) 36X180G</t>
  </si>
  <si>
    <t>P/S TP CHARCOAL TEMP (EX.WHTNNG) 36X180G</t>
  </si>
  <si>
    <t>SIGNAL TP CVT FIGHTER ALADDIN MM 72X160G</t>
  </si>
  <si>
    <t>P/S TP 123 GREEN TEA Y22 PI 36X180G</t>
  </si>
  <si>
    <t>P/S TP 123 GREEN TEA Y22 PI 36X230G</t>
  </si>
  <si>
    <t>P/S TP 123 GREEN TEA Y22 PI 60X100G</t>
  </si>
  <si>
    <t>P/S TP AAC LIMITED EDITION 60X100G</t>
  </si>
  <si>
    <t>P/S CHARCOAL&amp;BAMBOO WHITE Y22 PI 36X180G</t>
  </si>
  <si>
    <t>P/S PINK SALT&amp;CHAMOMILE Y22 36X180G</t>
  </si>
  <si>
    <t>P/S CHARCOAL&amp;BAMBOO WHITE Y22 PI 36X230G</t>
  </si>
  <si>
    <t>P/S TP BAKING SODA&amp;ROSEMARY Y22 36X230G</t>
  </si>
  <si>
    <t>P/S PINK SALT&amp;CHAMOMILE Y22 36X230G</t>
  </si>
  <si>
    <t>P/S TP BAKING SODA&amp;ROSEMARY Y22 36X180G</t>
  </si>
  <si>
    <t>P/S TP ALOE VERA&amp;PEONY Y22 36X180G</t>
  </si>
  <si>
    <t>PEPSODENT TP CAVITY FIGHTER AL 12X6X65G</t>
  </si>
  <si>
    <t>P/S TP CHRCL&amp;BAMBOO WHT SAMP Y22 288X30G</t>
  </si>
  <si>
    <t>P/S TP B.SODA TEMP(TB X30) Y22 24X230G</t>
  </si>
  <si>
    <t>P/S TP G.TEA TEMP (CHRCL 30G) 36X180G</t>
  </si>
  <si>
    <t>PEPSODENT TP CAVITY FIGHTER AL 12X6X150G</t>
  </si>
  <si>
    <t>PEPSODENT TP CAVITY FIGHTER AL 12X6X175G</t>
  </si>
  <si>
    <t>CLOSE UP TP MENTHOL FRESH GEL 12X6X150G</t>
  </si>
  <si>
    <t>P/S TP B.SODA&amp;ROSEMARY SAMP Y22 288X30G</t>
  </si>
  <si>
    <t>P/S TP 123 GTEA SAMPLING Y22 288X30G</t>
  </si>
  <si>
    <t>P/S PINK SALT&amp;CHAMOMILE SAMP Y22 288X30G</t>
  </si>
  <si>
    <t>P/S TP AAC LIMITED EDITION 36X230G</t>
  </si>
  <si>
    <t>P/S TP AAC TEMP (PINK SALT 30G) 36X180G</t>
  </si>
  <si>
    <t>SIGNAL TOOTHPASTE CAVITY FGTR 12X6X70G</t>
  </si>
  <si>
    <t>CLOSE UP NTR WHT ACAIBERRY DETOX 36X230G</t>
  </si>
  <si>
    <t>CLOSEUP N.WHT COCONUT&amp;CHRL DETOX 36X230G</t>
  </si>
  <si>
    <t>CLOSE UP NTR WHITE SALT DETOX 36X230G</t>
  </si>
  <si>
    <t>CLOSEUP M.BURST TEM(S.DETOX 30G) 36X180G</t>
  </si>
  <si>
    <t>CLOSE UP NTR WHITE SALT DETOX 36X180G</t>
  </si>
  <si>
    <t>CLOSEUP N.WHT COCONUT&amp;CHRL DETOX 36X180G</t>
  </si>
  <si>
    <t>CLOSE UP NTR WHT SALT DETOX SAMP 288X30G</t>
  </si>
  <si>
    <t>CLOSEUP W.BLAST TEM(S.DETOX 30G) 36X180G</t>
  </si>
  <si>
    <t>CLOSE UP TP M.BURST TEMP(G.CARE) 24X230G</t>
  </si>
  <si>
    <t>CIF NATURE KITCHEN BTL PA0222 12X500ML</t>
  </si>
  <si>
    <t>CIF NATURE MULTIP BTL PA0222 12X500ML</t>
  </si>
  <si>
    <t>P/S ANTI CAVITY TEMP (GTEA 30G) 36X180G</t>
  </si>
  <si>
    <t>P/S TP 123 GTEA TEMP (TB X30) 36X180G</t>
  </si>
  <si>
    <t>SUNLIGHT ULTRAFAST GLASS 12X520ML</t>
  </si>
  <si>
    <t>SUNLIGHT ULTRAFAST MTPURPOSE 12X520ML</t>
  </si>
  <si>
    <t>SUNLIGHT NATURE MTPURPOSE 12X500ML</t>
  </si>
  <si>
    <t>SUNLIGHT NATURE KITCHEN 12X500ML</t>
  </si>
  <si>
    <t>P/S TP KIDS 2-6YR STRWBR RE0122 120X45G</t>
  </si>
  <si>
    <t>P/S TP KIDS 2-6YR ORANGE RE0122 120X45G</t>
  </si>
  <si>
    <t>CLOSE UP TP WHT S.SALT DETOX SAMP 60X80G</t>
  </si>
  <si>
    <t>P/S TP WHITENING CHARCOAL SAMP 60X80G</t>
  </si>
  <si>
    <t>P/S TP ANTI CAVITY Y23 60X100G</t>
  </si>
  <si>
    <t>P/S TP AAC_BM TEMP (P.SALT 30G) 36X180G</t>
  </si>
  <si>
    <t>CLOSE UP TP M.BURST TEMP (BDL 6) 36X180G</t>
  </si>
  <si>
    <t>CLOSE UP TP W.BLAST TEMP (BDL 6) 36X180G</t>
  </si>
  <si>
    <t>CLOSE UP TP W.BLAST TEM (TB X30) 24X230G</t>
  </si>
  <si>
    <t>CLOSE UP TP M.BURST TEM (TB X30) 24X230G</t>
  </si>
  <si>
    <t>CLOSE UP TP A.BAC M.BURST 36X200G</t>
  </si>
  <si>
    <t>P/S TP ANTI CAVITY Y23 36X230G</t>
  </si>
  <si>
    <t>CLOSE UP TP ICY WHITE GEL 12X6X150G</t>
  </si>
  <si>
    <t>P/S TP GREEN TEA SAMPLING 72X50G</t>
  </si>
  <si>
    <t>P/S TP 123 GTEA TEMP (G.TEA 50G) 36X180G</t>
  </si>
  <si>
    <t>P/S TP ANTI CAVITY Y23 36X180G</t>
  </si>
  <si>
    <t>SUNLIGHT NATURE KITCHEN RE0123 12X500ML</t>
  </si>
  <si>
    <t>SUNLIGHT NTR MTPURPOSE RE0123 12X500ML</t>
  </si>
  <si>
    <t>CLOSE UP NTR FRH MNDRN OIL DETOX 36X180G</t>
  </si>
  <si>
    <t>CLOSE UP NTR FRH MNDRN OIL DETOX 36X230G</t>
  </si>
  <si>
    <t>PEPSODENT TP CAVITY FIGHTER 108X30G</t>
  </si>
  <si>
    <t>CLOSE UP TP ANTIBAC FRSH M.BURST 288X30G</t>
  </si>
  <si>
    <t>PEPSODENT TP HERBAL ALN 144X30G</t>
  </si>
  <si>
    <t>PEPSODENT TP HERBAL ALN 72X65G</t>
  </si>
  <si>
    <t>PEPSODENT TP CHARCOAL LEMON ALLR 144X30G</t>
  </si>
  <si>
    <t>P/S TP KIDS STRAWBERRY RE0122 120X35G</t>
  </si>
  <si>
    <t>SUNLIGHT ULTRAFAST GLASS RE0123 12X520ML</t>
  </si>
  <si>
    <t>P/S TP AAC_BM TEMP (G.TEA 30G) 36X180G</t>
  </si>
  <si>
    <t>CLOSEUP WBLAST TEMP (BLAST30G) 36X180G</t>
  </si>
  <si>
    <t>CLOSEUP MBURST TEMP (BURST30G) 36X180G</t>
  </si>
  <si>
    <t>P/S TP G.TEA (GTEA 30G) TEMP 24X180G</t>
  </si>
  <si>
    <t>SIGNAL TP HERBAL ALN 144X30G</t>
  </si>
  <si>
    <t>P/S TP GINGER SAMPLING 288X30G</t>
  </si>
  <si>
    <t>CLOSEUP TP WHITENING GOLD 36X100G</t>
  </si>
  <si>
    <t>PEPSODENT TP KIDS STRBRY NO FDI 120X45G</t>
  </si>
  <si>
    <t>PEPSODENT TP CF HRBL EU NO FDI 60X75ML</t>
  </si>
  <si>
    <t>PEPSODENT TP CVT FGTR EU NO FDI 60X75ML</t>
  </si>
  <si>
    <t>CLOSE UP TP MENTHOL BURST NEW 36X180G</t>
  </si>
  <si>
    <t>Local</t>
  </si>
  <si>
    <t>CLOSE UP TP MENTHOL BURST NEW 36X230G</t>
  </si>
  <si>
    <t>CLOSE UP TP MENTHOL BURST NEW 60X140G</t>
  </si>
  <si>
    <t>PEPSODENT TP CVT FTR AL NO FDI 12X6X150G</t>
  </si>
  <si>
    <t>CLOSE UP TP RED HOT P12X12X30G</t>
  </si>
  <si>
    <t>PEPSODENT TP BAKING SODA EU 30X75ML</t>
  </si>
  <si>
    <t>PEPSODENT TP CHARCOAL EU 30X75ML</t>
  </si>
  <si>
    <t>CLOSE UP TP MENTHOL FRESH KN 12X12X30G</t>
  </si>
  <si>
    <t>Cam/Laos</t>
  </si>
  <si>
    <t>CLOSE UP TP MENTHOL FRESH KN 12X6X150G</t>
  </si>
  <si>
    <t>CLOSE UP TP ICY WHITE GEL KN 12X12X30G</t>
  </si>
  <si>
    <t>CLOSE UP TP ICY WHITE GEL KN 12X6X150G</t>
  </si>
  <si>
    <t>PEPSODENT TP CVT FTR AL NO FDI 12X6X175G</t>
  </si>
  <si>
    <t>CLOSE UP RED HOT BYC PRM DUA2 48X2X120G</t>
  </si>
  <si>
    <t>PEPSODENT TP CHARCOAL LEMON ALLR 72X130G</t>
  </si>
  <si>
    <t>CLOSE UP RED HOT PRMO DUA2 36X2X175G</t>
  </si>
  <si>
    <t>CLOSEUP MULTIVITAMIN 36X2X150G</t>
  </si>
  <si>
    <t>AMODENT TP HERB LD HU 30X100ML</t>
  </si>
  <si>
    <t>AMODENT TP ORIGINAL LD HU 30X100ML</t>
  </si>
  <si>
    <t>FLUOCARIL TP ORIGINAL 12X12X30G</t>
  </si>
  <si>
    <t>FLUOCARIL TP ORIGINAL 12X6X100G</t>
  </si>
  <si>
    <t>AMODENT TP WHITE LD HU 30X100ML</t>
  </si>
  <si>
    <t>CLOSE UP TP MENTHOL FRESH SPKH 12X12X25G</t>
  </si>
  <si>
    <t>Cambodia</t>
  </si>
  <si>
    <t xml:space="preserve">SUNLIGHT KC FOAM TEMP(TOWEL) 12X500ML </t>
  </si>
  <si>
    <t>SUNLIGHT KITCHEN FOAM BTL 12X500ML</t>
  </si>
  <si>
    <t>FLUOCARIL TP ORG TEMP (TB X30) 24X150G</t>
  </si>
  <si>
    <t>P/S TP CHARCOAL TEMP (GUM 30G) 24X230G</t>
  </si>
  <si>
    <t>CLOSE UP MNTHL FRSH PRM DUA2 36X2X175G</t>
  </si>
  <si>
    <t>Philipines</t>
  </si>
  <si>
    <t>P/S TP CHARCOAL TEMP (GUM 30G) 24X180G</t>
  </si>
  <si>
    <t>P/S TP PINKSALT TEMP (GUM 30G) 24X230G</t>
  </si>
  <si>
    <t>P/S TP PINKSALT TEMP (GUM 30G) 24X180G</t>
  </si>
  <si>
    <t>PEPSODENT TP CHARCOAL EU UIRL 30X75ML</t>
  </si>
  <si>
    <t>P/S TP GUM EXPERT WHITENING 60X100G</t>
  </si>
  <si>
    <t>P/S TP GUM EXPERT FRESH 60X100G</t>
  </si>
  <si>
    <t>CLOSEUP WHITE NOW DETOX SERUM PH 36X85G</t>
  </si>
  <si>
    <t>P/S TP CHARCOAL&amp;BAMBOO WHITE Y25 60X100G</t>
  </si>
  <si>
    <t>SIGNAL TP WHITENING BK SODA TR 60X70ML</t>
  </si>
  <si>
    <t>SIGNAL TP WHITENING ANTSTAIN TR 60X70ML</t>
  </si>
  <si>
    <t>CLOSEUP WHITE NOW PURPLE SERUM PH 36X85G</t>
  </si>
  <si>
    <t>CLOSEUP WHITE NOW PURPLE PH 48X2X100G</t>
  </si>
  <si>
    <t>CLOSEUP WHITE NOW DETOX SERUM 48X2X100G</t>
  </si>
  <si>
    <t>SIGNAL GUM EXP TP FRESH AR VN 60X75ML</t>
  </si>
  <si>
    <t>SIGNAL GUM EXP TP WHITE AR VN 60X75ML</t>
  </si>
  <si>
    <t>SIGNAL SENS EXP TP FRESH AR VN 60X75ML</t>
  </si>
  <si>
    <t>SIGNAL SENS EXP TP WHITE AR VN 60X75ML</t>
  </si>
  <si>
    <t>CLOSE UP MTL FRSH FO27B NO FDI P12X6X75G</t>
  </si>
  <si>
    <t>CLOSE UP TP MNTL FRESH NO FDI P12X6X160G</t>
  </si>
  <si>
    <t>CLOSEUP GRN MNTL FRSH PROMO HL 36X2X173G</t>
  </si>
  <si>
    <t>P/S TP SNSTV EXPERT WHTNNG Y24 60X100G</t>
  </si>
  <si>
    <t>P/S TP SNSTV EXPERT FRESH Y24 60X100G</t>
  </si>
  <si>
    <t>AMODENT TP BAKING SODA HU UI 30X100ML</t>
  </si>
  <si>
    <t>AMODENT TP CHARCOAL HU UI 30X100ML</t>
  </si>
  <si>
    <t>AMODENT TP PINK SALT HU UI 30X100ML</t>
  </si>
  <si>
    <t>CLOSE UP DA RED HOT UI NO FDI 60X160G</t>
  </si>
  <si>
    <t>FLUOCARIL TP 145MG MINT UI 30X75ML</t>
  </si>
  <si>
    <t>FLUOCARIL TP 145MG GUM UI 30X75ML</t>
  </si>
  <si>
    <t>CLOSE UP DA MNTL FRESH UI NO FDI 60X160G</t>
  </si>
  <si>
    <t>SIGNAL TP CVT FTR EN+FR NO FDI 72X100ML</t>
  </si>
  <si>
    <t>CLOSEUP RED HOT PROMO HL 48X2X120G</t>
  </si>
  <si>
    <t>P/S TP ANTI CAVITY RE26 60X100G</t>
  </si>
  <si>
    <t>P/S TP ANTI CAVITY RE26 36X180G</t>
  </si>
  <si>
    <t>P/S TP PROTECTION 123 RE26 36X180G</t>
  </si>
  <si>
    <t>SIGNAL FRANCE FIFA GOLD 36X85G</t>
  </si>
  <si>
    <t>SIGNAL FIFA BLACK ANTIBAC 36X85G</t>
  </si>
  <si>
    <t>SIGNAL FIFA BLUE FRESH BREATH 36X85G</t>
  </si>
  <si>
    <t>SIGNAL FIFA RED PLAQUE REMOVAL 36X85G</t>
  </si>
  <si>
    <t>P/S TP CHRCOAL&amp;BAMBOO WHITE RE26 36X230G</t>
  </si>
  <si>
    <t>P/S TP CHRCOAL&amp;BAMBOO WHITE RE26 36X180G</t>
  </si>
  <si>
    <t>P/S TP ANTI CAVITY Y23 UI 60X100G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</si>
</sst>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i/>
      <sz val="15"/>
      <color indexed="10"/>
      <name val="Times New Roman"/>
      <family val="1"/>
    </font>
    <font>
      <sz val="10"/>
      <color indexed="8"/>
      <name val="Times New Roman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vertAlign val="subscript"/>
      <sz val="14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0"/>
      <color indexed="8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0"/>
      <name val="VNI-Times"/>
    </font>
    <font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0"/>
      <color rgb="FF0033CC"/>
      <name val="Arial"/>
      <family val="2"/>
    </font>
    <font>
      <sz val="10"/>
      <color rgb="FFFF0000"/>
      <name val="Arial"/>
      <family val="2"/>
    </font>
    <font>
      <sz val="8"/>
      <name val="Times New Roman"/>
      <family val="1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mbria"/>
      <family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Calibri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top"/>
    </xf>
    <xf numFmtId="0" fontId="2" fillId="0" borderId="0">
      <alignment vertical="top"/>
    </xf>
    <xf numFmtId="0" fontId="5" fillId="0" borderId="0"/>
    <xf numFmtId="0" fontId="12" fillId="0" borderId="0"/>
    <xf numFmtId="0" fontId="2" fillId="0" borderId="0">
      <alignment vertical="top"/>
    </xf>
    <xf numFmtId="0" fontId="12" fillId="0" borderId="0"/>
    <xf numFmtId="43" fontId="22" fillId="0" borderId="0" applyFont="0" applyFill="0" applyBorder="0" applyAlignment="0" applyProtection="0"/>
    <xf numFmtId="0" fontId="12" fillId="0" borderId="0"/>
    <xf numFmtId="0" fontId="1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/>
    <xf numFmtId="0" fontId="22" fillId="0" borderId="0"/>
  </cellStyleXfs>
  <cellXfs count="121">
    <xf numFmtId="0" fontId="0" fillId="0" borderId="0" xfId="0">
      <alignment vertical="top"/>
    </xf>
    <xf numFmtId="0" fontId="3" fillId="0" borderId="0" xfId="1" applyFont="1" applyAlignment="1"/>
    <xf numFmtId="0" fontId="4" fillId="0" borderId="0" xfId="1" applyFont="1" applyAlignment="1"/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13" fillId="2" borderId="2" xfId="3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2" fillId="5" borderId="0" xfId="0" applyFont="1" applyFill="1" applyAlignment="1"/>
    <xf numFmtId="0" fontId="18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2" fontId="19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2" fontId="12" fillId="4" borderId="1" xfId="0" applyNumberFormat="1" applyFont="1" applyFill="1" applyBorder="1" applyAlignment="1">
      <alignment horizontal="center"/>
    </xf>
    <xf numFmtId="2" fontId="19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/>
    </xf>
    <xf numFmtId="0" fontId="18" fillId="7" borderId="0" xfId="0" applyFont="1" applyFill="1" applyAlignment="1">
      <alignment vertical="center"/>
    </xf>
    <xf numFmtId="0" fontId="18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2" fontId="19" fillId="4" borderId="1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2" fontId="19" fillId="8" borderId="1" xfId="0" applyNumberFormat="1" applyFont="1" applyFill="1" applyBorder="1" applyAlignment="1">
      <alignment horizontal="center"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 wrapText="1"/>
    </xf>
    <xf numFmtId="0" fontId="18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2" fontId="19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/>
    </xf>
    <xf numFmtId="0" fontId="12" fillId="10" borderId="0" xfId="0" applyFont="1" applyFill="1" applyAlignment="1"/>
    <xf numFmtId="0" fontId="12" fillId="9" borderId="1" xfId="0" applyFont="1" applyFill="1" applyBorder="1" applyAlignment="1">
      <alignment horizontal="center" vertical="center"/>
    </xf>
    <xf numFmtId="1" fontId="19" fillId="7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/>
    <xf numFmtId="1" fontId="19" fillId="4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5" fillId="0" borderId="0" xfId="0" applyFont="1" applyAlignment="1" applyProtection="1">
      <alignment horizontal="left"/>
      <protection locked="0"/>
    </xf>
    <xf numFmtId="0" fontId="2" fillId="0" borderId="0" xfId="4" applyProtection="1">
      <alignment vertical="top"/>
      <protection hidden="1"/>
    </xf>
    <xf numFmtId="0" fontId="12" fillId="4" borderId="1" xfId="0" applyFont="1" applyFill="1" applyBorder="1" applyAlignment="1">
      <alignment vertical="center"/>
    </xf>
    <xf numFmtId="0" fontId="12" fillId="0" borderId="1" xfId="0" applyFont="1" applyBorder="1" applyAlignment="1"/>
    <xf numFmtId="1" fontId="1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1" fillId="0" borderId="4" xfId="5" applyFont="1" applyBorder="1"/>
    <xf numFmtId="0" fontId="0" fillId="11" borderId="0" xfId="0" applyFill="1" applyAlignment="1">
      <alignment vertical="center"/>
    </xf>
    <xf numFmtId="1" fontId="0" fillId="12" borderId="0" xfId="0" applyNumberFormat="1" applyFill="1" applyAlignment="1" applyProtection="1">
      <protection hidden="1"/>
    </xf>
    <xf numFmtId="49" fontId="0" fillId="0" borderId="0" xfId="0" applyNumberFormat="1" applyAlignment="1" applyProtection="1">
      <protection hidden="1"/>
    </xf>
    <xf numFmtId="2" fontId="12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4" fillId="12" borderId="1" xfId="6" applyNumberFormat="1" applyFont="1" applyFill="1" applyBorder="1"/>
    <xf numFmtId="0" fontId="12" fillId="4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" fontId="19" fillId="0" borderId="1" xfId="0" applyNumberFormat="1" applyFont="1" applyBorder="1" applyAlignment="1">
      <alignment horizontal="center" vertical="center"/>
    </xf>
    <xf numFmtId="0" fontId="12" fillId="10" borderId="1" xfId="0" applyFont="1" applyFill="1" applyBorder="1" applyAlignment="1"/>
    <xf numFmtId="0" fontId="23" fillId="0" borderId="0" xfId="0" applyFont="1" applyAlignment="1"/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/>
    <xf numFmtId="0" fontId="25" fillId="1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26" fillId="0" borderId="1" xfId="0" applyFont="1" applyBorder="1" applyAlignment="1">
      <alignment horizontal="center" vertical="center"/>
    </xf>
    <xf numFmtId="0" fontId="27" fillId="0" borderId="1" xfId="7" applyFont="1" applyBorder="1" applyAlignment="1">
      <alignment horizontal="center" vertical="center" wrapText="1"/>
    </xf>
    <xf numFmtId="0" fontId="1" fillId="0" borderId="0" xfId="8" applyAlignment="1">
      <alignment horizontal="center"/>
    </xf>
    <xf numFmtId="0" fontId="1" fillId="0" borderId="0" xfId="8"/>
    <xf numFmtId="0" fontId="25" fillId="1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" fillId="4" borderId="1" xfId="9" applyFont="1" applyFill="1" applyBorder="1" applyAlignment="1">
      <alignment horizontal="center" vertical="center"/>
    </xf>
    <xf numFmtId="0" fontId="12" fillId="4" borderId="1" xfId="9" applyFill="1" applyBorder="1" applyAlignment="1">
      <alignment horizontal="center"/>
    </xf>
    <xf numFmtId="2" fontId="12" fillId="4" borderId="1" xfId="9" applyNumberFormat="1" applyFill="1" applyBorder="1" applyAlignment="1">
      <alignment horizontal="center"/>
    </xf>
    <xf numFmtId="2" fontId="19" fillId="6" borderId="1" xfId="9" applyNumberFormat="1" applyFont="1" applyFill="1" applyBorder="1" applyAlignment="1">
      <alignment horizontal="center" vertical="center"/>
    </xf>
    <xf numFmtId="0" fontId="12" fillId="0" borderId="0" xfId="9" applyAlignment="1"/>
    <xf numFmtId="164" fontId="12" fillId="6" borderId="1" xfId="9" applyNumberFormat="1" applyFill="1" applyBorder="1" applyAlignment="1">
      <alignment horizontal="center"/>
    </xf>
    <xf numFmtId="0" fontId="12" fillId="4" borderId="1" xfId="10" applyFill="1" applyBorder="1" applyAlignment="1">
      <alignment horizontal="center"/>
    </xf>
    <xf numFmtId="0" fontId="12" fillId="4" borderId="1" xfId="10" applyFill="1" applyBorder="1" applyAlignment="1"/>
    <xf numFmtId="0" fontId="2" fillId="4" borderId="1" xfId="10" applyFont="1" applyFill="1" applyBorder="1" applyAlignment="1">
      <alignment horizontal="center" vertical="center"/>
    </xf>
    <xf numFmtId="2" fontId="12" fillId="4" borderId="1" xfId="10" applyNumberFormat="1" applyFill="1" applyBorder="1" applyAlignment="1">
      <alignment horizontal="center"/>
    </xf>
    <xf numFmtId="2" fontId="19" fillId="6" borderId="1" xfId="10" applyNumberFormat="1" applyFont="1" applyFill="1" applyBorder="1" applyAlignment="1">
      <alignment horizontal="center" vertical="center"/>
    </xf>
    <xf numFmtId="0" fontId="12" fillId="0" borderId="0" xfId="10" applyAlignment="1"/>
    <xf numFmtId="164" fontId="12" fillId="6" borderId="1" xfId="10" applyNumberFormat="1" applyFill="1" applyBorder="1" applyAlignment="1">
      <alignment horizontal="center"/>
    </xf>
    <xf numFmtId="0" fontId="12" fillId="4" borderId="1" xfId="11" applyFill="1" applyBorder="1" applyAlignment="1">
      <alignment horizontal="center"/>
    </xf>
    <xf numFmtId="0" fontId="12" fillId="4" borderId="1" xfId="11" applyFill="1" applyBorder="1" applyAlignment="1"/>
    <xf numFmtId="0" fontId="2" fillId="4" borderId="1" xfId="11" applyFont="1" applyFill="1" applyBorder="1" applyAlignment="1">
      <alignment horizontal="center" vertical="center"/>
    </xf>
    <xf numFmtId="2" fontId="12" fillId="4" borderId="1" xfId="11" applyNumberFormat="1" applyFill="1" applyBorder="1" applyAlignment="1">
      <alignment horizontal="center"/>
    </xf>
    <xf numFmtId="2" fontId="19" fillId="6" borderId="1" xfId="11" applyNumberFormat="1" applyFont="1" applyFill="1" applyBorder="1" applyAlignment="1">
      <alignment horizontal="center" vertical="center"/>
    </xf>
    <xf numFmtId="0" fontId="12" fillId="0" borderId="0" xfId="11" applyAlignment="1"/>
    <xf numFmtId="164" fontId="12" fillId="6" borderId="1" xfId="11" applyNumberForma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 vertical="center" wrapText="1"/>
    </xf>
    <xf numFmtId="0" fontId="5" fillId="0" borderId="5" xfId="12" applyFont="1" applyBorder="1" applyAlignment="1" applyProtection="1">
      <alignment horizontal="center" vertical="center"/>
      <protection locked="0" hidden="1"/>
    </xf>
    <xf numFmtId="0" fontId="30" fillId="0" borderId="0" xfId="0" applyFont="1" applyAlignment="1" applyProtection="1">
      <protection locked="0"/>
    </xf>
    <xf numFmtId="0" fontId="5" fillId="0" borderId="6" xfId="13" applyFont="1" applyBorder="1" applyAlignment="1" applyProtection="1">
      <alignment horizontal="center" vertical="center"/>
      <protection locked="0"/>
    </xf>
    <xf numFmtId="0" fontId="5" fillId="0" borderId="6" xfId="13" applyFont="1" applyBorder="1" applyAlignment="1" applyProtection="1">
      <alignment horizontal="left" vertical="center"/>
      <protection locked="0"/>
    </xf>
    <xf numFmtId="0" fontId="29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0" fillId="0" borderId="1" xfId="0" applyFont="1" applyBorder="1" applyAlignment="1" applyProtection="1">
      <protection locked="0"/>
    </xf>
    <xf numFmtId="0" fontId="5" fillId="0" borderId="7" xfId="13" applyFont="1" applyBorder="1" applyAlignment="1" applyProtection="1">
      <alignment horizontal="center" vertical="center"/>
      <protection locked="0"/>
    </xf>
  </cellXfs>
  <cellStyles count="14">
    <cellStyle name="Comma 2" xfId="6" xr:uid="{EB06E23A-698A-4383-911D-261EC35CDF49}"/>
    <cellStyle name="Normal" xfId="0" builtinId="0"/>
    <cellStyle name="Normal 100" xfId="8" xr:uid="{FE67E963-34B6-4396-9264-4EE735705489}"/>
    <cellStyle name="Normal 101" xfId="9" xr:uid="{3D80D8C6-C822-4675-9CB5-B12DB7924AB0}"/>
    <cellStyle name="Normal 102" xfId="10" xr:uid="{10DFAA23-80E7-4AB6-B09D-6884AAB1BC8D}"/>
    <cellStyle name="Normal 103" xfId="11" xr:uid="{DE44BD00-85E4-4F27-A337-BB14D724E503}"/>
    <cellStyle name="Normal 11" xfId="7" xr:uid="{1A20CF35-0CA5-47DC-9130-46A1B959B258}"/>
    <cellStyle name="Normal 13" xfId="12" xr:uid="{F109A5B4-8AAD-41B1-9107-BBF4894F1EEB}"/>
    <cellStyle name="Normal 2" xfId="5" xr:uid="{107ED943-E927-43E8-80AB-BB3C842CA530}"/>
    <cellStyle name="Normal 3" xfId="2" xr:uid="{B35CF697-B650-415A-95D5-913F0536E491}"/>
    <cellStyle name="Normal_Database online HCL 2011" xfId="13" xr:uid="{3B20FBAF-DEA8-4997-9720-A5A6653CC2DC}"/>
    <cellStyle name="Normal_Du lieu 2010" xfId="1" xr:uid="{68DF04CB-F0FE-47F8-A410-0937611EE450}"/>
    <cellStyle name="Normal_QA-W01PKG app01bang lay mau" xfId="3" xr:uid="{06F1E6F7-C0AF-45B8-9751-4CA2AB1519DD}"/>
    <cellStyle name="Style 1" xfId="4" xr:uid="{E1D2B7A6-52C3-4808-8EF5-1E8A3554481C}"/>
  </cellStyles>
  <dxfs count="1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409575</xdr:rowOff>
        </xdr:from>
        <xdr:to>
          <xdr:col>6</xdr:col>
          <xdr:colOff>495300</xdr:colOff>
          <xdr:row>5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C2B75B2-9F1B-4CFF-9980-9DB694176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ettings\Desktop\Plan%20W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lever.sharepoint.com/sites/Epro/Production%20Plant/01-Production/04.%20R2S%202025/R2S%20Cell%202/2.%20FI%20Oral/1.%20Project%20report/SPC_Checkweiger/Master%20data%20Quality.xlsx" TargetMode="External"/><Relationship Id="rId1" Type="http://schemas.openxmlformats.org/officeDocument/2006/relationships/externalLinkPath" Target="Master%20data%20Qual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Users/lam-thanh.nam/OneDrive%20-%20Unilever/TPM%20Mixing%202017/Right%20First%20Time%202017%20-LINE%2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Users/tran-t-dieu.hien/Desktop/Tiec%20Tat%20nien%20nha%20may%20Cu%20Chi%20%20-%20Form%20&#273;&#259;ng%20k&#25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Users/le-thi-anh.thu/AppData/Local/Microsoft/Windows/Temporary%20Internet%20Files/Content.Outlook/5WK5G0KN/04-KET%20QUA%20QA%20(%20EXP%20)%20201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amtrq99\AppData\Local\Microsoft\Windows\Temporary%20Internet%20Files\Content.Outlook\OF5VE9G9\DU%20LIEU%20CTY\trinh\HANG%20XUAT%202008\NXT_T1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data/LACNEW/6.Role%20assignment/6.Role%20assignment/Creation%20of%20New%20ID%20(Roles)/Nove/ULCHG0000686910_PHAN%20THI%20THANH%20DUNG3%20%20VN_User%20to%20Role%20Assignment%20Request%20For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LOI/LOI/B&#7842;NG%20T&#7892;NG%20C&#212;NG%20C&#7910;A%20X&#431;&#7902;NG/G&#7916;I%20C&#431;&#7900;NG%20-%20A.TU&#7844;N%20(2015)/T&#7892;NG%20C&#212;NG%20NH&#194;N%20VI&#202;N%20U%20&amp;%20TL/DU%20LIEU%20CTY/trinh/HANG%20XUAT%202008/NXT_T1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3SFNP10001\groups\Dept\Epro\01-Production\09-HKVAN\Product-Report\2011\HKVan%202011\Plan%20Mix%202011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"/>
      <sheetName val="Data"/>
      <sheetName val="WK 30.12"/>
      <sheetName val="Plan"/>
      <sheetName val="Act"/>
      <sheetName val="Speed"/>
      <sheetName val="OR daily"/>
      <sheetName val="Critial"/>
      <sheetName val="Mix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Mold</v>
          </cell>
          <cell r="B2" t="str">
            <v>Size 22 = 14 , 18 , 30 ,35 , 40 , 45 gr</v>
          </cell>
          <cell r="D2" t="str">
            <v>Color &amp; Carton type</v>
          </cell>
          <cell r="E2" t="str">
            <v>Mono</v>
          </cell>
          <cell r="F2">
            <v>1</v>
          </cell>
          <cell r="G2" t="str">
            <v>Không</v>
          </cell>
          <cell r="H2">
            <v>0</v>
          </cell>
          <cell r="J2" t="str">
            <v>Line 1</v>
          </cell>
          <cell r="K2">
            <v>40</v>
          </cell>
        </row>
        <row r="3">
          <cell r="B3" t="str">
            <v>Size 32 = 85, 100 ,110 ,120 , 130 gr</v>
          </cell>
          <cell r="E3" t="str">
            <v>Màu</v>
          </cell>
          <cell r="F3">
            <v>2</v>
          </cell>
          <cell r="G3" t="str">
            <v>Dán</v>
          </cell>
          <cell r="H3">
            <v>1</v>
          </cell>
          <cell r="J3" t="str">
            <v>Line 2</v>
          </cell>
          <cell r="K3">
            <v>60</v>
          </cell>
        </row>
        <row r="4">
          <cell r="B4" t="str">
            <v>Size 35 = 75,150 , 160 , 200gr</v>
          </cell>
          <cell r="E4" t="str">
            <v>core</v>
          </cell>
          <cell r="F4">
            <v>3</v>
          </cell>
          <cell r="G4" t="str">
            <v>Gài</v>
          </cell>
          <cell r="H4">
            <v>2</v>
          </cell>
          <cell r="J4" t="str">
            <v>Line 3</v>
          </cell>
          <cell r="K4">
            <v>180</v>
          </cell>
        </row>
        <row r="5">
          <cell r="B5" t="str">
            <v>Size 38 = 220gr</v>
          </cell>
          <cell r="E5" t="str">
            <v>3màu</v>
          </cell>
          <cell r="F5">
            <v>4</v>
          </cell>
          <cell r="J5" t="str">
            <v>Line 4</v>
          </cell>
          <cell r="K5">
            <v>180</v>
          </cell>
        </row>
        <row r="7">
          <cell r="A7" t="str">
            <v>FGs Code</v>
          </cell>
          <cell r="B7" t="str">
            <v>Description</v>
          </cell>
          <cell r="C7" t="str">
            <v>Weight</v>
          </cell>
          <cell r="D7" t="str">
            <v>Region</v>
          </cell>
          <cell r="E7" t="str">
            <v>Tube/case</v>
          </cell>
          <cell r="F7" t="str">
            <v>Tube/carton</v>
          </cell>
          <cell r="G7" t="str">
            <v>Color &amp; Carton type</v>
          </cell>
          <cell r="H7" t="str">
            <v>Standar Speed</v>
          </cell>
        </row>
        <row r="8">
          <cell r="H8">
            <v>7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</row>
        <row r="9">
          <cell r="A9">
            <v>20108401</v>
          </cell>
          <cell r="B9" t="str">
            <v>P/S KIDS STRAWBERRY 35G/120</v>
          </cell>
          <cell r="C9">
            <v>35</v>
          </cell>
          <cell r="D9" t="str">
            <v>Viet</v>
          </cell>
          <cell r="E9">
            <v>120</v>
          </cell>
          <cell r="F9">
            <v>1</v>
          </cell>
          <cell r="G9">
            <v>11</v>
          </cell>
          <cell r="H9">
            <v>0</v>
          </cell>
          <cell r="I9">
            <v>0</v>
          </cell>
          <cell r="J9">
            <v>180</v>
          </cell>
          <cell r="K9">
            <v>180</v>
          </cell>
          <cell r="L9">
            <v>160</v>
          </cell>
          <cell r="M9">
            <v>160</v>
          </cell>
        </row>
        <row r="10">
          <cell r="A10">
            <v>20255854</v>
          </cell>
          <cell r="B10" t="str">
            <v>P/S A.CAVITY RE0109 45G/120 - BULLEYE</v>
          </cell>
          <cell r="C10">
            <v>45</v>
          </cell>
          <cell r="D10" t="str">
            <v>Viet</v>
          </cell>
          <cell r="E10">
            <v>120</v>
          </cell>
          <cell r="F10">
            <v>1</v>
          </cell>
          <cell r="G10">
            <v>11</v>
          </cell>
          <cell r="H10">
            <v>0</v>
          </cell>
          <cell r="I10">
            <v>0</v>
          </cell>
          <cell r="J10">
            <v>180</v>
          </cell>
          <cell r="K10">
            <v>180</v>
          </cell>
          <cell r="L10">
            <v>160</v>
          </cell>
          <cell r="M10">
            <v>160</v>
          </cell>
        </row>
        <row r="11">
          <cell r="A11">
            <v>64003172</v>
          </cell>
          <cell r="B11" t="str">
            <v>P/S LEMON FRE. P0208 110G/100</v>
          </cell>
          <cell r="C11">
            <v>110</v>
          </cell>
          <cell r="D11" t="str">
            <v>Viet</v>
          </cell>
          <cell r="E11">
            <v>100</v>
          </cell>
          <cell r="F11">
            <v>1</v>
          </cell>
          <cell r="G11">
            <v>11</v>
          </cell>
          <cell r="H11">
            <v>200</v>
          </cell>
          <cell r="I11">
            <v>0</v>
          </cell>
          <cell r="J11">
            <v>180</v>
          </cell>
          <cell r="K11">
            <v>180</v>
          </cell>
          <cell r="L11">
            <v>160</v>
          </cell>
          <cell r="M11">
            <v>160</v>
          </cell>
        </row>
        <row r="12">
          <cell r="A12">
            <v>64003171</v>
          </cell>
          <cell r="B12" t="str">
            <v>P/S MINT FRE. P0208 110G/100</v>
          </cell>
          <cell r="C12">
            <v>110</v>
          </cell>
          <cell r="D12" t="str">
            <v>Viet</v>
          </cell>
          <cell r="E12">
            <v>100</v>
          </cell>
          <cell r="F12">
            <v>1</v>
          </cell>
          <cell r="G12">
            <v>11</v>
          </cell>
          <cell r="H12">
            <v>200</v>
          </cell>
          <cell r="I12">
            <v>0</v>
          </cell>
          <cell r="J12">
            <v>180</v>
          </cell>
          <cell r="K12">
            <v>180</v>
          </cell>
          <cell r="L12">
            <v>160</v>
          </cell>
          <cell r="M12">
            <v>160</v>
          </cell>
        </row>
        <row r="13">
          <cell r="A13">
            <v>20105825</v>
          </cell>
          <cell r="B13" t="str">
            <v>P/S E-SALT P0310 120G/60</v>
          </cell>
          <cell r="C13">
            <v>120</v>
          </cell>
          <cell r="D13" t="str">
            <v>Viet</v>
          </cell>
          <cell r="E13">
            <v>60</v>
          </cell>
          <cell r="F13">
            <v>1</v>
          </cell>
          <cell r="G13">
            <v>11</v>
          </cell>
          <cell r="H13">
            <v>180</v>
          </cell>
          <cell r="I13">
            <v>0</v>
          </cell>
          <cell r="J13">
            <v>180</v>
          </cell>
          <cell r="K13">
            <v>180</v>
          </cell>
          <cell r="L13">
            <v>160</v>
          </cell>
          <cell r="M13">
            <v>160</v>
          </cell>
        </row>
        <row r="14">
          <cell r="A14">
            <v>20103105</v>
          </cell>
          <cell r="B14" t="str">
            <v>EXP P/S AD ANTI CAVITY130G/100 MOGOLIA</v>
          </cell>
          <cell r="C14">
            <v>130</v>
          </cell>
          <cell r="D14" t="str">
            <v>Mogolia</v>
          </cell>
          <cell r="E14">
            <v>100</v>
          </cell>
          <cell r="F14">
            <v>1</v>
          </cell>
          <cell r="G14">
            <v>11</v>
          </cell>
          <cell r="H14">
            <v>200</v>
          </cell>
          <cell r="I14">
            <v>0</v>
          </cell>
          <cell r="J14">
            <v>180</v>
          </cell>
          <cell r="K14">
            <v>180</v>
          </cell>
          <cell r="L14">
            <v>160</v>
          </cell>
          <cell r="M14">
            <v>160</v>
          </cell>
        </row>
        <row r="15">
          <cell r="A15">
            <v>64003117</v>
          </cell>
          <cell r="B15" t="str">
            <v>P/S TRIPLE P0310 200G/36</v>
          </cell>
          <cell r="C15">
            <v>200</v>
          </cell>
          <cell r="D15" t="str">
            <v>Viet</v>
          </cell>
          <cell r="E15">
            <v>36</v>
          </cell>
          <cell r="F15">
            <v>1</v>
          </cell>
          <cell r="G15">
            <v>11</v>
          </cell>
          <cell r="I15">
            <v>0</v>
          </cell>
          <cell r="J15">
            <v>150</v>
          </cell>
          <cell r="K15">
            <v>150</v>
          </cell>
          <cell r="L15">
            <v>150</v>
          </cell>
          <cell r="M15">
            <v>150</v>
          </cell>
        </row>
        <row r="16">
          <cell r="A16">
            <v>20106700</v>
          </cell>
          <cell r="B16" t="str">
            <v>EXP CUP MENTHOL CHILL 18G/288 Thailand</v>
          </cell>
          <cell r="C16">
            <v>18</v>
          </cell>
          <cell r="D16" t="str">
            <v>Thailand</v>
          </cell>
          <cell r="E16">
            <v>288</v>
          </cell>
          <cell r="F16">
            <v>1</v>
          </cell>
          <cell r="G16">
            <v>12</v>
          </cell>
          <cell r="H16">
            <v>0</v>
          </cell>
          <cell r="I16">
            <v>60</v>
          </cell>
          <cell r="J16">
            <v>0</v>
          </cell>
          <cell r="K16">
            <v>0</v>
          </cell>
          <cell r="L16">
            <v>155</v>
          </cell>
          <cell r="M16">
            <v>155</v>
          </cell>
        </row>
        <row r="17">
          <cell r="A17">
            <v>64003178</v>
          </cell>
          <cell r="B17" t="str">
            <v>P/S LEMON FRESH SAMP 18G/600</v>
          </cell>
          <cell r="C17">
            <v>18</v>
          </cell>
          <cell r="D17" t="str">
            <v>Viet</v>
          </cell>
          <cell r="E17">
            <v>600</v>
          </cell>
          <cell r="F17">
            <v>1</v>
          </cell>
          <cell r="G17">
            <v>12</v>
          </cell>
          <cell r="H17">
            <v>0</v>
          </cell>
          <cell r="I17">
            <v>60</v>
          </cell>
          <cell r="J17">
            <v>0</v>
          </cell>
          <cell r="K17">
            <v>0</v>
          </cell>
          <cell r="L17">
            <v>155</v>
          </cell>
          <cell r="M17">
            <v>155</v>
          </cell>
        </row>
        <row r="18">
          <cell r="A18">
            <v>66818970</v>
          </cell>
          <cell r="B18" t="str">
            <v>EXP CUP CRYSTAL FROST 30G/144 Thailand</v>
          </cell>
          <cell r="C18">
            <v>30</v>
          </cell>
          <cell r="D18" t="str">
            <v>Thailand</v>
          </cell>
          <cell r="E18">
            <v>144</v>
          </cell>
          <cell r="F18">
            <v>1</v>
          </cell>
          <cell r="G18">
            <v>12</v>
          </cell>
          <cell r="H18">
            <v>0</v>
          </cell>
          <cell r="I18">
            <v>65</v>
          </cell>
          <cell r="J18">
            <v>180</v>
          </cell>
          <cell r="K18">
            <v>180</v>
          </cell>
          <cell r="L18">
            <v>160</v>
          </cell>
          <cell r="M18">
            <v>160</v>
          </cell>
        </row>
        <row r="19">
          <cell r="A19">
            <v>66818974</v>
          </cell>
          <cell r="B19" t="str">
            <v>EXP CUP MENTHOL CHILL 30G/144 Thailand</v>
          </cell>
          <cell r="C19">
            <v>30</v>
          </cell>
          <cell r="D19" t="str">
            <v>Thailand</v>
          </cell>
          <cell r="E19">
            <v>144</v>
          </cell>
          <cell r="F19">
            <v>1</v>
          </cell>
          <cell r="G19">
            <v>12</v>
          </cell>
          <cell r="H19">
            <v>0</v>
          </cell>
          <cell r="I19">
            <v>65</v>
          </cell>
          <cell r="J19">
            <v>180</v>
          </cell>
          <cell r="K19">
            <v>180</v>
          </cell>
          <cell r="L19">
            <v>160</v>
          </cell>
          <cell r="M19">
            <v>160</v>
          </cell>
        </row>
        <row r="20">
          <cell r="A20">
            <v>20076530</v>
          </cell>
          <cell r="B20" t="str">
            <v>CUP MENTHOL CHILL 40G/144 CAM</v>
          </cell>
          <cell r="C20">
            <v>40</v>
          </cell>
          <cell r="D20" t="str">
            <v>Cam</v>
          </cell>
          <cell r="E20">
            <v>144</v>
          </cell>
          <cell r="F20">
            <v>1</v>
          </cell>
          <cell r="G20">
            <v>12</v>
          </cell>
          <cell r="H20">
            <v>0</v>
          </cell>
          <cell r="I20">
            <v>65</v>
          </cell>
          <cell r="J20">
            <v>180</v>
          </cell>
          <cell r="K20">
            <v>180</v>
          </cell>
          <cell r="L20">
            <v>160</v>
          </cell>
          <cell r="M20">
            <v>160</v>
          </cell>
        </row>
        <row r="21">
          <cell r="A21">
            <v>64004880</v>
          </cell>
          <cell r="B21" t="str">
            <v>CLOSE UP BLUE 35G/280 KOREA</v>
          </cell>
          <cell r="C21">
            <v>35</v>
          </cell>
          <cell r="D21" t="str">
            <v>Korea</v>
          </cell>
          <cell r="E21">
            <v>280</v>
          </cell>
          <cell r="F21">
            <v>0</v>
          </cell>
          <cell r="G21">
            <v>12</v>
          </cell>
          <cell r="H21">
            <v>0</v>
          </cell>
          <cell r="I21">
            <v>60</v>
          </cell>
          <cell r="J21">
            <v>180</v>
          </cell>
          <cell r="K21">
            <v>180</v>
          </cell>
          <cell r="L21">
            <v>160</v>
          </cell>
          <cell r="M21">
            <v>160</v>
          </cell>
        </row>
        <row r="22">
          <cell r="A22">
            <v>64004882</v>
          </cell>
          <cell r="B22" t="str">
            <v>CLOSE UP ICE FRESH 35G/280</v>
          </cell>
          <cell r="C22">
            <v>35</v>
          </cell>
          <cell r="D22" t="str">
            <v>Korea</v>
          </cell>
          <cell r="E22">
            <v>280</v>
          </cell>
          <cell r="F22">
            <v>0</v>
          </cell>
          <cell r="G22">
            <v>12</v>
          </cell>
          <cell r="H22">
            <v>0</v>
          </cell>
          <cell r="I22">
            <v>60</v>
          </cell>
          <cell r="J22">
            <v>180</v>
          </cell>
          <cell r="K22">
            <v>180</v>
          </cell>
          <cell r="L22">
            <v>160</v>
          </cell>
          <cell r="M22">
            <v>160</v>
          </cell>
        </row>
        <row r="23">
          <cell r="A23">
            <v>66818971</v>
          </cell>
          <cell r="B23" t="str">
            <v>EXP CUP CRYSTAL FROST 75G/72 Thailand</v>
          </cell>
          <cell r="C23">
            <v>75</v>
          </cell>
          <cell r="D23" t="str">
            <v>Thailand</v>
          </cell>
          <cell r="E23">
            <v>72</v>
          </cell>
          <cell r="F23">
            <v>1</v>
          </cell>
          <cell r="G23">
            <v>12</v>
          </cell>
          <cell r="H23">
            <v>0</v>
          </cell>
          <cell r="I23">
            <v>60</v>
          </cell>
          <cell r="J23">
            <v>180</v>
          </cell>
          <cell r="K23">
            <v>180</v>
          </cell>
          <cell r="L23">
            <v>160</v>
          </cell>
          <cell r="M23">
            <v>160</v>
          </cell>
        </row>
        <row r="24">
          <cell r="A24">
            <v>66818975</v>
          </cell>
          <cell r="B24" t="str">
            <v>EXP CUP MENTHOL CHILL 75G/72 Thailand</v>
          </cell>
          <cell r="C24">
            <v>75</v>
          </cell>
          <cell r="D24" t="str">
            <v>Thailand</v>
          </cell>
          <cell r="E24">
            <v>72</v>
          </cell>
          <cell r="F24">
            <v>1</v>
          </cell>
          <cell r="G24">
            <v>12</v>
          </cell>
          <cell r="H24">
            <v>0</v>
          </cell>
          <cell r="I24">
            <v>60</v>
          </cell>
          <cell r="J24">
            <v>180</v>
          </cell>
          <cell r="K24">
            <v>180</v>
          </cell>
          <cell r="L24">
            <v>160</v>
          </cell>
          <cell r="M24">
            <v>160</v>
          </cell>
        </row>
        <row r="25">
          <cell r="A25">
            <v>20100229</v>
          </cell>
          <cell r="B25" t="str">
            <v>EXP CUP CRYSTAL FROST 160G/72 Thailand</v>
          </cell>
          <cell r="C25">
            <v>160</v>
          </cell>
          <cell r="D25" t="str">
            <v>Thailand</v>
          </cell>
          <cell r="E25">
            <v>72</v>
          </cell>
          <cell r="F25">
            <v>1</v>
          </cell>
          <cell r="G25">
            <v>12</v>
          </cell>
          <cell r="H25">
            <v>200</v>
          </cell>
          <cell r="I25">
            <v>60</v>
          </cell>
          <cell r="J25">
            <v>180</v>
          </cell>
          <cell r="K25">
            <v>180</v>
          </cell>
          <cell r="L25">
            <v>160</v>
          </cell>
          <cell r="M25">
            <v>160</v>
          </cell>
        </row>
        <row r="26">
          <cell r="A26">
            <v>20100232</v>
          </cell>
          <cell r="B26" t="str">
            <v>EXP CUP CRYS.FROST TWIN160G/36 Thailand</v>
          </cell>
          <cell r="C26">
            <v>160</v>
          </cell>
          <cell r="D26" t="str">
            <v>Thailand</v>
          </cell>
          <cell r="E26">
            <v>72</v>
          </cell>
          <cell r="F26">
            <v>2</v>
          </cell>
          <cell r="G26">
            <v>12</v>
          </cell>
          <cell r="H26">
            <v>140</v>
          </cell>
          <cell r="I26">
            <v>60</v>
          </cell>
          <cell r="J26">
            <v>160</v>
          </cell>
          <cell r="K26">
            <v>160</v>
          </cell>
          <cell r="L26">
            <v>150</v>
          </cell>
          <cell r="M26">
            <v>150</v>
          </cell>
        </row>
        <row r="27">
          <cell r="A27">
            <v>66821470</v>
          </cell>
          <cell r="B27" t="str">
            <v>EXP CUP MENT CHILL 160G/72 CAM</v>
          </cell>
          <cell r="C27">
            <v>160</v>
          </cell>
          <cell r="D27" t="str">
            <v>Cam</v>
          </cell>
          <cell r="E27">
            <v>72</v>
          </cell>
          <cell r="F27">
            <v>1</v>
          </cell>
          <cell r="G27">
            <v>12</v>
          </cell>
          <cell r="H27">
            <v>200</v>
          </cell>
          <cell r="I27">
            <v>60</v>
          </cell>
          <cell r="J27">
            <v>180</v>
          </cell>
          <cell r="K27">
            <v>180</v>
          </cell>
          <cell r="L27">
            <v>160</v>
          </cell>
          <cell r="M27">
            <v>160</v>
          </cell>
        </row>
        <row r="28">
          <cell r="A28">
            <v>20106749</v>
          </cell>
          <cell r="B28" t="str">
            <v>EXP CUP MENTHOL CHILL160G/72 Thailand</v>
          </cell>
          <cell r="C28">
            <v>160</v>
          </cell>
          <cell r="D28" t="str">
            <v>Thailand</v>
          </cell>
          <cell r="E28">
            <v>72</v>
          </cell>
          <cell r="F28">
            <v>1</v>
          </cell>
          <cell r="G28">
            <v>12</v>
          </cell>
          <cell r="H28">
            <v>200</v>
          </cell>
          <cell r="I28">
            <v>60</v>
          </cell>
          <cell r="J28">
            <v>180</v>
          </cell>
          <cell r="K28">
            <v>180</v>
          </cell>
          <cell r="L28">
            <v>160</v>
          </cell>
          <cell r="M28">
            <v>160</v>
          </cell>
        </row>
        <row r="29">
          <cell r="A29">
            <v>20106751</v>
          </cell>
          <cell r="B29" t="str">
            <v>EXPCUP MENT CHILL TWIN160G/36 Thailand</v>
          </cell>
          <cell r="C29">
            <v>160</v>
          </cell>
          <cell r="D29" t="str">
            <v>Thailand</v>
          </cell>
          <cell r="E29">
            <v>72</v>
          </cell>
          <cell r="F29">
            <v>2</v>
          </cell>
          <cell r="G29">
            <v>12</v>
          </cell>
          <cell r="H29">
            <v>140</v>
          </cell>
          <cell r="I29">
            <v>60</v>
          </cell>
          <cell r="J29">
            <v>160</v>
          </cell>
          <cell r="K29">
            <v>160</v>
          </cell>
          <cell r="L29">
            <v>150</v>
          </cell>
          <cell r="M29">
            <v>150</v>
          </cell>
        </row>
        <row r="30">
          <cell r="A30">
            <v>64004870</v>
          </cell>
          <cell r="B30" t="str">
            <v>EXPCUP ACTIVE RED HOT 125ML/72 GHANA</v>
          </cell>
          <cell r="C30">
            <v>166.25</v>
          </cell>
          <cell r="D30" t="str">
            <v>Ghana</v>
          </cell>
          <cell r="E30">
            <v>72</v>
          </cell>
          <cell r="F30">
            <v>1</v>
          </cell>
          <cell r="G30">
            <v>12</v>
          </cell>
          <cell r="H30">
            <v>200</v>
          </cell>
          <cell r="I30">
            <v>60</v>
          </cell>
          <cell r="J30">
            <v>180</v>
          </cell>
          <cell r="K30">
            <v>180</v>
          </cell>
          <cell r="L30">
            <v>160</v>
          </cell>
          <cell r="M30">
            <v>160</v>
          </cell>
        </row>
        <row r="31">
          <cell r="A31">
            <v>64003066</v>
          </cell>
          <cell r="B31" t="str">
            <v>TEMPO P/S A.CAVITY 200G-WR/36</v>
          </cell>
          <cell r="C31">
            <v>200</v>
          </cell>
          <cell r="D31" t="str">
            <v>Viet</v>
          </cell>
          <cell r="E31">
            <v>36</v>
          </cell>
          <cell r="F31">
            <v>1</v>
          </cell>
          <cell r="G31">
            <v>12</v>
          </cell>
          <cell r="H31">
            <v>200</v>
          </cell>
          <cell r="I31">
            <v>60</v>
          </cell>
          <cell r="J31">
            <v>165</v>
          </cell>
          <cell r="K31">
            <v>165</v>
          </cell>
          <cell r="L31">
            <v>150</v>
          </cell>
          <cell r="M31">
            <v>150</v>
          </cell>
        </row>
        <row r="32">
          <cell r="A32">
            <v>64003319</v>
          </cell>
          <cell r="B32" t="str">
            <v>CUP CRYS.BLUE P0110 220G/36</v>
          </cell>
          <cell r="C32">
            <v>220</v>
          </cell>
          <cell r="D32" t="str">
            <v>Viet</v>
          </cell>
          <cell r="E32">
            <v>36</v>
          </cell>
          <cell r="F32">
            <v>1</v>
          </cell>
          <cell r="G32">
            <v>12</v>
          </cell>
          <cell r="H32">
            <v>0</v>
          </cell>
          <cell r="I32">
            <v>60</v>
          </cell>
          <cell r="J32">
            <v>150</v>
          </cell>
          <cell r="K32">
            <v>150</v>
          </cell>
          <cell r="L32">
            <v>0</v>
          </cell>
          <cell r="M32">
            <v>0</v>
          </cell>
        </row>
        <row r="33">
          <cell r="A33">
            <v>64003087</v>
          </cell>
          <cell r="B33" t="str">
            <v>P/S Green Tea Spice 2 SAMPLE18G/600</v>
          </cell>
          <cell r="C33">
            <v>18</v>
          </cell>
          <cell r="D33" t="str">
            <v>Viet</v>
          </cell>
          <cell r="E33">
            <v>600</v>
          </cell>
          <cell r="F33">
            <v>1</v>
          </cell>
          <cell r="G33">
            <v>22</v>
          </cell>
          <cell r="H33">
            <v>0</v>
          </cell>
          <cell r="I33">
            <v>55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>
            <v>64003093</v>
          </cell>
          <cell r="B34" t="str">
            <v>TEMPO P/S GREENTEA 100G-WR/60</v>
          </cell>
          <cell r="C34">
            <v>100</v>
          </cell>
          <cell r="D34" t="str">
            <v>Viet</v>
          </cell>
          <cell r="E34">
            <v>60</v>
          </cell>
          <cell r="F34">
            <v>1</v>
          </cell>
          <cell r="G34">
            <v>22</v>
          </cell>
          <cell r="H34">
            <v>0</v>
          </cell>
          <cell r="I34">
            <v>40</v>
          </cell>
          <cell r="J34">
            <v>180</v>
          </cell>
          <cell r="K34">
            <v>180</v>
          </cell>
          <cell r="L34">
            <v>0</v>
          </cell>
          <cell r="M34">
            <v>0</v>
          </cell>
        </row>
        <row r="35">
          <cell r="A35">
            <v>3232002</v>
          </cell>
          <cell r="B35" t="str">
            <v>EXP CUP MILK CALCIUM 130G/60 PAKISTAN</v>
          </cell>
          <cell r="C35">
            <v>130</v>
          </cell>
          <cell r="D35" t="str">
            <v>Pakistan</v>
          </cell>
          <cell r="E35">
            <v>60</v>
          </cell>
          <cell r="F35">
            <v>1</v>
          </cell>
          <cell r="G35">
            <v>22</v>
          </cell>
          <cell r="H35">
            <v>0</v>
          </cell>
          <cell r="I35">
            <v>40</v>
          </cell>
          <cell r="J35">
            <v>0</v>
          </cell>
          <cell r="K35">
            <v>140</v>
          </cell>
          <cell r="L35">
            <v>0</v>
          </cell>
          <cell r="M35">
            <v>0</v>
          </cell>
        </row>
        <row r="36">
          <cell r="A36">
            <v>64003185</v>
          </cell>
          <cell r="B36" t="str">
            <v>P/S JARES HB P0310 160G/60</v>
          </cell>
          <cell r="C36">
            <v>160</v>
          </cell>
          <cell r="D36" t="str">
            <v>Viet</v>
          </cell>
          <cell r="E36">
            <v>60</v>
          </cell>
          <cell r="F36">
            <v>1</v>
          </cell>
          <cell r="G36">
            <v>22</v>
          </cell>
          <cell r="H36">
            <v>0</v>
          </cell>
          <cell r="I36">
            <v>0</v>
          </cell>
          <cell r="J36">
            <v>130</v>
          </cell>
          <cell r="K36">
            <v>130</v>
          </cell>
          <cell r="L36">
            <v>0</v>
          </cell>
          <cell r="M36">
            <v>0</v>
          </cell>
        </row>
        <row r="37">
          <cell r="A37">
            <v>20104356</v>
          </cell>
          <cell r="B37" t="str">
            <v>EXP CUP MILK CALCIUM 35G/144 Thailand</v>
          </cell>
          <cell r="C37">
            <v>35</v>
          </cell>
          <cell r="D37" t="str">
            <v>Thailand</v>
          </cell>
          <cell r="E37">
            <v>144</v>
          </cell>
          <cell r="F37">
            <v>1</v>
          </cell>
          <cell r="G37">
            <v>32</v>
          </cell>
          <cell r="H37">
            <v>0</v>
          </cell>
          <cell r="I37">
            <v>45</v>
          </cell>
          <cell r="J37">
            <v>140</v>
          </cell>
          <cell r="K37">
            <v>140</v>
          </cell>
          <cell r="L37">
            <v>0</v>
          </cell>
          <cell r="M37">
            <v>0</v>
          </cell>
        </row>
        <row r="38">
          <cell r="A38">
            <v>66818973</v>
          </cell>
          <cell r="B38" t="str">
            <v>EXP CUP MILK CALCIUM 75G/72 Thailand</v>
          </cell>
          <cell r="C38">
            <v>75</v>
          </cell>
          <cell r="D38" t="str">
            <v>Thailand</v>
          </cell>
          <cell r="E38">
            <v>72</v>
          </cell>
          <cell r="F38">
            <v>1</v>
          </cell>
          <cell r="G38">
            <v>32</v>
          </cell>
          <cell r="H38">
            <v>0</v>
          </cell>
          <cell r="I38">
            <v>45</v>
          </cell>
          <cell r="J38">
            <v>140</v>
          </cell>
          <cell r="K38">
            <v>140</v>
          </cell>
          <cell r="L38">
            <v>0</v>
          </cell>
          <cell r="M38">
            <v>0</v>
          </cell>
        </row>
        <row r="39">
          <cell r="A39">
            <v>20104358</v>
          </cell>
          <cell r="B39" t="str">
            <v>EXP CUP MILK CALCIUM 160G/72 Thailand</v>
          </cell>
          <cell r="C39">
            <v>160</v>
          </cell>
          <cell r="D39" t="str">
            <v>Thailand</v>
          </cell>
          <cell r="E39">
            <v>72</v>
          </cell>
          <cell r="F39">
            <v>1</v>
          </cell>
          <cell r="G39">
            <v>32</v>
          </cell>
          <cell r="H39">
            <v>0</v>
          </cell>
          <cell r="I39">
            <v>45</v>
          </cell>
          <cell r="J39">
            <v>120</v>
          </cell>
          <cell r="K39">
            <v>120</v>
          </cell>
          <cell r="L39">
            <v>0</v>
          </cell>
          <cell r="M39">
            <v>0</v>
          </cell>
        </row>
        <row r="40">
          <cell r="A40">
            <v>20104359</v>
          </cell>
          <cell r="B40" t="str">
            <v>EXP CUP MILK CAL TWIN 160G/36 Thailand</v>
          </cell>
          <cell r="C40">
            <v>160</v>
          </cell>
          <cell r="D40" t="str">
            <v>Thailand</v>
          </cell>
          <cell r="E40">
            <v>72</v>
          </cell>
          <cell r="F40">
            <v>2</v>
          </cell>
          <cell r="G40">
            <v>32</v>
          </cell>
          <cell r="H40">
            <v>0</v>
          </cell>
          <cell r="I40">
            <v>45</v>
          </cell>
          <cell r="J40">
            <v>120</v>
          </cell>
          <cell r="K40">
            <v>120</v>
          </cell>
          <cell r="L40">
            <v>0</v>
          </cell>
          <cell r="M40">
            <v>0</v>
          </cell>
        </row>
        <row r="41">
          <cell r="A41">
            <v>64003130</v>
          </cell>
          <cell r="B41" t="str">
            <v>PS COMPLETE-12 P0208 200G/36</v>
          </cell>
          <cell r="C41">
            <v>200</v>
          </cell>
          <cell r="D41" t="str">
            <v>Viet</v>
          </cell>
          <cell r="E41">
            <v>36</v>
          </cell>
          <cell r="F41">
            <v>1</v>
          </cell>
          <cell r="G41">
            <v>42</v>
          </cell>
          <cell r="H41">
            <v>0</v>
          </cell>
          <cell r="I41">
            <v>45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>
            <v>66821471</v>
          </cell>
          <cell r="B42" t="str">
            <v>EXP CUP MENT CHILL 18G/288 CAM</v>
          </cell>
          <cell r="C42">
            <v>18</v>
          </cell>
          <cell r="D42" t="str">
            <v>Cam</v>
          </cell>
          <cell r="E42">
            <v>288</v>
          </cell>
          <cell r="F42">
            <v>1</v>
          </cell>
          <cell r="G42">
            <v>12</v>
          </cell>
          <cell r="H42">
            <v>0</v>
          </cell>
          <cell r="I42">
            <v>60</v>
          </cell>
          <cell r="J42">
            <v>0</v>
          </cell>
          <cell r="K42">
            <v>0</v>
          </cell>
          <cell r="L42">
            <v>155</v>
          </cell>
          <cell r="M42">
            <v>155</v>
          </cell>
        </row>
        <row r="43">
          <cell r="A43">
            <v>64003175</v>
          </cell>
          <cell r="B43" t="str">
            <v>P/S LEMON FRE. AW0109 110G/100</v>
          </cell>
          <cell r="C43">
            <v>110</v>
          </cell>
          <cell r="D43" t="str">
            <v>Viet</v>
          </cell>
          <cell r="E43">
            <v>100</v>
          </cell>
          <cell r="F43">
            <v>1</v>
          </cell>
          <cell r="G43">
            <v>11</v>
          </cell>
          <cell r="H43">
            <v>200</v>
          </cell>
          <cell r="I43">
            <v>0</v>
          </cell>
          <cell r="J43">
            <v>180</v>
          </cell>
          <cell r="K43">
            <v>180</v>
          </cell>
          <cell r="L43">
            <v>160</v>
          </cell>
          <cell r="M43">
            <v>160</v>
          </cell>
        </row>
        <row r="44">
          <cell r="A44">
            <v>64003104</v>
          </cell>
          <cell r="B44" t="str">
            <v>TEMPO P/S GREENTEA 200G-SM/30</v>
          </cell>
          <cell r="C44">
            <v>200</v>
          </cell>
          <cell r="D44" t="str">
            <v>Viet</v>
          </cell>
          <cell r="E44">
            <v>50</v>
          </cell>
          <cell r="F44">
            <v>1</v>
          </cell>
          <cell r="G44">
            <v>12</v>
          </cell>
          <cell r="H44">
            <v>0</v>
          </cell>
          <cell r="I44">
            <v>50</v>
          </cell>
          <cell r="J44">
            <v>140</v>
          </cell>
          <cell r="K44">
            <v>140</v>
          </cell>
          <cell r="L44">
            <v>0</v>
          </cell>
          <cell r="M44">
            <v>0</v>
          </cell>
        </row>
        <row r="45">
          <cell r="A45">
            <v>64004885</v>
          </cell>
          <cell r="B45" t="str">
            <v>CLOSE UP ICE FRESH (Korea) 160G/60 - EROS</v>
          </cell>
          <cell r="C45">
            <v>160</v>
          </cell>
          <cell r="D45" t="str">
            <v>Korea</v>
          </cell>
          <cell r="E45">
            <v>60</v>
          </cell>
          <cell r="F45">
            <v>1</v>
          </cell>
          <cell r="G45">
            <v>12</v>
          </cell>
          <cell r="H45">
            <v>200</v>
          </cell>
          <cell r="I45">
            <v>60</v>
          </cell>
          <cell r="J45">
            <v>180</v>
          </cell>
          <cell r="K45">
            <v>180</v>
          </cell>
          <cell r="L45">
            <v>160</v>
          </cell>
          <cell r="M45">
            <v>160</v>
          </cell>
        </row>
        <row r="46">
          <cell r="A46">
            <v>64004886</v>
          </cell>
          <cell r="B46" t="str">
            <v>CLOSE UP MENTHOL COOL 160G/60 - EROS KOREA</v>
          </cell>
          <cell r="C46">
            <v>160</v>
          </cell>
          <cell r="D46" t="str">
            <v>Korea</v>
          </cell>
          <cell r="E46">
            <v>60</v>
          </cell>
          <cell r="F46">
            <v>1</v>
          </cell>
          <cell r="G46">
            <v>12</v>
          </cell>
          <cell r="H46">
            <v>200</v>
          </cell>
          <cell r="I46">
            <v>60</v>
          </cell>
          <cell r="J46">
            <v>180</v>
          </cell>
          <cell r="K46">
            <v>180</v>
          </cell>
          <cell r="L46">
            <v>160</v>
          </cell>
          <cell r="M46">
            <v>160</v>
          </cell>
        </row>
        <row r="47">
          <cell r="A47">
            <v>20065713</v>
          </cell>
          <cell r="B47" t="str">
            <v>CUP MENTHOL CHILL 200G/36 CAM</v>
          </cell>
          <cell r="C47" t="str">
            <v>200gr</v>
          </cell>
          <cell r="D47" t="str">
            <v>Cam</v>
          </cell>
          <cell r="E47">
            <v>36</v>
          </cell>
          <cell r="F47">
            <v>1</v>
          </cell>
          <cell r="G47">
            <v>12</v>
          </cell>
          <cell r="H47">
            <v>200</v>
          </cell>
          <cell r="I47">
            <v>60</v>
          </cell>
          <cell r="J47">
            <v>160</v>
          </cell>
          <cell r="K47">
            <v>160</v>
          </cell>
          <cell r="L47">
            <v>0</v>
          </cell>
          <cell r="M47">
            <v>0</v>
          </cell>
        </row>
        <row r="48">
          <cell r="A48">
            <v>64004868</v>
          </cell>
          <cell r="B48" t="str">
            <v>PEPSODENT COMPLETE-12 100ML/72 GHANA</v>
          </cell>
          <cell r="C48">
            <v>151</v>
          </cell>
          <cell r="D48" t="str">
            <v>Ghana</v>
          </cell>
          <cell r="E48">
            <v>72</v>
          </cell>
          <cell r="F48">
            <v>1</v>
          </cell>
          <cell r="G48">
            <v>12</v>
          </cell>
          <cell r="H48">
            <v>200</v>
          </cell>
          <cell r="I48">
            <v>60</v>
          </cell>
          <cell r="J48">
            <v>180</v>
          </cell>
          <cell r="K48">
            <v>180</v>
          </cell>
          <cell r="L48">
            <v>160</v>
          </cell>
          <cell r="M48">
            <v>160</v>
          </cell>
        </row>
        <row r="49">
          <cell r="A49">
            <v>64004871</v>
          </cell>
          <cell r="B49" t="str">
            <v>CUP COMPLETE 8 ACTIONS 125ML/72 NIGERIA</v>
          </cell>
          <cell r="C49">
            <v>162.5</v>
          </cell>
          <cell r="D49" t="str">
            <v>Nigeria</v>
          </cell>
          <cell r="E49">
            <v>72</v>
          </cell>
          <cell r="F49">
            <v>1</v>
          </cell>
          <cell r="G49">
            <v>12</v>
          </cell>
          <cell r="H49">
            <v>0</v>
          </cell>
          <cell r="I49">
            <v>0</v>
          </cell>
          <cell r="J49">
            <v>0</v>
          </cell>
          <cell r="K49">
            <v>140</v>
          </cell>
          <cell r="L49">
            <v>0</v>
          </cell>
          <cell r="M49">
            <v>0</v>
          </cell>
        </row>
        <row r="50">
          <cell r="A50">
            <v>64004872</v>
          </cell>
          <cell r="B50" t="str">
            <v>CUP COMP 8 ACT WHITE 125ML/72 NIGERIA</v>
          </cell>
          <cell r="C50">
            <v>162.5</v>
          </cell>
          <cell r="D50" t="str">
            <v>Nigeria</v>
          </cell>
          <cell r="E50">
            <v>72</v>
          </cell>
          <cell r="F50">
            <v>1</v>
          </cell>
          <cell r="G50">
            <v>12</v>
          </cell>
          <cell r="H50">
            <v>0</v>
          </cell>
          <cell r="I50">
            <v>0</v>
          </cell>
          <cell r="J50">
            <v>0</v>
          </cell>
          <cell r="K50">
            <v>140</v>
          </cell>
          <cell r="L50">
            <v>0</v>
          </cell>
          <cell r="M50">
            <v>0</v>
          </cell>
        </row>
        <row r="51">
          <cell r="A51">
            <v>64003102</v>
          </cell>
          <cell r="B51" t="str">
            <v xml:space="preserve">P/S GTEA 200G+GTEA 20G/36 </v>
          </cell>
          <cell r="C51">
            <v>200</v>
          </cell>
          <cell r="D51" t="str">
            <v>Viet</v>
          </cell>
          <cell r="E51">
            <v>36</v>
          </cell>
          <cell r="F51">
            <v>2</v>
          </cell>
          <cell r="G51">
            <v>22</v>
          </cell>
          <cell r="H51">
            <v>0</v>
          </cell>
          <cell r="I51">
            <v>0</v>
          </cell>
          <cell r="J51">
            <v>125</v>
          </cell>
          <cell r="K51">
            <v>125</v>
          </cell>
          <cell r="L51">
            <v>0</v>
          </cell>
          <cell r="M51">
            <v>0</v>
          </cell>
        </row>
        <row r="52">
          <cell r="A52">
            <v>64003304</v>
          </cell>
          <cell r="B52" t="str">
            <v>CUP GREEN 150G+CARD/60</v>
          </cell>
          <cell r="C52">
            <v>150</v>
          </cell>
          <cell r="D52" t="str">
            <v>Viet</v>
          </cell>
          <cell r="E52">
            <v>60</v>
          </cell>
          <cell r="F52">
            <v>1</v>
          </cell>
          <cell r="G52">
            <v>21</v>
          </cell>
          <cell r="H52">
            <v>200</v>
          </cell>
          <cell r="I52">
            <v>60</v>
          </cell>
          <cell r="J52">
            <v>180</v>
          </cell>
          <cell r="K52">
            <v>180</v>
          </cell>
          <cell r="L52">
            <v>160</v>
          </cell>
          <cell r="M52">
            <v>160</v>
          </cell>
        </row>
        <row r="53">
          <cell r="A53">
            <v>64003306</v>
          </cell>
          <cell r="B53" t="str">
            <v>CUP GREEN 220G+CARD/36</v>
          </cell>
          <cell r="C53">
            <v>220</v>
          </cell>
          <cell r="D53" t="str">
            <v>Viet</v>
          </cell>
          <cell r="E53">
            <v>36</v>
          </cell>
          <cell r="F53">
            <v>1</v>
          </cell>
          <cell r="G53">
            <v>21</v>
          </cell>
          <cell r="H53">
            <v>0</v>
          </cell>
          <cell r="I53">
            <v>60</v>
          </cell>
          <cell r="J53">
            <v>150</v>
          </cell>
          <cell r="K53">
            <v>150</v>
          </cell>
          <cell r="L53">
            <v>0</v>
          </cell>
          <cell r="M53">
            <v>0</v>
          </cell>
        </row>
        <row r="54">
          <cell r="A54">
            <v>64003135</v>
          </cell>
          <cell r="B54" t="str">
            <v>P/S GOLDMINE 70G/60</v>
          </cell>
          <cell r="C54">
            <v>70</v>
          </cell>
          <cell r="D54" t="str">
            <v>Viet</v>
          </cell>
          <cell r="E54">
            <v>60</v>
          </cell>
          <cell r="F54">
            <v>1</v>
          </cell>
          <cell r="G54">
            <v>22</v>
          </cell>
          <cell r="H54">
            <v>0</v>
          </cell>
          <cell r="I54">
            <v>0</v>
          </cell>
          <cell r="J54">
            <v>0</v>
          </cell>
          <cell r="K54">
            <v>150</v>
          </cell>
          <cell r="L54">
            <v>0</v>
          </cell>
          <cell r="M54">
            <v>0</v>
          </cell>
        </row>
        <row r="55">
          <cell r="A55">
            <v>64003134</v>
          </cell>
          <cell r="B55" t="str">
            <v>P/S GOLDMINE 150G/60</v>
          </cell>
          <cell r="C55">
            <v>150</v>
          </cell>
          <cell r="D55" t="str">
            <v>Viet</v>
          </cell>
          <cell r="E55">
            <v>60</v>
          </cell>
          <cell r="F55">
            <v>1</v>
          </cell>
          <cell r="G55">
            <v>22</v>
          </cell>
          <cell r="H55">
            <v>0</v>
          </cell>
          <cell r="I55">
            <v>0</v>
          </cell>
          <cell r="J55">
            <v>0</v>
          </cell>
          <cell r="K55">
            <v>150</v>
          </cell>
          <cell r="L55">
            <v>0</v>
          </cell>
          <cell r="M55">
            <v>0</v>
          </cell>
        </row>
        <row r="56">
          <cell r="A56">
            <v>64021207</v>
          </cell>
          <cell r="B56" t="str">
            <v>CLOSE UP TP BLUE AW0111 BIGGER 60x100g</v>
          </cell>
          <cell r="C56">
            <v>100</v>
          </cell>
          <cell r="D56" t="str">
            <v>Korea</v>
          </cell>
          <cell r="E56">
            <v>60</v>
          </cell>
          <cell r="F56">
            <v>1</v>
          </cell>
          <cell r="G56">
            <v>12</v>
          </cell>
          <cell r="H56">
            <v>200</v>
          </cell>
          <cell r="I56">
            <v>60</v>
          </cell>
          <cell r="J56">
            <v>180</v>
          </cell>
          <cell r="K56">
            <v>180</v>
          </cell>
          <cell r="L56">
            <v>160</v>
          </cell>
          <cell r="M56">
            <v>160</v>
          </cell>
        </row>
        <row r="57">
          <cell r="A57">
            <v>64004869</v>
          </cell>
          <cell r="B57" t="str">
            <v>PEPSODENT COMPL 12  10ML/240</v>
          </cell>
          <cell r="C57">
            <v>15</v>
          </cell>
          <cell r="D57" t="str">
            <v>Ghana</v>
          </cell>
          <cell r="E57">
            <v>240</v>
          </cell>
          <cell r="F57">
            <v>1</v>
          </cell>
          <cell r="G57">
            <v>11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>
            <v>64004873</v>
          </cell>
          <cell r="B58" t="str">
            <v>CUP ACTIVE GEL RED HOT 8ML/240</v>
          </cell>
          <cell r="C58">
            <v>12</v>
          </cell>
          <cell r="D58" t="str">
            <v>Ghana</v>
          </cell>
          <cell r="E58">
            <v>240</v>
          </cell>
          <cell r="F58">
            <v>1</v>
          </cell>
          <cell r="G58">
            <v>11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A59">
            <v>64019613</v>
          </cell>
          <cell r="B59" t="str">
            <v>PEPSODENT COMPL 12 50ML/72</v>
          </cell>
          <cell r="C59">
            <v>75</v>
          </cell>
          <cell r="D59" t="str">
            <v>Ghana</v>
          </cell>
          <cell r="E59">
            <v>72</v>
          </cell>
          <cell r="F59">
            <v>1</v>
          </cell>
          <cell r="G59">
            <v>21</v>
          </cell>
          <cell r="H59">
            <v>0</v>
          </cell>
          <cell r="I59">
            <v>60</v>
          </cell>
          <cell r="J59">
            <v>180</v>
          </cell>
          <cell r="K59">
            <v>180</v>
          </cell>
          <cell r="L59">
            <v>160</v>
          </cell>
          <cell r="M59">
            <v>160</v>
          </cell>
        </row>
        <row r="60">
          <cell r="A60">
            <v>64019727</v>
          </cell>
          <cell r="B60" t="str">
            <v>CUP ACTIVE GEL RED HOT 50ML/72</v>
          </cell>
          <cell r="C60">
            <v>75</v>
          </cell>
          <cell r="D60" t="str">
            <v>Ghana</v>
          </cell>
          <cell r="E60">
            <v>72</v>
          </cell>
          <cell r="F60">
            <v>1</v>
          </cell>
          <cell r="G60">
            <v>21</v>
          </cell>
          <cell r="H60">
            <v>0</v>
          </cell>
          <cell r="I60">
            <v>60</v>
          </cell>
          <cell r="J60">
            <v>180</v>
          </cell>
          <cell r="K60">
            <v>180</v>
          </cell>
          <cell r="L60">
            <v>160</v>
          </cell>
          <cell r="M60">
            <v>160</v>
          </cell>
        </row>
        <row r="61">
          <cell r="A61">
            <v>64024982</v>
          </cell>
          <cell r="B61" t="str">
            <v>CUP CRYS.GREEN P0510 70G/60</v>
          </cell>
          <cell r="C61">
            <v>70</v>
          </cell>
          <cell r="D61" t="str">
            <v>Viet</v>
          </cell>
          <cell r="E61">
            <v>60</v>
          </cell>
          <cell r="F61">
            <v>1</v>
          </cell>
          <cell r="G61">
            <v>21</v>
          </cell>
          <cell r="H61">
            <v>0</v>
          </cell>
          <cell r="I61">
            <v>60</v>
          </cell>
          <cell r="J61">
            <v>180</v>
          </cell>
          <cell r="K61">
            <v>180</v>
          </cell>
          <cell r="L61">
            <v>160</v>
          </cell>
          <cell r="M61">
            <v>160</v>
          </cell>
        </row>
        <row r="62">
          <cell r="A62">
            <v>64003013</v>
          </cell>
          <cell r="B62" t="str">
            <v>P/S KIDS STRAWBERRY 80G/72-Girl</v>
          </cell>
          <cell r="C62">
            <v>80</v>
          </cell>
          <cell r="D62" t="str">
            <v>Viet</v>
          </cell>
          <cell r="E62">
            <v>72</v>
          </cell>
          <cell r="F62">
            <v>1</v>
          </cell>
          <cell r="G62">
            <v>21</v>
          </cell>
          <cell r="H62">
            <v>0</v>
          </cell>
          <cell r="I62">
            <v>39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A63">
            <v>64022940</v>
          </cell>
          <cell r="B63" t="str">
            <v>P/S KIDS STRAW-BOYS 80G/72</v>
          </cell>
          <cell r="C63">
            <v>80</v>
          </cell>
          <cell r="D63" t="str">
            <v>Viet</v>
          </cell>
          <cell r="E63">
            <v>72</v>
          </cell>
          <cell r="F63">
            <v>1</v>
          </cell>
          <cell r="G63">
            <v>21</v>
          </cell>
          <cell r="H63">
            <v>0</v>
          </cell>
          <cell r="I63">
            <v>39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>
            <v>64019659</v>
          </cell>
          <cell r="B64" t="str">
            <v>P/S WHITE NOW RE0410 100G/54</v>
          </cell>
          <cell r="C64">
            <v>100</v>
          </cell>
          <cell r="D64" t="str">
            <v>Viet</v>
          </cell>
          <cell r="E64">
            <v>54</v>
          </cell>
          <cell r="F64">
            <v>1</v>
          </cell>
          <cell r="G64">
            <v>21</v>
          </cell>
          <cell r="K64">
            <v>140</v>
          </cell>
        </row>
        <row r="65">
          <cell r="A65">
            <v>64003318</v>
          </cell>
          <cell r="B65" t="str">
            <v>CUP PHOENIX 180G/60</v>
          </cell>
          <cell r="C65">
            <v>180</v>
          </cell>
          <cell r="D65" t="str">
            <v>Viet</v>
          </cell>
          <cell r="E65">
            <v>60</v>
          </cell>
          <cell r="F65">
            <v>1</v>
          </cell>
          <cell r="J65">
            <v>150</v>
          </cell>
          <cell r="K65">
            <v>150</v>
          </cell>
        </row>
        <row r="66">
          <cell r="A66">
            <v>20106699</v>
          </cell>
          <cell r="B66" t="str">
            <v>FG CU T/P MTC 12G P15x48 -N</v>
          </cell>
          <cell r="C66">
            <v>12</v>
          </cell>
          <cell r="D66" t="str">
            <v>Thailand</v>
          </cell>
          <cell r="E66">
            <v>720</v>
          </cell>
          <cell r="F66">
            <v>1</v>
          </cell>
          <cell r="G66">
            <v>1</v>
          </cell>
        </row>
        <row r="67">
          <cell r="A67">
            <v>20238650</v>
          </cell>
          <cell r="B67" t="str">
            <v>CLOSE-UP WHITENING P0111 36x220g</v>
          </cell>
          <cell r="C67">
            <v>220</v>
          </cell>
          <cell r="D67" t="str">
            <v>Viet</v>
          </cell>
          <cell r="E67">
            <v>36</v>
          </cell>
          <cell r="F67">
            <v>1</v>
          </cell>
          <cell r="G67">
            <v>12</v>
          </cell>
          <cell r="H67">
            <v>180</v>
          </cell>
          <cell r="I67">
            <v>60</v>
          </cell>
          <cell r="J67">
            <v>150</v>
          </cell>
          <cell r="K67">
            <v>150</v>
          </cell>
          <cell r="L67">
            <v>0</v>
          </cell>
          <cell r="M67">
            <v>0</v>
          </cell>
        </row>
        <row r="68">
          <cell r="A68">
            <v>20238652</v>
          </cell>
          <cell r="B68" t="str">
            <v>CLOSE UP TP GREEN P0111 36x220g</v>
          </cell>
          <cell r="C68">
            <v>220</v>
          </cell>
          <cell r="D68" t="str">
            <v>Viet</v>
          </cell>
          <cell r="E68">
            <v>36</v>
          </cell>
          <cell r="F68">
            <v>1</v>
          </cell>
          <cell r="G68">
            <v>12</v>
          </cell>
          <cell r="H68">
            <v>180</v>
          </cell>
          <cell r="I68">
            <v>60</v>
          </cell>
          <cell r="J68">
            <v>150</v>
          </cell>
          <cell r="K68">
            <v>150</v>
          </cell>
          <cell r="L68">
            <v>0</v>
          </cell>
          <cell r="M68">
            <v>0</v>
          </cell>
        </row>
        <row r="69">
          <cell r="A69">
            <v>20238634</v>
          </cell>
          <cell r="B69" t="str">
            <v>P/S TP BV2L AW0111 120x45g</v>
          </cell>
          <cell r="C69">
            <v>45</v>
          </cell>
          <cell r="D69" t="str">
            <v>Viet</v>
          </cell>
          <cell r="E69">
            <v>120</v>
          </cell>
          <cell r="F69">
            <v>1</v>
          </cell>
          <cell r="G69">
            <v>11</v>
          </cell>
          <cell r="H69">
            <v>0</v>
          </cell>
          <cell r="I69">
            <v>0</v>
          </cell>
          <cell r="J69">
            <v>180</v>
          </cell>
          <cell r="K69">
            <v>180</v>
          </cell>
          <cell r="L69">
            <v>160</v>
          </cell>
          <cell r="M69">
            <v>160</v>
          </cell>
        </row>
        <row r="70">
          <cell r="A70">
            <v>20238638</v>
          </cell>
          <cell r="B70" t="str">
            <v>P/S TP BV2L AW0111 36x200g</v>
          </cell>
          <cell r="C70">
            <v>200</v>
          </cell>
          <cell r="D70" t="str">
            <v>Viet</v>
          </cell>
          <cell r="E70">
            <v>36</v>
          </cell>
          <cell r="F70">
            <v>1</v>
          </cell>
          <cell r="G70">
            <v>12</v>
          </cell>
          <cell r="H70">
            <v>180</v>
          </cell>
          <cell r="I70">
            <v>0</v>
          </cell>
          <cell r="J70">
            <v>165</v>
          </cell>
          <cell r="K70">
            <v>165</v>
          </cell>
          <cell r="L70">
            <v>150</v>
          </cell>
          <cell r="M70">
            <v>150</v>
          </cell>
        </row>
        <row r="71">
          <cell r="A71">
            <v>20239735</v>
          </cell>
          <cell r="B71" t="str">
            <v>P/S TP BV2L P0111 100x120g</v>
          </cell>
          <cell r="C71">
            <v>120</v>
          </cell>
          <cell r="D71" t="str">
            <v>Viet</v>
          </cell>
          <cell r="E71">
            <v>100</v>
          </cell>
          <cell r="F71">
            <v>1</v>
          </cell>
          <cell r="H71">
            <v>200</v>
          </cell>
          <cell r="I71">
            <v>0</v>
          </cell>
          <cell r="J71">
            <v>180</v>
          </cell>
          <cell r="K71">
            <v>180</v>
          </cell>
          <cell r="L71">
            <v>160</v>
          </cell>
          <cell r="M71">
            <v>165</v>
          </cell>
        </row>
        <row r="72">
          <cell r="A72">
            <v>20238640</v>
          </cell>
          <cell r="B72" t="str">
            <v>P/S TP BV2L AW0111 36x250g</v>
          </cell>
          <cell r="C72">
            <v>250</v>
          </cell>
          <cell r="D72" t="str">
            <v>Viet</v>
          </cell>
          <cell r="E72">
            <v>36</v>
          </cell>
          <cell r="F72">
            <v>1</v>
          </cell>
          <cell r="G72">
            <v>11</v>
          </cell>
          <cell r="H72">
            <v>180</v>
          </cell>
          <cell r="I72">
            <v>0</v>
          </cell>
          <cell r="J72">
            <v>160</v>
          </cell>
          <cell r="K72">
            <v>160</v>
          </cell>
          <cell r="L72">
            <v>150</v>
          </cell>
          <cell r="M72">
            <v>150</v>
          </cell>
        </row>
        <row r="73">
          <cell r="A73">
            <v>20238642</v>
          </cell>
          <cell r="B73" t="str">
            <v>P/S GREENTEA RE0208 100G/60</v>
          </cell>
          <cell r="C73">
            <v>100</v>
          </cell>
          <cell r="D73" t="str">
            <v>Viet</v>
          </cell>
          <cell r="E73">
            <v>60</v>
          </cell>
          <cell r="F73">
            <v>1</v>
          </cell>
          <cell r="G73">
            <v>21</v>
          </cell>
          <cell r="H73">
            <v>0</v>
          </cell>
          <cell r="I73">
            <v>0</v>
          </cell>
          <cell r="J73">
            <v>180</v>
          </cell>
          <cell r="K73">
            <v>180</v>
          </cell>
          <cell r="L73">
            <v>0</v>
          </cell>
          <cell r="M73">
            <v>0</v>
          </cell>
        </row>
        <row r="74">
          <cell r="A74">
            <v>20238644</v>
          </cell>
          <cell r="B74" t="str">
            <v xml:space="preserve">P/S GREENTEA P0110 200G/36 </v>
          </cell>
          <cell r="C74">
            <v>200</v>
          </cell>
          <cell r="D74" t="str">
            <v>Viet</v>
          </cell>
          <cell r="E74">
            <v>36</v>
          </cell>
          <cell r="F74">
            <v>1</v>
          </cell>
          <cell r="G74">
            <v>21</v>
          </cell>
          <cell r="H74">
            <v>0</v>
          </cell>
          <cell r="I74">
            <v>0</v>
          </cell>
          <cell r="J74">
            <v>140</v>
          </cell>
          <cell r="K74">
            <v>140</v>
          </cell>
          <cell r="L74">
            <v>0</v>
          </cell>
          <cell r="M74">
            <v>0</v>
          </cell>
        </row>
        <row r="75">
          <cell r="A75">
            <v>20238634</v>
          </cell>
          <cell r="B75" t="str">
            <v>CUP CRYS BLUE R0109 150G/60</v>
          </cell>
          <cell r="C75">
            <v>150</v>
          </cell>
          <cell r="D75" t="str">
            <v>Viet</v>
          </cell>
          <cell r="E75">
            <v>60</v>
          </cell>
          <cell r="F75">
            <v>1</v>
          </cell>
          <cell r="G75">
            <v>12</v>
          </cell>
          <cell r="H75">
            <v>200</v>
          </cell>
          <cell r="I75">
            <v>60</v>
          </cell>
          <cell r="J75">
            <v>180</v>
          </cell>
          <cell r="K75">
            <v>180</v>
          </cell>
          <cell r="L75">
            <v>160</v>
          </cell>
          <cell r="M75">
            <v>160</v>
          </cell>
        </row>
        <row r="76">
          <cell r="A76">
            <v>20238997</v>
          </cell>
          <cell r="B76" t="str">
            <v xml:space="preserve">CUP CRYS GREEN R0109 150G/60 </v>
          </cell>
          <cell r="C76">
            <v>150</v>
          </cell>
          <cell r="D76" t="str">
            <v>Viet</v>
          </cell>
          <cell r="E76">
            <v>60</v>
          </cell>
          <cell r="F76">
            <v>1</v>
          </cell>
          <cell r="G76">
            <v>12</v>
          </cell>
          <cell r="H76">
            <v>200</v>
          </cell>
          <cell r="I76">
            <v>60</v>
          </cell>
          <cell r="J76">
            <v>180</v>
          </cell>
          <cell r="K76">
            <v>180</v>
          </cell>
          <cell r="L76">
            <v>160</v>
          </cell>
          <cell r="M76">
            <v>160</v>
          </cell>
        </row>
        <row r="77">
          <cell r="A77">
            <v>20237733</v>
          </cell>
          <cell r="B77" t="str">
            <v>CLOSE UP TP MILK CALCIUM NUTRIENT 72x75g</v>
          </cell>
          <cell r="C77">
            <v>75</v>
          </cell>
          <cell r="D77" t="str">
            <v>Pakistan</v>
          </cell>
          <cell r="E77">
            <v>72</v>
          </cell>
          <cell r="F77">
            <v>1</v>
          </cell>
          <cell r="G77">
            <v>22</v>
          </cell>
          <cell r="H77">
            <v>0</v>
          </cell>
          <cell r="I77">
            <v>40</v>
          </cell>
          <cell r="J77">
            <v>140</v>
          </cell>
          <cell r="K77">
            <v>140</v>
          </cell>
          <cell r="L77">
            <v>0</v>
          </cell>
          <cell r="M77">
            <v>0</v>
          </cell>
        </row>
        <row r="78">
          <cell r="A78">
            <v>20237735</v>
          </cell>
          <cell r="B78" t="str">
            <v>CLOSE UP TP MILK CALCIUM NUTRIENT60x130g</v>
          </cell>
          <cell r="C78">
            <v>130</v>
          </cell>
          <cell r="D78" t="str">
            <v>Pakistan</v>
          </cell>
          <cell r="E78">
            <v>60</v>
          </cell>
          <cell r="F78">
            <v>1</v>
          </cell>
          <cell r="G78">
            <v>22</v>
          </cell>
          <cell r="H78">
            <v>0</v>
          </cell>
          <cell r="I78">
            <v>40</v>
          </cell>
          <cell r="J78">
            <v>140</v>
          </cell>
          <cell r="K78">
            <v>140</v>
          </cell>
          <cell r="L78">
            <v>0</v>
          </cell>
          <cell r="M78">
            <v>0</v>
          </cell>
        </row>
        <row r="79">
          <cell r="A79">
            <v>64023055</v>
          </cell>
          <cell r="B79" t="str">
            <v>P/S TOOTHPASTE LEMN FRESH 100x100g</v>
          </cell>
          <cell r="C79">
            <v>100</v>
          </cell>
          <cell r="D79" t="str">
            <v>Viet</v>
          </cell>
          <cell r="E79">
            <v>100</v>
          </cell>
          <cell r="F79">
            <v>1</v>
          </cell>
          <cell r="G79">
            <v>11</v>
          </cell>
          <cell r="H79">
            <v>200</v>
          </cell>
          <cell r="I79">
            <v>0</v>
          </cell>
          <cell r="J79">
            <v>180</v>
          </cell>
          <cell r="K79">
            <v>180</v>
          </cell>
          <cell r="L79">
            <v>170</v>
          </cell>
          <cell r="M79">
            <v>170</v>
          </cell>
        </row>
        <row r="80">
          <cell r="A80">
            <v>64023057</v>
          </cell>
          <cell r="B80" t="str">
            <v>P/S TOOTHPASTE LEMN FRESH 36x200g</v>
          </cell>
          <cell r="C80">
            <v>200</v>
          </cell>
          <cell r="D80" t="str">
            <v>Viet</v>
          </cell>
          <cell r="E80">
            <v>36</v>
          </cell>
          <cell r="F80">
            <v>1</v>
          </cell>
          <cell r="G80">
            <v>11</v>
          </cell>
          <cell r="H80">
            <v>180</v>
          </cell>
          <cell r="I80">
            <v>0</v>
          </cell>
          <cell r="J80">
            <v>165</v>
          </cell>
          <cell r="K80">
            <v>165</v>
          </cell>
          <cell r="L80">
            <v>150</v>
          </cell>
          <cell r="M80">
            <v>150</v>
          </cell>
        </row>
        <row r="81">
          <cell r="A81">
            <v>64003242</v>
          </cell>
          <cell r="B81" t="str">
            <v>CLOSE UP TOOTHPASTE GRN TEMPO 36x220g</v>
          </cell>
          <cell r="C81">
            <v>220</v>
          </cell>
          <cell r="D81" t="str">
            <v>Viet</v>
          </cell>
          <cell r="E81">
            <v>36</v>
          </cell>
          <cell r="F81">
            <v>1</v>
          </cell>
          <cell r="G81">
            <v>11</v>
          </cell>
          <cell r="H81">
            <v>180</v>
          </cell>
          <cell r="I81">
            <v>60</v>
          </cell>
          <cell r="J81">
            <v>150</v>
          </cell>
          <cell r="K81">
            <v>150</v>
          </cell>
          <cell r="L81">
            <v>0</v>
          </cell>
          <cell r="M81">
            <v>0</v>
          </cell>
        </row>
        <row r="82">
          <cell r="A82">
            <v>64003278</v>
          </cell>
          <cell r="B82" t="str">
            <v>CLOSE UP TOOTHPASTE WHTNG TEMPO 36x220g</v>
          </cell>
          <cell r="C82">
            <v>220</v>
          </cell>
          <cell r="D82" t="str">
            <v>Viet</v>
          </cell>
          <cell r="E82">
            <v>36</v>
          </cell>
          <cell r="F82">
            <v>1</v>
          </cell>
          <cell r="G82">
            <v>11</v>
          </cell>
          <cell r="H82">
            <v>180</v>
          </cell>
          <cell r="I82">
            <v>60</v>
          </cell>
          <cell r="J82">
            <v>150</v>
          </cell>
          <cell r="K82">
            <v>150</v>
          </cell>
          <cell r="L82">
            <v>0</v>
          </cell>
          <cell r="M82">
            <v>0</v>
          </cell>
        </row>
        <row r="83">
          <cell r="A83">
            <v>66812092</v>
          </cell>
          <cell r="B83" t="str">
            <v>PEPSODENT TOOTHPASTE U2 12x6x160G(KH)</v>
          </cell>
          <cell r="C83">
            <v>160</v>
          </cell>
          <cell r="D83" t="str">
            <v>Cam</v>
          </cell>
          <cell r="E83">
            <v>72</v>
          </cell>
          <cell r="F83">
            <v>1</v>
          </cell>
          <cell r="G83">
            <v>11</v>
          </cell>
          <cell r="H83">
            <v>200</v>
          </cell>
          <cell r="I83">
            <v>60</v>
          </cell>
          <cell r="J83">
            <v>180</v>
          </cell>
          <cell r="K83">
            <v>180</v>
          </cell>
          <cell r="L83">
            <v>160</v>
          </cell>
          <cell r="M83">
            <v>160</v>
          </cell>
        </row>
        <row r="84">
          <cell r="A84">
            <v>66812094</v>
          </cell>
          <cell r="B84" t="str">
            <v>PEPSODENT TOOTHPASTE U2 12x12x40G(KH)</v>
          </cell>
          <cell r="C84">
            <v>40</v>
          </cell>
          <cell r="D84" t="str">
            <v>Cam</v>
          </cell>
          <cell r="E84">
            <v>144</v>
          </cell>
          <cell r="F84">
            <v>1</v>
          </cell>
          <cell r="G84">
            <v>11</v>
          </cell>
          <cell r="H84">
            <v>0</v>
          </cell>
          <cell r="I84">
            <v>60</v>
          </cell>
          <cell r="J84">
            <v>180</v>
          </cell>
          <cell r="K84">
            <v>180</v>
          </cell>
          <cell r="L84">
            <v>160</v>
          </cell>
          <cell r="M84">
            <v>160</v>
          </cell>
        </row>
        <row r="85">
          <cell r="A85">
            <v>20238219</v>
          </cell>
          <cell r="B85" t="str">
            <v>PEPSODENT TP CAVITY FIGHTER 72x100ml</v>
          </cell>
          <cell r="C85">
            <v>151</v>
          </cell>
          <cell r="D85" t="str">
            <v>Ghana</v>
          </cell>
          <cell r="E85">
            <v>72</v>
          </cell>
          <cell r="F85">
            <v>1</v>
          </cell>
          <cell r="G85">
            <v>11</v>
          </cell>
          <cell r="H85">
            <v>200</v>
          </cell>
          <cell r="I85">
            <v>60</v>
          </cell>
          <cell r="J85">
            <v>180</v>
          </cell>
          <cell r="K85">
            <v>180</v>
          </cell>
          <cell r="L85">
            <v>160</v>
          </cell>
          <cell r="M85">
            <v>160</v>
          </cell>
        </row>
        <row r="86">
          <cell r="A86">
            <v>20238217</v>
          </cell>
          <cell r="B86" t="str">
            <v>PEPSODENT TP CAVITY FIGHTER 240x10ml</v>
          </cell>
          <cell r="C86">
            <v>15</v>
          </cell>
          <cell r="D86" t="str">
            <v>Ghana</v>
          </cell>
          <cell r="E86">
            <v>240</v>
          </cell>
          <cell r="F86">
            <v>1</v>
          </cell>
          <cell r="G86">
            <v>11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A87">
            <v>20238218</v>
          </cell>
          <cell r="B87" t="str">
            <v>PEPSODENT TP CAVITY FIGHTER 72x50ml</v>
          </cell>
          <cell r="C87">
            <v>75</v>
          </cell>
          <cell r="D87" t="str">
            <v>Ghana</v>
          </cell>
          <cell r="E87">
            <v>72</v>
          </cell>
          <cell r="F87">
            <v>1</v>
          </cell>
          <cell r="G87">
            <v>11</v>
          </cell>
          <cell r="H87">
            <v>0</v>
          </cell>
          <cell r="I87">
            <v>60</v>
          </cell>
          <cell r="J87">
            <v>180</v>
          </cell>
          <cell r="K87">
            <v>180</v>
          </cell>
          <cell r="L87">
            <v>160</v>
          </cell>
          <cell r="M87">
            <v>160</v>
          </cell>
        </row>
        <row r="88">
          <cell r="A88">
            <v>20238646</v>
          </cell>
          <cell r="B88" t="str">
            <v>P/S MOUTHWASH GREEN TEA AW0211 12x300ml</v>
          </cell>
          <cell r="D88" t="str">
            <v>Viet</v>
          </cell>
          <cell r="E88">
            <v>12</v>
          </cell>
        </row>
        <row r="89">
          <cell r="A89">
            <v>20238526</v>
          </cell>
          <cell r="B89" t="str">
            <v>P/S MOUTHWASH COMPLETE-8 12x300ml</v>
          </cell>
          <cell r="D89" t="str">
            <v>Viet</v>
          </cell>
          <cell r="E89">
            <v>12</v>
          </cell>
        </row>
        <row r="90">
          <cell r="A90">
            <v>20238534</v>
          </cell>
          <cell r="B90" t="str">
            <v>P/S MOUTHWASH COMPLETE-8 24x150ml</v>
          </cell>
          <cell r="D90" t="str">
            <v>Viet</v>
          </cell>
          <cell r="E90">
            <v>24</v>
          </cell>
        </row>
        <row r="91">
          <cell r="A91">
            <v>20237723</v>
          </cell>
          <cell r="B91" t="str">
            <v>P/S TP COMPLETE 8 TEMPO 36x150g</v>
          </cell>
          <cell r="C91">
            <v>150</v>
          </cell>
          <cell r="D91" t="str">
            <v>Viet</v>
          </cell>
          <cell r="E91">
            <v>36</v>
          </cell>
          <cell r="F91">
            <v>1</v>
          </cell>
          <cell r="G91">
            <v>22</v>
          </cell>
          <cell r="H91">
            <v>0</v>
          </cell>
          <cell r="I91">
            <v>0</v>
          </cell>
          <cell r="J91">
            <v>140</v>
          </cell>
          <cell r="K91">
            <v>150</v>
          </cell>
          <cell r="L91">
            <v>0</v>
          </cell>
          <cell r="M91">
            <v>0</v>
          </cell>
        </row>
        <row r="92">
          <cell r="A92">
            <v>64024980</v>
          </cell>
          <cell r="B92" t="str">
            <v>P/S TP JARES HB R0111 60x160g</v>
          </cell>
          <cell r="C92">
            <v>160</v>
          </cell>
          <cell r="D92" t="str">
            <v>Viet</v>
          </cell>
          <cell r="E92">
            <v>60</v>
          </cell>
          <cell r="F92">
            <v>1</v>
          </cell>
          <cell r="G92">
            <v>22</v>
          </cell>
          <cell r="H92">
            <v>0</v>
          </cell>
          <cell r="I92">
            <v>0</v>
          </cell>
          <cell r="J92">
            <v>140</v>
          </cell>
          <cell r="K92">
            <v>140</v>
          </cell>
          <cell r="L92">
            <v>0</v>
          </cell>
          <cell r="M92">
            <v>0</v>
          </cell>
        </row>
        <row r="93">
          <cell r="A93">
            <v>20253981</v>
          </cell>
          <cell r="B93" t="str">
            <v>P/S TP SENSITIVE EXPERT 54x100g</v>
          </cell>
          <cell r="C93">
            <v>100</v>
          </cell>
          <cell r="D93" t="str">
            <v>Viet</v>
          </cell>
          <cell r="E93">
            <v>54</v>
          </cell>
          <cell r="F93">
            <v>1</v>
          </cell>
          <cell r="H93">
            <v>140</v>
          </cell>
          <cell r="J93">
            <v>140</v>
          </cell>
          <cell r="K93">
            <v>140</v>
          </cell>
          <cell r="L93">
            <v>140</v>
          </cell>
          <cell r="M93">
            <v>140</v>
          </cell>
        </row>
        <row r="94">
          <cell r="A94">
            <v>64003139</v>
          </cell>
          <cell r="B94" t="str">
            <v>P/S MOUTHWASH GREEN TEA 24x150ml</v>
          </cell>
          <cell r="C94">
            <v>150</v>
          </cell>
          <cell r="D94" t="str">
            <v>Viet</v>
          </cell>
          <cell r="E94">
            <v>24</v>
          </cell>
          <cell r="F94">
            <v>1</v>
          </cell>
        </row>
        <row r="95">
          <cell r="A95">
            <v>64003072</v>
          </cell>
          <cell r="B95" t="str">
            <v>P/S TOOTHPASTE BV2L SAMPLE 350x20g</v>
          </cell>
          <cell r="C95">
            <v>20</v>
          </cell>
          <cell r="D95" t="str">
            <v>Viet</v>
          </cell>
          <cell r="E95">
            <v>350</v>
          </cell>
          <cell r="F95">
            <v>1</v>
          </cell>
          <cell r="G95">
            <v>11</v>
          </cell>
          <cell r="I95">
            <v>65</v>
          </cell>
          <cell r="J95">
            <v>180</v>
          </cell>
          <cell r="K95">
            <v>180</v>
          </cell>
          <cell r="L95">
            <v>160</v>
          </cell>
          <cell r="M95">
            <v>160</v>
          </cell>
        </row>
        <row r="96">
          <cell r="A96">
            <v>20256554</v>
          </cell>
          <cell r="B96" t="str">
            <v>P/S TP COMPLETE 8 SAMP 600x18g</v>
          </cell>
          <cell r="C96">
            <v>18</v>
          </cell>
          <cell r="D96" t="str">
            <v>Viet</v>
          </cell>
          <cell r="E96">
            <v>600</v>
          </cell>
          <cell r="F96">
            <v>1</v>
          </cell>
          <cell r="G96">
            <v>21</v>
          </cell>
          <cell r="J96">
            <v>150</v>
          </cell>
          <cell r="K96">
            <v>150</v>
          </cell>
        </row>
        <row r="97">
          <cell r="A97">
            <v>20237864</v>
          </cell>
          <cell r="B97" t="str">
            <v>CLOSE UP TOOTHPASTE WHITE NOW 54x100G </v>
          </cell>
          <cell r="C97">
            <v>100</v>
          </cell>
          <cell r="D97" t="str">
            <v>Thailand</v>
          </cell>
          <cell r="E97">
            <v>54</v>
          </cell>
          <cell r="F97">
            <v>1</v>
          </cell>
          <cell r="G97">
            <v>22</v>
          </cell>
          <cell r="J97">
            <v>140</v>
          </cell>
          <cell r="K97">
            <v>140</v>
          </cell>
        </row>
        <row r="98">
          <cell r="A98">
            <v>20255860</v>
          </cell>
          <cell r="B98" t="str">
            <v>P/S TP BV2L/SAMP 36x(1+1)200g/20g</v>
          </cell>
          <cell r="C98">
            <v>200</v>
          </cell>
          <cell r="D98" t="str">
            <v>Viet</v>
          </cell>
          <cell r="E98">
            <v>36</v>
          </cell>
          <cell r="F98">
            <v>1</v>
          </cell>
          <cell r="G98">
            <v>11</v>
          </cell>
          <cell r="H98">
            <v>180</v>
          </cell>
          <cell r="I98">
            <v>0</v>
          </cell>
          <cell r="J98">
            <v>120</v>
          </cell>
          <cell r="K98">
            <v>120</v>
          </cell>
        </row>
        <row r="99">
          <cell r="A99">
            <v>20252850</v>
          </cell>
          <cell r="B99" t="str">
            <v>P/S TP BV2L TEMPO (LFB SP) 100x120g</v>
          </cell>
          <cell r="C99">
            <v>120</v>
          </cell>
          <cell r="D99" t="str">
            <v>Viet</v>
          </cell>
          <cell r="E99">
            <v>100</v>
          </cell>
          <cell r="F99">
            <v>1</v>
          </cell>
          <cell r="G99">
            <v>11</v>
          </cell>
          <cell r="H99">
            <v>200</v>
          </cell>
          <cell r="I99">
            <v>0</v>
          </cell>
          <cell r="J99">
            <v>180</v>
          </cell>
          <cell r="K99">
            <v>180</v>
          </cell>
          <cell r="L99">
            <v>160</v>
          </cell>
          <cell r="M99">
            <v>165</v>
          </cell>
        </row>
        <row r="100">
          <cell r="A100">
            <v>20255854</v>
          </cell>
          <cell r="B100" t="str">
            <v>P/S TP GTEA TEMPO TET-XSOFT 30x200g</v>
          </cell>
          <cell r="C100">
            <v>200</v>
          </cell>
          <cell r="D100" t="str">
            <v>Viet</v>
          </cell>
          <cell r="E100">
            <v>30</v>
          </cell>
          <cell r="F100">
            <v>1</v>
          </cell>
          <cell r="G100">
            <v>21</v>
          </cell>
          <cell r="H100">
            <v>0</v>
          </cell>
          <cell r="I100">
            <v>0</v>
          </cell>
          <cell r="J100">
            <v>140</v>
          </cell>
          <cell r="K100">
            <v>140</v>
          </cell>
          <cell r="L100">
            <v>0</v>
          </cell>
          <cell r="M100">
            <v>0</v>
          </cell>
        </row>
        <row r="101">
          <cell r="A101">
            <v>20239610</v>
          </cell>
          <cell r="B101" t="str">
            <v>CLOSE-UP TP WHITENING P0111 60x150g</v>
          </cell>
          <cell r="C101">
            <v>150</v>
          </cell>
          <cell r="D101" t="str">
            <v>Viet</v>
          </cell>
          <cell r="E101">
            <v>60</v>
          </cell>
          <cell r="F101">
            <v>1</v>
          </cell>
          <cell r="G101">
            <v>12</v>
          </cell>
          <cell r="H101">
            <v>200</v>
          </cell>
          <cell r="I101">
            <v>60</v>
          </cell>
          <cell r="J101">
            <v>180</v>
          </cell>
          <cell r="K101">
            <v>180</v>
          </cell>
          <cell r="L101">
            <v>160</v>
          </cell>
          <cell r="M101">
            <v>160</v>
          </cell>
        </row>
        <row r="102">
          <cell r="A102">
            <v>20246688</v>
          </cell>
          <cell r="B102" t="str">
            <v>CLOSE UP TP GREEN TEMP (BENEFIT)36x220g</v>
          </cell>
          <cell r="C102">
            <v>220</v>
          </cell>
          <cell r="D102" t="str">
            <v>Viet</v>
          </cell>
          <cell r="E102">
            <v>36</v>
          </cell>
          <cell r="F102">
            <v>1</v>
          </cell>
          <cell r="G102">
            <v>12</v>
          </cell>
          <cell r="H102">
            <v>180</v>
          </cell>
          <cell r="I102">
            <v>60</v>
          </cell>
          <cell r="J102">
            <v>140</v>
          </cell>
          <cell r="K102">
            <v>140</v>
          </cell>
          <cell r="L102">
            <v>0</v>
          </cell>
          <cell r="M102">
            <v>0</v>
          </cell>
        </row>
        <row r="103">
          <cell r="A103">
            <v>20246690</v>
          </cell>
          <cell r="B103" t="str">
            <v>CLOSE UP TP WHTNG TEMP (BENEFIT)36x220g</v>
          </cell>
          <cell r="C103">
            <v>220</v>
          </cell>
          <cell r="D103" t="str">
            <v>Viet</v>
          </cell>
          <cell r="E103">
            <v>36</v>
          </cell>
          <cell r="F103">
            <v>1</v>
          </cell>
          <cell r="G103">
            <v>12</v>
          </cell>
          <cell r="H103">
            <v>180</v>
          </cell>
          <cell r="I103">
            <v>60</v>
          </cell>
          <cell r="J103">
            <v>140</v>
          </cell>
          <cell r="K103">
            <v>140</v>
          </cell>
          <cell r="L103">
            <v>0</v>
          </cell>
          <cell r="M103">
            <v>0</v>
          </cell>
        </row>
        <row r="104">
          <cell r="A104">
            <v>20246692</v>
          </cell>
          <cell r="B104" t="str">
            <v>CLOSE-UP TP FIRE-FR TEMP(BENEFIT)45x180g</v>
          </cell>
          <cell r="C104">
            <v>180</v>
          </cell>
          <cell r="D104" t="str">
            <v>Viet</v>
          </cell>
          <cell r="E104">
            <v>45</v>
          </cell>
          <cell r="F104">
            <v>1</v>
          </cell>
          <cell r="G104">
            <v>22</v>
          </cell>
          <cell r="J104">
            <v>140</v>
          </cell>
          <cell r="K104">
            <v>140</v>
          </cell>
        </row>
        <row r="105">
          <cell r="A105">
            <v>20245201</v>
          </cell>
          <cell r="B105" t="str">
            <v>P/S TP COMPLETE-8 P0211 60x150g</v>
          </cell>
          <cell r="C105">
            <v>150</v>
          </cell>
          <cell r="D105" t="str">
            <v>Viet</v>
          </cell>
          <cell r="E105">
            <v>60</v>
          </cell>
          <cell r="F105">
            <v>1</v>
          </cell>
          <cell r="G105">
            <v>22</v>
          </cell>
          <cell r="H105">
            <v>0</v>
          </cell>
          <cell r="I105">
            <v>0</v>
          </cell>
          <cell r="J105">
            <v>150</v>
          </cell>
          <cell r="K105">
            <v>150</v>
          </cell>
          <cell r="L105">
            <v>0</v>
          </cell>
          <cell r="M105">
            <v>0</v>
          </cell>
        </row>
        <row r="106">
          <cell r="A106">
            <v>20240863</v>
          </cell>
          <cell r="B106" t="str">
            <v>PEPSODENT COMPLETE 8 ACTION WHT 72x100ml</v>
          </cell>
          <cell r="C106">
            <v>130</v>
          </cell>
          <cell r="D106" t="str">
            <v>Nigeria</v>
          </cell>
          <cell r="E106">
            <v>72</v>
          </cell>
          <cell r="F106">
            <v>1</v>
          </cell>
          <cell r="G106">
            <v>12</v>
          </cell>
          <cell r="H106">
            <v>0</v>
          </cell>
          <cell r="I106">
            <v>0</v>
          </cell>
          <cell r="J106">
            <v>140</v>
          </cell>
          <cell r="K106">
            <v>140</v>
          </cell>
          <cell r="L106">
            <v>0</v>
          </cell>
          <cell r="M106">
            <v>0</v>
          </cell>
        </row>
        <row r="107">
          <cell r="A107">
            <v>20281726</v>
          </cell>
          <cell r="B107" t="str">
            <v>P/S TP HEALTHY FRESH SAMP 350x20g</v>
          </cell>
          <cell r="C107">
            <v>20</v>
          </cell>
          <cell r="D107" t="str">
            <v>Viet</v>
          </cell>
          <cell r="E107">
            <v>350</v>
          </cell>
          <cell r="F107">
            <v>1</v>
          </cell>
          <cell r="G107">
            <v>12</v>
          </cell>
          <cell r="I107">
            <v>65</v>
          </cell>
          <cell r="J107">
            <v>180</v>
          </cell>
          <cell r="K107">
            <v>180</v>
          </cell>
          <cell r="L107">
            <v>160</v>
          </cell>
          <cell r="M107">
            <v>160</v>
          </cell>
        </row>
        <row r="108">
          <cell r="A108">
            <v>20281729</v>
          </cell>
          <cell r="B108" t="str">
            <v>P/S TP BV2L/HEALTHY FRSH 36(1+1)200g/20g</v>
          </cell>
          <cell r="C108">
            <v>200</v>
          </cell>
          <cell r="D108" t="str">
            <v>Viet</v>
          </cell>
          <cell r="E108">
            <v>36</v>
          </cell>
          <cell r="F108">
            <v>2</v>
          </cell>
          <cell r="G108">
            <v>12</v>
          </cell>
          <cell r="I108">
            <v>0</v>
          </cell>
          <cell r="J108">
            <v>120</v>
          </cell>
          <cell r="K108">
            <v>120</v>
          </cell>
        </row>
        <row r="109">
          <cell r="A109">
            <v>20243489</v>
          </cell>
          <cell r="B109" t="str">
            <v>CLOSE UP TP GREEN P0211 36x220g</v>
          </cell>
          <cell r="C109">
            <v>220</v>
          </cell>
          <cell r="D109" t="str">
            <v>Viet</v>
          </cell>
          <cell r="E109">
            <v>36</v>
          </cell>
          <cell r="F109">
            <v>1</v>
          </cell>
          <cell r="G109">
            <v>12</v>
          </cell>
          <cell r="H109">
            <v>180</v>
          </cell>
          <cell r="I109">
            <v>60</v>
          </cell>
          <cell r="J109">
            <v>150</v>
          </cell>
          <cell r="K109">
            <v>150</v>
          </cell>
          <cell r="L109">
            <v>0</v>
          </cell>
          <cell r="M109">
            <v>0</v>
          </cell>
        </row>
        <row r="110">
          <cell r="A110">
            <v>20243495</v>
          </cell>
          <cell r="B110" t="str">
            <v>CLOSE UP TP WHITENING P0211 36x220g</v>
          </cell>
          <cell r="C110">
            <v>220</v>
          </cell>
          <cell r="D110" t="str">
            <v>Viet</v>
          </cell>
          <cell r="E110">
            <v>36</v>
          </cell>
          <cell r="F110">
            <v>1</v>
          </cell>
          <cell r="G110">
            <v>12</v>
          </cell>
          <cell r="H110">
            <v>180</v>
          </cell>
          <cell r="I110">
            <v>60</v>
          </cell>
          <cell r="J110">
            <v>150</v>
          </cell>
          <cell r="K110">
            <v>150</v>
          </cell>
          <cell r="L110">
            <v>0</v>
          </cell>
          <cell r="M110">
            <v>0</v>
          </cell>
        </row>
        <row r="111">
          <cell r="A111">
            <v>20243498</v>
          </cell>
          <cell r="B111" t="str">
            <v>CLOSE UP TP FIRE-FREEZE P0211 60x180g</v>
          </cell>
          <cell r="C111">
            <v>180</v>
          </cell>
          <cell r="D111" t="str">
            <v>Viet</v>
          </cell>
          <cell r="E111">
            <v>60</v>
          </cell>
          <cell r="F111">
            <v>1</v>
          </cell>
          <cell r="G111">
            <v>22</v>
          </cell>
          <cell r="J111">
            <v>150</v>
          </cell>
          <cell r="K111">
            <v>150</v>
          </cell>
        </row>
        <row r="112">
          <cell r="A112">
            <v>64033010</v>
          </cell>
          <cell r="B112" t="str">
            <v>P/S TP KIDS STRAWBERRY P0111 120x35g</v>
          </cell>
          <cell r="C112">
            <v>35</v>
          </cell>
          <cell r="D112" t="str">
            <v>Viet</v>
          </cell>
          <cell r="E112">
            <v>120</v>
          </cell>
          <cell r="F112">
            <v>1</v>
          </cell>
          <cell r="G112">
            <v>11</v>
          </cell>
          <cell r="H112">
            <v>0</v>
          </cell>
          <cell r="I112">
            <v>0</v>
          </cell>
          <cell r="J112">
            <v>180</v>
          </cell>
          <cell r="K112">
            <v>180</v>
          </cell>
          <cell r="L112">
            <v>160</v>
          </cell>
          <cell r="M112">
            <v>160</v>
          </cell>
        </row>
        <row r="113">
          <cell r="A113">
            <v>20289811</v>
          </cell>
          <cell r="B113" t="str">
            <v>P/S TP HEALTHY FRESH TEMP(X30) 30x200g</v>
          </cell>
          <cell r="C113">
            <v>200</v>
          </cell>
          <cell r="D113" t="str">
            <v>Viet</v>
          </cell>
          <cell r="E113">
            <v>30</v>
          </cell>
          <cell r="F113">
            <v>1</v>
          </cell>
          <cell r="G113">
            <v>12</v>
          </cell>
          <cell r="H113">
            <v>180</v>
          </cell>
          <cell r="I113">
            <v>0</v>
          </cell>
          <cell r="J113">
            <v>165</v>
          </cell>
          <cell r="K113">
            <v>165</v>
          </cell>
          <cell r="L113">
            <v>150</v>
          </cell>
          <cell r="M113">
            <v>150</v>
          </cell>
        </row>
        <row r="114">
          <cell r="A114">
            <v>20288113</v>
          </cell>
          <cell r="B114" t="str">
            <v>PEPSODENT TP GREENTEA PROMOTION 36x150ml</v>
          </cell>
          <cell r="C114">
            <v>217.5</v>
          </cell>
          <cell r="D114" t="str">
            <v>SAF</v>
          </cell>
          <cell r="E114">
            <v>36</v>
          </cell>
          <cell r="F114">
            <v>1</v>
          </cell>
          <cell r="G114">
            <v>22</v>
          </cell>
          <cell r="J114">
            <v>120</v>
          </cell>
          <cell r="K114">
            <v>120</v>
          </cell>
        </row>
        <row r="115">
          <cell r="A115">
            <v>20288110</v>
          </cell>
          <cell r="B115" t="str">
            <v>PEPSODENT TP CAVITY FIGHTER PRO 36x150ml</v>
          </cell>
          <cell r="C115">
            <v>226.5</v>
          </cell>
          <cell r="D115" t="str">
            <v>SAF</v>
          </cell>
          <cell r="E115">
            <v>36</v>
          </cell>
          <cell r="F115">
            <v>1</v>
          </cell>
          <cell r="G115">
            <v>12</v>
          </cell>
          <cell r="H115">
            <v>180</v>
          </cell>
          <cell r="I115">
            <v>60</v>
          </cell>
          <cell r="J115">
            <v>170</v>
          </cell>
          <cell r="K115">
            <v>170</v>
          </cell>
        </row>
        <row r="116">
          <cell r="A116">
            <v>20288111</v>
          </cell>
          <cell r="B116" t="str">
            <v>PEPSODENT TP GREEN TEA 72x100ml</v>
          </cell>
          <cell r="C116">
            <v>151</v>
          </cell>
          <cell r="D116" t="str">
            <v>SAF</v>
          </cell>
          <cell r="E116">
            <v>72</v>
          </cell>
          <cell r="F116">
            <v>1</v>
          </cell>
          <cell r="G116">
            <v>21</v>
          </cell>
          <cell r="J116">
            <v>120</v>
          </cell>
          <cell r="K116">
            <v>120</v>
          </cell>
        </row>
        <row r="117">
          <cell r="A117">
            <v>20288108</v>
          </cell>
          <cell r="B117" t="str">
            <v>PEPSODENT TP CAVITY FIGHTER(SA) 72x100ml</v>
          </cell>
          <cell r="C117">
            <v>151</v>
          </cell>
          <cell r="D117" t="str">
            <v>SAF</v>
          </cell>
          <cell r="E117">
            <v>72</v>
          </cell>
          <cell r="F117">
            <v>1</v>
          </cell>
          <cell r="G117">
            <v>11</v>
          </cell>
          <cell r="H117">
            <v>200</v>
          </cell>
          <cell r="I117">
            <v>60</v>
          </cell>
          <cell r="J117">
            <v>180</v>
          </cell>
          <cell r="K117">
            <v>180</v>
          </cell>
          <cell r="L117">
            <v>160</v>
          </cell>
          <cell r="M117">
            <v>160</v>
          </cell>
        </row>
        <row r="118">
          <cell r="A118">
            <v>20288114</v>
          </cell>
          <cell r="B118" t="str">
            <v>PEPSODENT TP COMPLETE 8 72x100ml</v>
          </cell>
          <cell r="C118">
            <v>151</v>
          </cell>
          <cell r="D118" t="str">
            <v>SAF</v>
          </cell>
          <cell r="E118">
            <v>72</v>
          </cell>
          <cell r="F118">
            <v>1</v>
          </cell>
          <cell r="G118">
            <v>11</v>
          </cell>
          <cell r="H118">
            <v>200</v>
          </cell>
          <cell r="I118">
            <v>60</v>
          </cell>
          <cell r="J118">
            <v>180</v>
          </cell>
          <cell r="K118">
            <v>180</v>
          </cell>
          <cell r="L118">
            <v>160</v>
          </cell>
          <cell r="M118">
            <v>160</v>
          </cell>
        </row>
        <row r="119">
          <cell r="A119">
            <v>20240847</v>
          </cell>
          <cell r="B119" t="str">
            <v>PEPSODENT COMPLETE 8 ACTION 72x100ml</v>
          </cell>
          <cell r="C119">
            <v>151</v>
          </cell>
          <cell r="D119" t="str">
            <v>Nigeria</v>
          </cell>
          <cell r="E119">
            <v>72</v>
          </cell>
          <cell r="F119">
            <v>1</v>
          </cell>
          <cell r="G119">
            <v>21</v>
          </cell>
          <cell r="J119">
            <v>140</v>
          </cell>
          <cell r="K119">
            <v>140</v>
          </cell>
        </row>
        <row r="120">
          <cell r="A120">
            <v>20292449</v>
          </cell>
          <cell r="B120" t="str">
            <v>CLOSE UP TP GREEN SAMPLE 350x25g</v>
          </cell>
          <cell r="C120">
            <v>25</v>
          </cell>
          <cell r="D120" t="str">
            <v>Viet</v>
          </cell>
          <cell r="E120">
            <v>350</v>
          </cell>
          <cell r="F120">
            <v>1</v>
          </cell>
          <cell r="G120">
            <v>11</v>
          </cell>
          <cell r="L120">
            <v>155</v>
          </cell>
          <cell r="M120">
            <v>155</v>
          </cell>
        </row>
        <row r="121">
          <cell r="A121">
            <v>20275623</v>
          </cell>
          <cell r="B121" t="str">
            <v>P/S TP ANTI CAVITY RE0112 36x250g</v>
          </cell>
          <cell r="C121">
            <v>250</v>
          </cell>
          <cell r="D121" t="str">
            <v>Viet</v>
          </cell>
          <cell r="E121">
            <v>36</v>
          </cell>
          <cell r="F121">
            <v>1</v>
          </cell>
          <cell r="G121">
            <v>11</v>
          </cell>
          <cell r="H121">
            <v>180</v>
          </cell>
          <cell r="I121">
            <v>0</v>
          </cell>
          <cell r="J121">
            <v>160</v>
          </cell>
          <cell r="K121">
            <v>160</v>
          </cell>
        </row>
        <row r="122">
          <cell r="A122">
            <v>20294002</v>
          </cell>
          <cell r="B122" t="str">
            <v>CLOSE UP TP GREEN/SAMP 36(1+1)220g/25g</v>
          </cell>
          <cell r="C122">
            <v>220</v>
          </cell>
          <cell r="D122" t="str">
            <v>Viet</v>
          </cell>
          <cell r="E122">
            <v>36</v>
          </cell>
          <cell r="F122">
            <v>1</v>
          </cell>
          <cell r="G122">
            <v>11</v>
          </cell>
          <cell r="J122">
            <v>95</v>
          </cell>
          <cell r="K122">
            <v>95</v>
          </cell>
        </row>
        <row r="123">
          <cell r="A123">
            <v>20294004</v>
          </cell>
          <cell r="B123" t="str">
            <v>CLOSE UP TP FIRE-FR/GRN 36x(1+1)180g/25g</v>
          </cell>
          <cell r="C123">
            <v>180</v>
          </cell>
          <cell r="D123" t="str">
            <v>Viet</v>
          </cell>
          <cell r="E123">
            <v>36</v>
          </cell>
          <cell r="J123">
            <v>95</v>
          </cell>
          <cell r="K123">
            <v>95</v>
          </cell>
        </row>
        <row r="124">
          <cell r="A124">
            <v>20275617</v>
          </cell>
          <cell r="B124" t="str">
            <v>P/S TP ANTI CAVITY RE0112 120x45g</v>
          </cell>
          <cell r="C124">
            <v>45</v>
          </cell>
          <cell r="D124" t="str">
            <v>Viet</v>
          </cell>
          <cell r="E124">
            <v>120</v>
          </cell>
          <cell r="F124">
            <v>1</v>
          </cell>
          <cell r="G124">
            <v>11</v>
          </cell>
          <cell r="J124">
            <v>180</v>
          </cell>
          <cell r="K124">
            <v>180</v>
          </cell>
          <cell r="L124">
            <v>160</v>
          </cell>
          <cell r="M124">
            <v>160</v>
          </cell>
        </row>
        <row r="125">
          <cell r="A125">
            <v>20275619</v>
          </cell>
          <cell r="B125" t="str">
            <v>P/S TP ANTI CAVITY RE0112 100x120g</v>
          </cell>
          <cell r="C125">
            <v>120</v>
          </cell>
          <cell r="D125" t="str">
            <v>Viet</v>
          </cell>
          <cell r="E125">
            <v>100</v>
          </cell>
          <cell r="F125">
            <v>1</v>
          </cell>
          <cell r="G125">
            <v>11</v>
          </cell>
          <cell r="H125">
            <v>200</v>
          </cell>
          <cell r="J125">
            <v>180</v>
          </cell>
          <cell r="K125">
            <v>180</v>
          </cell>
          <cell r="L125">
            <v>160</v>
          </cell>
          <cell r="M125">
            <v>160</v>
          </cell>
        </row>
        <row r="126">
          <cell r="A126">
            <v>20275621</v>
          </cell>
          <cell r="B126" t="str">
            <v>P/S TP ANTI CAVITY RE0112 36x200g</v>
          </cell>
          <cell r="C126">
            <v>200</v>
          </cell>
          <cell r="D126" t="str">
            <v>Viet</v>
          </cell>
          <cell r="E126">
            <v>36</v>
          </cell>
          <cell r="F126">
            <v>1</v>
          </cell>
          <cell r="G126">
            <v>12</v>
          </cell>
          <cell r="H126">
            <v>180</v>
          </cell>
          <cell r="J126">
            <v>165</v>
          </cell>
          <cell r="K126">
            <v>165</v>
          </cell>
          <cell r="L126">
            <v>150</v>
          </cell>
          <cell r="M126">
            <v>150</v>
          </cell>
        </row>
        <row r="127">
          <cell r="A127">
            <v>20294000</v>
          </cell>
          <cell r="B127" t="str">
            <v>CLOSE UP TP BLUE/GRN SAMP36(1+1)220g/25g</v>
          </cell>
          <cell r="C127">
            <v>220</v>
          </cell>
          <cell r="D127" t="str">
            <v>Viet</v>
          </cell>
          <cell r="E127">
            <v>36</v>
          </cell>
          <cell r="F127">
            <v>1</v>
          </cell>
          <cell r="G127">
            <v>11</v>
          </cell>
          <cell r="J127">
            <v>95</v>
          </cell>
          <cell r="K127">
            <v>95</v>
          </cell>
        </row>
        <row r="128">
          <cell r="A128">
            <v>21004020</v>
          </cell>
          <cell r="B128" t="str">
            <v>P/S TP DEEP FRESH P0112 60x160g</v>
          </cell>
          <cell r="C128">
            <v>160</v>
          </cell>
          <cell r="D128" t="str">
            <v>Viet</v>
          </cell>
          <cell r="E128">
            <v>160</v>
          </cell>
          <cell r="F128">
            <v>1</v>
          </cell>
          <cell r="G128">
            <v>22</v>
          </cell>
          <cell r="H128">
            <v>0</v>
          </cell>
          <cell r="I128">
            <v>0</v>
          </cell>
          <cell r="J128">
            <v>130</v>
          </cell>
          <cell r="K128">
            <v>130</v>
          </cell>
          <cell r="L128">
            <v>0</v>
          </cell>
          <cell r="M128">
            <v>0</v>
          </cell>
        </row>
        <row r="129">
          <cell r="A129">
            <v>20245219</v>
          </cell>
          <cell r="B129" t="str">
            <v>P/S TP GTEA P0211 36x200g</v>
          </cell>
          <cell r="C129">
            <v>200</v>
          </cell>
          <cell r="D129" t="str">
            <v>Viet</v>
          </cell>
          <cell r="E129">
            <v>36</v>
          </cell>
          <cell r="F129">
            <v>1</v>
          </cell>
          <cell r="G129">
            <v>21</v>
          </cell>
          <cell r="H129">
            <v>0</v>
          </cell>
          <cell r="I129">
            <v>0</v>
          </cell>
          <cell r="J129">
            <v>140</v>
          </cell>
          <cell r="K129">
            <v>140</v>
          </cell>
          <cell r="L129">
            <v>0</v>
          </cell>
          <cell r="M129">
            <v>0</v>
          </cell>
        </row>
        <row r="130">
          <cell r="A130">
            <v>20269556</v>
          </cell>
          <cell r="B130" t="str">
            <v>P/S TP SENSITIVE EXPERT SAMP 240x20g</v>
          </cell>
          <cell r="C130">
            <v>20</v>
          </cell>
          <cell r="D130" t="str">
            <v>Viet</v>
          </cell>
          <cell r="E130">
            <v>240</v>
          </cell>
          <cell r="F130">
            <v>1</v>
          </cell>
          <cell r="G130">
            <v>21</v>
          </cell>
          <cell r="I130">
            <v>65</v>
          </cell>
          <cell r="J130">
            <v>180</v>
          </cell>
          <cell r="K130">
            <v>180</v>
          </cell>
          <cell r="L130">
            <v>160</v>
          </cell>
          <cell r="M130">
            <v>160</v>
          </cell>
        </row>
        <row r="131">
          <cell r="A131">
            <v>21003782</v>
          </cell>
          <cell r="B131" t="str">
            <v>P/S TP PROTECTION 123 36x200g</v>
          </cell>
          <cell r="C131" t="str">
            <v>200gr</v>
          </cell>
          <cell r="D131" t="str">
            <v>Viet</v>
          </cell>
          <cell r="E131">
            <v>36</v>
          </cell>
          <cell r="F131">
            <v>1</v>
          </cell>
          <cell r="G131">
            <v>21</v>
          </cell>
          <cell r="I131">
            <v>40</v>
          </cell>
          <cell r="K131">
            <v>120</v>
          </cell>
        </row>
        <row r="132">
          <cell r="A132">
            <v>21009575</v>
          </cell>
          <cell r="B132" t="str">
            <v>P/S TP E-SALT P0112 60x120g</v>
          </cell>
          <cell r="C132">
            <v>120</v>
          </cell>
          <cell r="D132" t="str">
            <v>Viet</v>
          </cell>
          <cell r="E132">
            <v>60</v>
          </cell>
          <cell r="F132">
            <v>1</v>
          </cell>
          <cell r="G132">
            <v>11</v>
          </cell>
          <cell r="H132">
            <v>180</v>
          </cell>
          <cell r="I132">
            <v>0</v>
          </cell>
          <cell r="J132">
            <v>180</v>
          </cell>
          <cell r="K132">
            <v>180</v>
          </cell>
          <cell r="L132">
            <v>160</v>
          </cell>
          <cell r="M132">
            <v>160</v>
          </cell>
        </row>
        <row r="133">
          <cell r="A133">
            <v>20275019</v>
          </cell>
          <cell r="B133" t="str">
            <v>CLOSE UP TP GREEN 72x60g</v>
          </cell>
          <cell r="C133">
            <v>60</v>
          </cell>
          <cell r="D133" t="str">
            <v>Viet</v>
          </cell>
          <cell r="E133">
            <v>72</v>
          </cell>
          <cell r="F133">
            <v>1</v>
          </cell>
          <cell r="G133">
            <v>11</v>
          </cell>
          <cell r="H133">
            <v>0</v>
          </cell>
          <cell r="I133">
            <v>60</v>
          </cell>
          <cell r="J133">
            <v>180</v>
          </cell>
          <cell r="K133">
            <v>180</v>
          </cell>
          <cell r="L133">
            <v>160</v>
          </cell>
          <cell r="M133">
            <v>160</v>
          </cell>
        </row>
        <row r="134">
          <cell r="A134">
            <v>20239272</v>
          </cell>
          <cell r="B134" t="str">
            <v>CLOSE-UP TP GREEN RE0112 60x150g</v>
          </cell>
          <cell r="C134">
            <v>150</v>
          </cell>
          <cell r="D134" t="str">
            <v>Viet</v>
          </cell>
          <cell r="E134">
            <v>60</v>
          </cell>
          <cell r="F134">
            <v>1</v>
          </cell>
          <cell r="G134">
            <v>11</v>
          </cell>
          <cell r="H134">
            <v>200</v>
          </cell>
          <cell r="I134">
            <v>60</v>
          </cell>
          <cell r="J134">
            <v>180</v>
          </cell>
          <cell r="K134">
            <v>180</v>
          </cell>
          <cell r="L134">
            <v>160</v>
          </cell>
          <cell r="M134">
            <v>160</v>
          </cell>
        </row>
        <row r="135">
          <cell r="A135">
            <v>20239274</v>
          </cell>
          <cell r="B135" t="str">
            <v>CLOSE-UP TP GREEN RE0112 36x220g</v>
          </cell>
          <cell r="C135">
            <v>220</v>
          </cell>
          <cell r="D135" t="str">
            <v>Viet</v>
          </cell>
          <cell r="E135">
            <v>36</v>
          </cell>
          <cell r="F135">
            <v>1</v>
          </cell>
          <cell r="G135">
            <v>11</v>
          </cell>
          <cell r="H135">
            <v>180</v>
          </cell>
          <cell r="I135">
            <v>60</v>
          </cell>
          <cell r="J135">
            <v>150</v>
          </cell>
          <cell r="K135">
            <v>150</v>
          </cell>
          <cell r="L135">
            <v>0</v>
          </cell>
          <cell r="M135">
            <v>0</v>
          </cell>
        </row>
        <row r="136">
          <cell r="A136">
            <v>20239266</v>
          </cell>
          <cell r="B136" t="str">
            <v>CLOSE-UP TP WHITENING RE0112 60x150g</v>
          </cell>
          <cell r="C136">
            <v>150</v>
          </cell>
          <cell r="D136" t="str">
            <v>Viet</v>
          </cell>
          <cell r="E136">
            <v>60</v>
          </cell>
          <cell r="F136">
            <v>1</v>
          </cell>
          <cell r="G136">
            <v>11</v>
          </cell>
          <cell r="H136">
            <v>200</v>
          </cell>
          <cell r="I136">
            <v>60</v>
          </cell>
          <cell r="J136">
            <v>180</v>
          </cell>
          <cell r="K136">
            <v>180</v>
          </cell>
          <cell r="L136">
            <v>160</v>
          </cell>
          <cell r="M136">
            <v>160</v>
          </cell>
        </row>
        <row r="137">
          <cell r="A137">
            <v>20239268</v>
          </cell>
          <cell r="B137" t="str">
            <v>CLOSE-UP TP WHITENING RE0112 36x220g</v>
          </cell>
          <cell r="C137">
            <v>220</v>
          </cell>
          <cell r="D137" t="str">
            <v>Viet</v>
          </cell>
          <cell r="E137">
            <v>36</v>
          </cell>
          <cell r="F137">
            <v>1</v>
          </cell>
          <cell r="G137">
            <v>11</v>
          </cell>
          <cell r="H137">
            <v>180</v>
          </cell>
          <cell r="I137">
            <v>60</v>
          </cell>
          <cell r="J137">
            <v>150</v>
          </cell>
          <cell r="K137">
            <v>150</v>
          </cell>
          <cell r="L137">
            <v>0</v>
          </cell>
          <cell r="M137">
            <v>0</v>
          </cell>
        </row>
        <row r="138">
          <cell r="A138">
            <v>20249137</v>
          </cell>
          <cell r="B138" t="str">
            <v>CLOSE UP TP GREEN SAMP 288x25g</v>
          </cell>
          <cell r="C138">
            <v>25</v>
          </cell>
          <cell r="D138" t="str">
            <v>Viet</v>
          </cell>
          <cell r="E138">
            <v>288</v>
          </cell>
          <cell r="F138">
            <v>1</v>
          </cell>
          <cell r="G138">
            <v>12</v>
          </cell>
          <cell r="L138">
            <v>155</v>
          </cell>
          <cell r="M138">
            <v>155</v>
          </cell>
        </row>
        <row r="139">
          <cell r="A139">
            <v>21014503</v>
          </cell>
          <cell r="B139" t="str">
            <v>CLOSE UP TP RED HOT DEEP ACTION 72x125g</v>
          </cell>
          <cell r="C139">
            <v>125</v>
          </cell>
          <cell r="D139" t="str">
            <v xml:space="preserve">SAF </v>
          </cell>
          <cell r="E139">
            <v>72</v>
          </cell>
          <cell r="F139">
            <v>1</v>
          </cell>
          <cell r="G139">
            <v>11</v>
          </cell>
          <cell r="H139">
            <v>200</v>
          </cell>
          <cell r="J139">
            <v>180</v>
          </cell>
          <cell r="K139">
            <v>180</v>
          </cell>
          <cell r="L139">
            <v>160</v>
          </cell>
          <cell r="M139">
            <v>160</v>
          </cell>
        </row>
        <row r="140">
          <cell r="A140">
            <v>21014504</v>
          </cell>
          <cell r="B140" t="str">
            <v>CLOSE UP TP COOL BREEZE DA 72x125g</v>
          </cell>
          <cell r="C140">
            <v>125</v>
          </cell>
          <cell r="D140" t="str">
            <v>SAF</v>
          </cell>
          <cell r="E140">
            <v>72</v>
          </cell>
          <cell r="F140">
            <v>1</v>
          </cell>
          <cell r="G140">
            <v>11</v>
          </cell>
          <cell r="H140">
            <v>200</v>
          </cell>
          <cell r="J140">
            <v>180</v>
          </cell>
          <cell r="K140">
            <v>180</v>
          </cell>
          <cell r="L140">
            <v>160</v>
          </cell>
          <cell r="M140">
            <v>160</v>
          </cell>
        </row>
        <row r="141">
          <cell r="A141">
            <v>20290141</v>
          </cell>
          <cell r="B141" t="str">
            <v>CLOSE UP TP RED HOT DEEP ACT 72x160g</v>
          </cell>
          <cell r="C141">
            <v>160</v>
          </cell>
          <cell r="D141" t="str">
            <v>Ghana Venus</v>
          </cell>
          <cell r="E141">
            <v>72</v>
          </cell>
          <cell r="F141">
            <v>1</v>
          </cell>
          <cell r="G141">
            <v>11</v>
          </cell>
          <cell r="H141">
            <v>200</v>
          </cell>
          <cell r="J141">
            <v>180</v>
          </cell>
          <cell r="K141">
            <v>180</v>
          </cell>
        </row>
        <row r="142">
          <cell r="A142">
            <v>20290390</v>
          </cell>
          <cell r="B142" t="str">
            <v>PEPSODENT TP COMPLETE 8 ACTION 72x100ml</v>
          </cell>
          <cell r="C142">
            <v>151</v>
          </cell>
          <cell r="D142" t="str">
            <v>Ghana Goldmine</v>
          </cell>
          <cell r="E142">
            <v>72</v>
          </cell>
          <cell r="F142">
            <v>1</v>
          </cell>
          <cell r="G142">
            <v>21</v>
          </cell>
          <cell r="J142">
            <v>140</v>
          </cell>
          <cell r="K142">
            <v>140</v>
          </cell>
        </row>
        <row r="143">
          <cell r="A143">
            <v>20290069</v>
          </cell>
          <cell r="B143" t="str">
            <v>CLOSE UP TP FIRE FREEZE 72x125g</v>
          </cell>
          <cell r="C143">
            <v>125</v>
          </cell>
          <cell r="D143" t="str">
            <v>Ghana Phoenix</v>
          </cell>
          <cell r="E143">
            <v>72</v>
          </cell>
          <cell r="F143">
            <v>1</v>
          </cell>
          <cell r="G143">
            <v>21</v>
          </cell>
          <cell r="J143">
            <v>140</v>
          </cell>
          <cell r="K143">
            <v>140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QSTube (2)"/>
      <sheetName val="CRQS-MW (2)"/>
      <sheetName val="Thong tin chung"/>
      <sheetName val="Data"/>
      <sheetName val="Checklist"/>
      <sheetName val="CRQS-2"/>
      <sheetName val="HA"/>
      <sheetName val="%"/>
      <sheetName val="CRQS1"/>
      <sheetName val="CRQS-Tube (TL trung bình)"/>
      <sheetName val="CRQS-Tube (TL tuyệt đối)"/>
      <sheetName val="CRQS-OW&amp;Casepacker (New)"/>
      <sheetName val="CRQS-CIF(TL trung bình)"/>
      <sheetName val="CRQS-CIF(TL tuyệt đối)"/>
      <sheetName val="CRQS-MW"/>
      <sheetName val="CRQS-Sachet"/>
      <sheetName val="CRQS-OW&amp;Casepacker"/>
      <sheetName val="Kiểm tra Bar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ial"/>
      <sheetName val="Input-Data"/>
      <sheetName val="Pro-Report"/>
      <sheetName val="Cp-Cpk"/>
      <sheetName val="Mix-Report"/>
      <sheetName val="Ton"/>
      <sheetName val="RFT"/>
    </sheetNames>
    <sheetDataSet>
      <sheetData sheetId="0">
        <row r="6">
          <cell r="C6" t="str">
            <v>RW-WHITE</v>
          </cell>
        </row>
        <row r="7">
          <cell r="C7" t="str">
            <v>RW-BLUE</v>
          </cell>
        </row>
        <row r="8">
          <cell r="C8" t="str">
            <v>RW-GREEN</v>
          </cell>
        </row>
        <row r="9">
          <cell r="C9" t="str">
            <v>PEP-CONT</v>
          </cell>
        </row>
        <row r="10">
          <cell r="C10" t="str">
            <v>PEP-CONY</v>
          </cell>
        </row>
        <row r="11">
          <cell r="C11" t="str">
            <v>P8AWW-SA</v>
          </cell>
        </row>
        <row r="12">
          <cell r="C12" t="str">
            <v>P8AWB-SA</v>
          </cell>
        </row>
        <row r="13">
          <cell r="C13" t="str">
            <v>CURH-DA</v>
          </cell>
        </row>
        <row r="14">
          <cell r="C14" t="str">
            <v>CUMF-DA</v>
          </cell>
        </row>
        <row r="15">
          <cell r="C15" t="str">
            <v>CUCB-DA</v>
          </cell>
        </row>
        <row r="16">
          <cell r="C16" t="str">
            <v>CUFFR-SA</v>
          </cell>
        </row>
        <row r="17">
          <cell r="C17" t="str">
            <v>CUFFB-SA</v>
          </cell>
        </row>
        <row r="18">
          <cell r="C18" t="str">
            <v>PSP123-W</v>
          </cell>
        </row>
        <row r="19">
          <cell r="C19" t="str">
            <v>PSP123-B</v>
          </cell>
        </row>
        <row r="20">
          <cell r="C20" t="str">
            <v>PSP123-G</v>
          </cell>
        </row>
        <row r="21">
          <cell r="C21" t="str">
            <v>PS-NUCLEA</v>
          </cell>
        </row>
        <row r="22">
          <cell r="C22" t="str">
            <v>PS-EXPO</v>
          </cell>
        </row>
        <row r="23">
          <cell r="C23" t="str">
            <v>PSEP-W</v>
          </cell>
        </row>
        <row r="24">
          <cell r="C24" t="str">
            <v>CUDA-TL</v>
          </cell>
        </row>
        <row r="25">
          <cell r="C25" t="str">
            <v>MW-Anti</v>
          </cell>
        </row>
        <row r="26">
          <cell r="C26" t="str">
            <v>PS-SPEA</v>
          </cell>
        </row>
        <row r="27">
          <cell r="C27" t="str">
            <v>PS-SMUN</v>
          </cell>
        </row>
        <row r="28">
          <cell r="C28" t="str">
            <v>PS-CFUN</v>
          </cell>
        </row>
        <row r="29">
          <cell r="C29" t="str">
            <v>PS-APUN</v>
          </cell>
        </row>
        <row r="30">
          <cell r="C30" t="str">
            <v>CUPLEMON</v>
          </cell>
        </row>
        <row r="31">
          <cell r="C31" t="str">
            <v>CUPBL-IR</v>
          </cell>
        </row>
        <row r="32">
          <cell r="C32" t="str">
            <v>CUPGR-IR</v>
          </cell>
        </row>
        <row r="33">
          <cell r="C33" t="str">
            <v>SINAP-W</v>
          </cell>
        </row>
        <row r="34">
          <cell r="C34" t="str">
            <v>SINAP-G</v>
          </cell>
        </row>
        <row r="35">
          <cell r="C35" t="str">
            <v>SINHE-G</v>
          </cell>
        </row>
        <row r="36">
          <cell r="C36" t="str">
            <v>SINHE-W</v>
          </cell>
        </row>
        <row r="37">
          <cell r="C37" t="str">
            <v>SIMMO-W</v>
          </cell>
        </row>
        <row r="38">
          <cell r="C38" t="str">
            <v>SIMMO-B</v>
          </cell>
        </row>
        <row r="39">
          <cell r="C39" t="str">
            <v>SN-CVFWM</v>
          </cell>
        </row>
        <row r="40">
          <cell r="C40" t="str">
            <v>SN-CVFBM</v>
          </cell>
        </row>
        <row r="41">
          <cell r="C41" t="str">
            <v>GUM</v>
          </cell>
        </row>
        <row r="42">
          <cell r="C42" t="str">
            <v>SNOW-W</v>
          </cell>
        </row>
        <row r="43">
          <cell r="C43" t="str">
            <v>SNOW-B</v>
          </cell>
        </row>
        <row r="44">
          <cell r="C44" t="str">
            <v>GTEA-W</v>
          </cell>
        </row>
        <row r="45">
          <cell r="C45" t="str">
            <v>GTEA-G</v>
          </cell>
        </row>
        <row r="46">
          <cell r="C46" t="str">
            <v>NUCLEUS-C</v>
          </cell>
        </row>
        <row r="47">
          <cell r="C47" t="str">
            <v>BAC-HA</v>
          </cell>
        </row>
        <row r="48">
          <cell r="C48" t="str">
            <v>LOC-DE</v>
          </cell>
        </row>
        <row r="49">
          <cell r="C49" t="str">
            <v>PURPLE</v>
          </cell>
        </row>
        <row r="50">
          <cell r="C50" t="str">
            <v>RH-SEA</v>
          </cell>
        </row>
        <row r="51">
          <cell r="C51" t="str">
            <v>MENTHOL-P</v>
          </cell>
        </row>
        <row r="52">
          <cell r="C52" t="str">
            <v>REDHOT-P</v>
          </cell>
        </row>
        <row r="53">
          <cell r="C53" t="str">
            <v>SCF-W-CDI</v>
          </cell>
        </row>
        <row r="54">
          <cell r="C54" t="str">
            <v>SCF-R-CDI</v>
          </cell>
        </row>
        <row r="55">
          <cell r="C55" t="str">
            <v>SAM-ORI</v>
          </cell>
        </row>
        <row r="56">
          <cell r="C56" t="str">
            <v>SAM-WHI</v>
          </cell>
        </row>
        <row r="57">
          <cell r="C57" t="str">
            <v>SAM-GUM</v>
          </cell>
        </row>
        <row r="58">
          <cell r="C58" t="str">
            <v>MW-GTEA</v>
          </cell>
        </row>
        <row r="59">
          <cell r="C59" t="str">
            <v>CUFB-K</v>
          </cell>
        </row>
        <row r="60">
          <cell r="C60" t="str">
            <v>PS/Kid-LO</v>
          </cell>
        </row>
        <row r="61">
          <cell r="C61" t="str">
            <v>CUP-F-R</v>
          </cell>
        </row>
        <row r="62">
          <cell r="C62" t="str">
            <v>CUP-F-B</v>
          </cell>
        </row>
        <row r="63">
          <cell r="C63" t="str">
            <v>PS-SE-PLS</v>
          </cell>
        </row>
        <row r="64">
          <cell r="C64" t="str">
            <v>EBUOT-F</v>
          </cell>
        </row>
        <row r="65">
          <cell r="C65" t="str">
            <v>EBUOT-W</v>
          </cell>
        </row>
        <row r="66">
          <cell r="C66" t="str">
            <v>EBUOT-GC</v>
          </cell>
        </row>
        <row r="67">
          <cell r="C67" t="str">
            <v>SCF-CDI</v>
          </cell>
        </row>
        <row r="68">
          <cell r="C68" t="str">
            <v>SN-CFB</v>
          </cell>
        </row>
        <row r="69">
          <cell r="C69" t="str">
            <v>SN-CFW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B1" t="str">
            <v>Dưới 30</v>
          </cell>
          <cell r="D1" t="str">
            <v>Nam</v>
          </cell>
        </row>
        <row r="2">
          <cell r="B2" t="str">
            <v>Từ 30 - 50</v>
          </cell>
          <cell r="D2" t="str">
            <v>Nữ</v>
          </cell>
        </row>
        <row r="3">
          <cell r="B3" t="str">
            <v>Trên 50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list"/>
      <sheetName val="QA"/>
      <sheetName val="Sheet1"/>
    </sheetNames>
    <sheetDataSet>
      <sheetData sheetId="0">
        <row r="2">
          <cell r="A2" t="str">
            <v>20065713</v>
          </cell>
          <cell r="B2" t="str">
            <v>CLOSE UP T/P MENTHOLL CHILL KH 36X200g</v>
          </cell>
        </row>
        <row r="3">
          <cell r="A3" t="str">
            <v>20076530</v>
          </cell>
          <cell r="B3" t="str">
            <v>CLOSE UP TOOTHPASTE MTC KH 12X12X40g</v>
          </cell>
        </row>
        <row r="4">
          <cell r="A4" t="str">
            <v>20100229</v>
          </cell>
          <cell r="B4" t="str">
            <v>CLOSE UP TOOTHPASTE CRY FRO 12x6x160g</v>
          </cell>
        </row>
        <row r="5">
          <cell r="A5" t="str">
            <v>20100232</v>
          </cell>
          <cell r="B5" t="str">
            <v>FG CU T/P CRY FRO TW12x6x160g</v>
          </cell>
        </row>
        <row r="6">
          <cell r="A6" t="str">
            <v>20101270</v>
          </cell>
          <cell r="B6" t="str">
            <v>P/S TOOTHPASTE ADVANTICA MONGOLIA120X45g</v>
          </cell>
        </row>
        <row r="7">
          <cell r="A7" t="str">
            <v>20103105</v>
          </cell>
          <cell r="B7" t="str">
            <v>P/S TOOTHPASTE BAO MONGOLIA PACK100X130g</v>
          </cell>
        </row>
        <row r="8">
          <cell r="A8" t="str">
            <v>20104356</v>
          </cell>
          <cell r="B8" t="str">
            <v>CLOSE UP TOOTHPASTE MILK P.12x12x35g</v>
          </cell>
        </row>
        <row r="9">
          <cell r="A9" t="str">
            <v>20104358</v>
          </cell>
          <cell r="B9" t="str">
            <v>FG CU T/P MILK 160G P12x6   -N</v>
          </cell>
        </row>
        <row r="10">
          <cell r="A10" t="str">
            <v>20104359</v>
          </cell>
          <cell r="B10" t="str">
            <v>FG CU T/P MILK TW 160G P12x3-N</v>
          </cell>
        </row>
        <row r="11">
          <cell r="A11" t="str">
            <v>20105825</v>
          </cell>
          <cell r="B11" t="str">
            <v>P/S TOOTHPASTE E-SALT MONGOLIA 60X125g</v>
          </cell>
        </row>
        <row r="12">
          <cell r="A12" t="str">
            <v>20106699</v>
          </cell>
          <cell r="B12" t="str">
            <v>FG CU T/P MTC 12G P15x48    -N</v>
          </cell>
        </row>
        <row r="13">
          <cell r="A13" t="str">
            <v>20106700</v>
          </cell>
          <cell r="B13" t="str">
            <v>FG CU T/P MTC 18G P24x12    -N</v>
          </cell>
        </row>
        <row r="14">
          <cell r="A14" t="str">
            <v>20106749</v>
          </cell>
          <cell r="B14" t="str">
            <v>CLOSE UP TOOTHPASTE MTC 12x6x160g</v>
          </cell>
        </row>
        <row r="15">
          <cell r="A15" t="str">
            <v>20106751</v>
          </cell>
          <cell r="B15" t="str">
            <v>CLOSE UP TOOTHPASTE MTC TWIN 12x3x160g</v>
          </cell>
        </row>
        <row r="16">
          <cell r="A16" t="str">
            <v>64003109</v>
          </cell>
          <cell r="B16" t="str">
            <v>P/S TOOTHPASTE TRIPLE WHITE 36x200g</v>
          </cell>
        </row>
        <row r="17">
          <cell r="A17" t="str">
            <v>64003111</v>
          </cell>
          <cell r="B17" t="str">
            <v>P/S TOOTHPASTE TRIPLE WHT P0208 36x200g</v>
          </cell>
        </row>
        <row r="18">
          <cell r="A18" t="str">
            <v>64003117</v>
          </cell>
          <cell r="B18" t="str">
            <v>P/S TOOTHPASTE TRIPLE WHT P0310 36x200g</v>
          </cell>
        </row>
        <row r="19">
          <cell r="A19" t="str">
            <v>64003129</v>
          </cell>
          <cell r="B19" t="str">
            <v>P/S TOOTHPASTE COMPLETE 12 P0107 36x200g</v>
          </cell>
        </row>
        <row r="20">
          <cell r="A20" t="str">
            <v>64003130</v>
          </cell>
          <cell r="B20" t="str">
            <v>P/S TOOTHPASTE COMPLETE 12 P0208 36x200g</v>
          </cell>
        </row>
        <row r="21">
          <cell r="A21" t="str">
            <v>64003134</v>
          </cell>
          <cell r="B21" t="str">
            <v>P/S TOOTHPASTE COMPLETE 8 60x150g</v>
          </cell>
        </row>
        <row r="22">
          <cell r="A22" t="str">
            <v>64003135</v>
          </cell>
          <cell r="B22" t="str">
            <v>P/S TOOTHPASTE COMPLETE 8 60x70g</v>
          </cell>
        </row>
        <row r="23">
          <cell r="A23" t="str">
            <v>64003217</v>
          </cell>
          <cell r="B23" t="str">
            <v>CLOSE UP TOOTHPASTE GRN SAMPLE 260x30g</v>
          </cell>
        </row>
        <row r="24">
          <cell r="A24" t="str">
            <v>64003227</v>
          </cell>
          <cell r="B24" t="str">
            <v>CLOSE UP TOOTHPASTE GRN P0108 60x150g</v>
          </cell>
        </row>
        <row r="25">
          <cell r="A25" t="str">
            <v>64003229</v>
          </cell>
          <cell r="B25" t="str">
            <v>CLOSE UP TOOTHPASTE GRN P0108 36x220g</v>
          </cell>
        </row>
        <row r="26">
          <cell r="A26" t="str">
            <v>64003241</v>
          </cell>
          <cell r="B26" t="str">
            <v>CLOSE UP TOOTHPASTE GRN TEMPO 60x150g</v>
          </cell>
        </row>
        <row r="27">
          <cell r="A27" t="str">
            <v>64003242</v>
          </cell>
          <cell r="B27" t="str">
            <v>CLOSE UP TOOTHPASTE GRN TEMPO 36x220g</v>
          </cell>
        </row>
        <row r="28">
          <cell r="A28" t="str">
            <v>64003243</v>
          </cell>
          <cell r="B28" t="str">
            <v>CLOSE UP TH PST GRN RE0109 60x150g</v>
          </cell>
        </row>
        <row r="29">
          <cell r="A29" t="str">
            <v>64003245</v>
          </cell>
          <cell r="B29" t="str">
            <v>CLOSE UP TOOTHPASTE GRN R0109 36x220g</v>
          </cell>
        </row>
        <row r="30">
          <cell r="A30" t="str">
            <v>64003279</v>
          </cell>
          <cell r="B30" t="str">
            <v>CLOSE UP TH PST WHTNG RE0109 60x150g</v>
          </cell>
        </row>
        <row r="31">
          <cell r="A31" t="str">
            <v>64003285</v>
          </cell>
          <cell r="B31" t="str">
            <v>CLOSE UP TP WHT 60(1+SAMPLE)x150g/18g</v>
          </cell>
        </row>
        <row r="32">
          <cell r="A32" t="str">
            <v>64003287</v>
          </cell>
          <cell r="B32" t="str">
            <v>CLOSE UP TP WHT 36(1+SAMPLE)x220g/30g</v>
          </cell>
        </row>
        <row r="33">
          <cell r="A33" t="str">
            <v>64003291</v>
          </cell>
          <cell r="B33" t="str">
            <v>CLOSE UP TOOTHPASTE GRN SAMPLE 600x18g</v>
          </cell>
        </row>
        <row r="34">
          <cell r="A34" t="str">
            <v>64003292</v>
          </cell>
          <cell r="B34" t="str">
            <v>CLOSE UP TOOTHPASTE GRN SAMPLE 350x30g</v>
          </cell>
        </row>
        <row r="35">
          <cell r="A35" t="str">
            <v>64003293</v>
          </cell>
          <cell r="B35" t="str">
            <v>CLOSE UP TP GRN 60(1+SAMPLE)x150g/18g</v>
          </cell>
        </row>
        <row r="36">
          <cell r="A36" t="str">
            <v>64003295</v>
          </cell>
          <cell r="B36" t="str">
            <v>CLOSE UP TP GRN 36(1+SAMPLE)x220g/30g</v>
          </cell>
        </row>
        <row r="37">
          <cell r="A37" t="str">
            <v>64003297</v>
          </cell>
          <cell r="B37" t="str">
            <v>CLOSE UP TH PST GRN 36x220g</v>
          </cell>
        </row>
        <row r="38">
          <cell r="A38" t="str">
            <v>64003304</v>
          </cell>
          <cell r="B38" t="str">
            <v>CLOSE UP TH PST GRN 60(1+CARD)x150g</v>
          </cell>
        </row>
        <row r="39">
          <cell r="A39" t="str">
            <v>64003306</v>
          </cell>
          <cell r="B39" t="str">
            <v>CLOSE UP TH PST GRN 36(1+CARD)x220g</v>
          </cell>
        </row>
        <row r="40">
          <cell r="A40" t="str">
            <v>64003319</v>
          </cell>
          <cell r="B40" t="str">
            <v>CLOSE UP TH PST WHTNG 36x220g</v>
          </cell>
        </row>
        <row r="41">
          <cell r="A41" t="str">
            <v>64003326</v>
          </cell>
          <cell r="B41" t="str">
            <v>CLOSE UP TH PST WHTNG 60(1+CARD)x150g</v>
          </cell>
        </row>
        <row r="42">
          <cell r="A42" t="str">
            <v>64003327</v>
          </cell>
          <cell r="B42" t="str">
            <v>CLOSE UP TH PST WHTNG 36(1+CARD)x220g</v>
          </cell>
        </row>
        <row r="43">
          <cell r="A43" t="str">
            <v>64004868</v>
          </cell>
          <cell r="B43" t="str">
            <v>PEPSODENT TOOTHPASTE CMPLT 12 72x100ml</v>
          </cell>
        </row>
        <row r="44">
          <cell r="A44" t="str">
            <v>64004869</v>
          </cell>
          <cell r="B44" t="str">
            <v>PEPSODENT TOOTHPASTE CMPLT 12 240x10ml</v>
          </cell>
        </row>
        <row r="45">
          <cell r="A45" t="str">
            <v>64004870</v>
          </cell>
          <cell r="B45" t="str">
            <v>CLOSE UP TOOTHPASTE RED HOT 72x125ml</v>
          </cell>
        </row>
        <row r="46">
          <cell r="A46" t="str">
            <v>64004871</v>
          </cell>
          <cell r="B46" t="str">
            <v>CLOSE UP CMPLT 8 ACTNS 72x125ml</v>
          </cell>
        </row>
        <row r="47">
          <cell r="A47" t="str">
            <v>64004872</v>
          </cell>
          <cell r="B47" t="str">
            <v>CLOSE UP CMPLT 8 ACTNS WHT 72x125ml</v>
          </cell>
        </row>
        <row r="48">
          <cell r="A48" t="str">
            <v>64004873</v>
          </cell>
          <cell r="B48" t="str">
            <v>CLOSE UP TOOTHPASTE RED HOT 240x8ml</v>
          </cell>
        </row>
        <row r="49">
          <cell r="A49" t="str">
            <v>64004877</v>
          </cell>
          <cell r="B49" t="str">
            <v>CLOSE UP TOOTHPASTE BLUE MTR 60x100g</v>
          </cell>
        </row>
        <row r="50">
          <cell r="A50" t="str">
            <v>64004878</v>
          </cell>
          <cell r="B50" t="str">
            <v>CLOSE UP TOOTHPASTE BLUE (OLD) 60x160g</v>
          </cell>
        </row>
        <row r="51">
          <cell r="A51" t="str">
            <v>64004879</v>
          </cell>
          <cell r="B51" t="str">
            <v>CLOSE UP TOOTHPASTE MINT (OLD) 60x160g</v>
          </cell>
        </row>
        <row r="52">
          <cell r="A52" t="str">
            <v>64004880</v>
          </cell>
          <cell r="B52" t="str">
            <v>CLOSE UP TOOTHPASTE BLUE (KR) 280x35g</v>
          </cell>
        </row>
        <row r="53">
          <cell r="A53" t="str">
            <v>64004881</v>
          </cell>
          <cell r="B53" t="str">
            <v>CLOSE UP TOOTHPASTE BLUE (OLD) 60x100g</v>
          </cell>
        </row>
        <row r="54">
          <cell r="A54" t="str">
            <v>64004882</v>
          </cell>
          <cell r="B54" t="str">
            <v>CLOSE UP TOOTHPASTE BLUE 280x35g</v>
          </cell>
        </row>
        <row r="55">
          <cell r="A55" t="str">
            <v>64004883</v>
          </cell>
          <cell r="B55" t="str">
            <v>CLOSE UP TOOTHPASTE BLUE 60x100g</v>
          </cell>
        </row>
        <row r="56">
          <cell r="A56" t="str">
            <v>64004884</v>
          </cell>
          <cell r="B56" t="str">
            <v>CLOSE UP TOOTHPASTE BLUE BIGGER 60x100g</v>
          </cell>
        </row>
        <row r="57">
          <cell r="A57" t="str">
            <v>64004885</v>
          </cell>
          <cell r="B57" t="str">
            <v>CLOSE UP TOOTHPASTE BLUE (KR) 60x160g</v>
          </cell>
        </row>
        <row r="58">
          <cell r="A58" t="str">
            <v>64004886</v>
          </cell>
          <cell r="B58" t="str">
            <v xml:space="preserve">CUP MENTHOL COOL 160G (Korea)               </v>
          </cell>
        </row>
        <row r="59">
          <cell r="A59" t="str">
            <v>64004887</v>
          </cell>
          <cell r="B59" t="str">
            <v>CLOSE UP TOOTHPASTE CLCM NTRNT 72x75g</v>
          </cell>
        </row>
        <row r="60">
          <cell r="A60" t="str">
            <v>64004888</v>
          </cell>
          <cell r="B60" t="str">
            <v>CLOSE UP TOOTHPASTE CLCM NTRNT 60x130g</v>
          </cell>
        </row>
        <row r="61">
          <cell r="A61" t="str">
            <v>64019613</v>
          </cell>
          <cell r="B61" t="str">
            <v>PEPSODENT TOOTHPASTE CMPLT 12 72x50ml</v>
          </cell>
        </row>
        <row r="62">
          <cell r="A62" t="str">
            <v>64019727</v>
          </cell>
          <cell r="B62" t="str">
            <v>CLOSE UP TOOTHPASTE RED HOT 72x50ml</v>
          </cell>
        </row>
        <row r="63">
          <cell r="A63" t="str">
            <v>64019728</v>
          </cell>
          <cell r="B63" t="str">
            <v>PEPSODENT TOOTHPASTE STD 288x18g</v>
          </cell>
        </row>
        <row r="64">
          <cell r="A64" t="str">
            <v>64021206</v>
          </cell>
          <cell r="B64" t="str">
            <v>P/S TOOTHPASTE COMPLETE 8 120x20g</v>
          </cell>
        </row>
        <row r="65">
          <cell r="A65" t="str">
            <v>64021207</v>
          </cell>
          <cell r="B65" t="str">
            <v>CLOSE UP TP BLUE AW0111 BIGGER 60x100g</v>
          </cell>
        </row>
        <row r="66">
          <cell r="A66" t="str">
            <v>64023059</v>
          </cell>
          <cell r="B66" t="str">
            <v>CLOSE-UP TOOTHPASTE MINT 60x100g</v>
          </cell>
        </row>
        <row r="67">
          <cell r="A67" t="str">
            <v>64024976</v>
          </cell>
          <cell r="B67" t="str">
            <v>P/S TP TRIPLE WHITE P0510 36x200g</v>
          </cell>
        </row>
        <row r="68">
          <cell r="A68" t="str">
            <v>66812092</v>
          </cell>
          <cell r="B68" t="str">
            <v>PEPSODENT TOOTHPASTE U2 12x6x160G(KH)</v>
          </cell>
        </row>
        <row r="69">
          <cell r="A69" t="str">
            <v>66812094</v>
          </cell>
          <cell r="B69" t="str">
            <v>PEPSODENT TOOTHPASTE U2 12x12x40G(KH)</v>
          </cell>
        </row>
        <row r="70">
          <cell r="A70" t="str">
            <v>66818970</v>
          </cell>
          <cell r="B70" t="str">
            <v>CLOSE UP TOOTHPASTE CRY FRO 12x12x30g</v>
          </cell>
        </row>
        <row r="71">
          <cell r="A71" t="str">
            <v>66818971</v>
          </cell>
          <cell r="B71" t="str">
            <v>FG CU T/P CRY FRO 75G P12x6 -N</v>
          </cell>
        </row>
        <row r="72">
          <cell r="A72" t="str">
            <v>66818973</v>
          </cell>
          <cell r="B72" t="str">
            <v>FG CU T/P MILK 75G P12x6    -N</v>
          </cell>
        </row>
        <row r="73">
          <cell r="A73" t="str">
            <v>66818974</v>
          </cell>
          <cell r="B73" t="str">
            <v>FG CU T/P MTC 30G P12x12    -N</v>
          </cell>
        </row>
        <row r="74">
          <cell r="A74" t="str">
            <v>66818975</v>
          </cell>
          <cell r="B74" t="str">
            <v>FG CU T/P MTC 75G P12x6     -N</v>
          </cell>
        </row>
        <row r="75">
          <cell r="A75" t="str">
            <v>66821470</v>
          </cell>
          <cell r="B75" t="str">
            <v>CLOSE UP TOOTHPASTE MTC 12x6x160G(KH)</v>
          </cell>
        </row>
        <row r="76">
          <cell r="A76" t="str">
            <v>66821471</v>
          </cell>
          <cell r="B76" t="str">
            <v>CLOSE UP TOOTHPASTE MTC 24x12x18G(KH)</v>
          </cell>
        </row>
        <row r="77">
          <cell r="A77" t="str">
            <v>66821472</v>
          </cell>
          <cell r="B77" t="str">
            <v>CLOSE UP TOOTHPASTE MTC 12x12x35G(KH)</v>
          </cell>
        </row>
        <row r="78">
          <cell r="A78" t="str">
            <v>20237733</v>
          </cell>
          <cell r="B78" t="str">
            <v>CLOSE UP TP MILK CACIUM NUTRIENT 72x75g</v>
          </cell>
        </row>
        <row r="79">
          <cell r="A79" t="str">
            <v>20237735</v>
          </cell>
          <cell r="B79" t="str">
            <v>CLOSE UP TP MILK CACIUM NUTRIENT 60x130g</v>
          </cell>
        </row>
        <row r="80">
          <cell r="A80" t="str">
            <v>20238217</v>
          </cell>
          <cell r="B80" t="str">
            <v>PEPSODENT TP CAVITY FIGHTER 240x10ml</v>
          </cell>
        </row>
        <row r="81">
          <cell r="A81" t="str">
            <v>20238218</v>
          </cell>
          <cell r="B81" t="str">
            <v>PEPSODENT TP CAVITY FIGHTER 72x50ml</v>
          </cell>
        </row>
        <row r="82">
          <cell r="A82" t="str">
            <v>20238219</v>
          </cell>
          <cell r="B82" t="str">
            <v>PEPSODENT TP CAVITY FIGHTER 72x100ml</v>
          </cell>
        </row>
        <row r="83">
          <cell r="A83" t="str">
            <v>20237864</v>
          </cell>
          <cell r="B83" t="str">
            <v>CLOSE UP TOOTHPASTE WHITE NOW 54x100G</v>
          </cell>
        </row>
        <row r="84">
          <cell r="A84" t="str">
            <v>64021207</v>
          </cell>
          <cell r="B84" t="str">
            <v>CLOSE UP TP BLUE AW0111 BIGGER 60x100g</v>
          </cell>
        </row>
        <row r="85">
          <cell r="A85" t="str">
            <v>20240863</v>
          </cell>
          <cell r="B85" t="str">
            <v>PEPSODENT COMPLETE 8 ACTION WHITE 72x100ml</v>
          </cell>
        </row>
        <row r="86">
          <cell r="A86" t="str">
            <v>20288110</v>
          </cell>
          <cell r="B86" t="str">
            <v>PEPSODENT TP CAVITY FIGHTER PROMOTION 36x150ml</v>
          </cell>
        </row>
        <row r="87">
          <cell r="A87" t="str">
            <v>20288113</v>
          </cell>
          <cell r="B87" t="str">
            <v>PEPSODENT TP GREENTEA PROMOTION 36x150ml</v>
          </cell>
        </row>
        <row r="88">
          <cell r="A88" t="str">
            <v>20288108</v>
          </cell>
          <cell r="B88" t="str">
            <v>PEPSODENT TP CAVITY FIGHTER (SA) 72x100ml</v>
          </cell>
        </row>
        <row r="89">
          <cell r="A89" t="str">
            <v>20288111</v>
          </cell>
          <cell r="B89" t="str">
            <v>PEPSODENT TP GREENTEA 72x100ml</v>
          </cell>
        </row>
        <row r="90">
          <cell r="B90" t="str">
            <v>PEPSODENT TP GREENTEA PROMOTION 36x150ml</v>
          </cell>
        </row>
        <row r="91">
          <cell r="A91" t="str">
            <v>20240847</v>
          </cell>
          <cell r="B91" t="str">
            <v>Pepsodent COMPLETE 8 ACTION 72x100ml</v>
          </cell>
        </row>
        <row r="92">
          <cell r="A92" t="str">
            <v>20240848</v>
          </cell>
        </row>
        <row r="93">
          <cell r="A93" t="str">
            <v>21014503</v>
          </cell>
          <cell r="B93" t="str">
            <v>CLOSE UP TP RED HOT DEEP ACTION (SAF) 72x125g</v>
          </cell>
        </row>
        <row r="94">
          <cell r="A94" t="str">
            <v>21014504</v>
          </cell>
          <cell r="B94" t="str">
            <v>CLOSE UP TP COOL BREEZE DA (SAF) 72x125g</v>
          </cell>
        </row>
        <row r="95">
          <cell r="A95" t="str">
            <v>20290069</v>
          </cell>
          <cell r="B95" t="str">
            <v xml:space="preserve">CUP TP FIRE FREEZE 72x125G                                       </v>
          </cell>
        </row>
        <row r="96">
          <cell r="A96" t="str">
            <v>20290141</v>
          </cell>
          <cell r="B96" t="str">
            <v>CUP TP RED HOT DEEP ACTION( Ghana) 72x160G</v>
          </cell>
        </row>
        <row r="97">
          <cell r="A97" t="str">
            <v>20290390</v>
          </cell>
          <cell r="B97" t="str">
            <v xml:space="preserve">PEPSODENT TP COMPLETE 8 ACT 72x100ML             </v>
          </cell>
        </row>
        <row r="98">
          <cell r="A98" t="str">
            <v>20290147</v>
          </cell>
          <cell r="B98" t="str">
            <v>CLOSE UP TP MENTHOL FRESH DA 72x160g</v>
          </cell>
        </row>
        <row r="99">
          <cell r="A99" t="str">
            <v>20289807</v>
          </cell>
          <cell r="B99" t="str">
            <v>PEPSODENT TP COMPLETE 8 ACT WH 72x100ml</v>
          </cell>
        </row>
        <row r="100">
          <cell r="A100" t="str">
            <v>21009570</v>
          </cell>
          <cell r="B100" t="str">
            <v xml:space="preserve">CUP TP DEEP ACTION P12x12x30G                   </v>
          </cell>
        </row>
        <row r="101">
          <cell r="A101" t="str">
            <v>21009569</v>
          </cell>
          <cell r="B101" t="str">
            <v xml:space="preserve">CUP TP DEEP ACTION P12x6x75G                     </v>
          </cell>
        </row>
        <row r="102">
          <cell r="A102" t="str">
            <v>21009568</v>
          </cell>
          <cell r="B102" t="str">
            <v xml:space="preserve">CUP TP DEEP ACTION P12x6x160G                   </v>
          </cell>
        </row>
        <row r="103">
          <cell r="A103" t="str">
            <v>21009567</v>
          </cell>
          <cell r="B103" t="str">
            <v xml:space="preserve">CUP TP DEEP ACTION TWIN P12x3x160G        </v>
          </cell>
        </row>
        <row r="104">
          <cell r="A104" t="str">
            <v>21009607</v>
          </cell>
          <cell r="B104" t="str">
            <v xml:space="preserve">CUP TP ICY WHITE P12x6x160G                            </v>
          </cell>
        </row>
        <row r="105">
          <cell r="A105" t="str">
            <v>21009606</v>
          </cell>
          <cell r="B105" t="str">
            <v xml:space="preserve">CUP TP ICY WHITE TWIN P12x3x160G                  </v>
          </cell>
        </row>
        <row r="106">
          <cell r="A106" t="str">
            <v>21013491</v>
          </cell>
          <cell r="B106" t="str">
            <v xml:space="preserve">PEPSODENT CAVITY FIGHTER 240x15G                   </v>
          </cell>
        </row>
        <row r="107">
          <cell r="A107" t="str">
            <v>20289954</v>
          </cell>
          <cell r="B107" t="str">
            <v xml:space="preserve">PEPSODENT CAVITY FIGHTER 120 x35G                  </v>
          </cell>
        </row>
        <row r="108">
          <cell r="A108" t="str">
            <v>20289955</v>
          </cell>
          <cell r="B108" t="str">
            <v xml:space="preserve">PEPSODENT CAVITY FIGHTER 72x65G                    </v>
          </cell>
        </row>
        <row r="109">
          <cell r="A109" t="str">
            <v>20289956</v>
          </cell>
          <cell r="B109" t="str">
            <v>PEPSODENT CAVITY FIGHTER 72x175G                   </v>
          </cell>
        </row>
        <row r="110">
          <cell r="A110" t="str">
            <v>20290143</v>
          </cell>
          <cell r="B110" t="str">
            <v>CUP TP RED HOT DEEP ACTION (Ghana) 72x60G</v>
          </cell>
        </row>
        <row r="111">
          <cell r="A111" t="str">
            <v>20290145</v>
          </cell>
          <cell r="B111" t="str">
            <v xml:space="preserve">CUP TP RED HOT DEEP ACTION(Ghana) 240x10G                   </v>
          </cell>
        </row>
        <row r="112">
          <cell r="A112" t="str">
            <v>20290149</v>
          </cell>
          <cell r="B112" t="str">
            <v>CUP MENTHOL FRESH DEEP ACTION (Ghana)72x60G            </v>
          </cell>
        </row>
        <row r="113">
          <cell r="A113" t="str">
            <v>20290150</v>
          </cell>
          <cell r="B113" t="str">
            <v xml:space="preserve">CUP MENTHOL FRESH DEEP ACTION(Ghana) 120x30G          </v>
          </cell>
        </row>
        <row r="114">
          <cell r="A114" t="str">
            <v>20290151</v>
          </cell>
          <cell r="B114" t="str">
            <v xml:space="preserve">CUP MENTHOL FRESH DEEP ACTION(Ghana) 240x10G          </v>
          </cell>
        </row>
        <row r="115">
          <cell r="A115" t="str">
            <v>20290148</v>
          </cell>
          <cell r="B115" t="str">
            <v xml:space="preserve">CUP MENTHOL FRESH DEEP ACTION(Ghana) 72x125G          </v>
          </cell>
        </row>
        <row r="116">
          <cell r="A116" t="str">
            <v>20290144</v>
          </cell>
          <cell r="B116" t="str">
            <v>CUP TP RED HOT DEEP ACTION (Ghana) 120x30G</v>
          </cell>
        </row>
        <row r="117">
          <cell r="A117" t="str">
            <v>64004882</v>
          </cell>
          <cell r="B117" t="str">
            <v>CLOSE UP TOOTHPASTE BLUE 280x35g</v>
          </cell>
        </row>
        <row r="118">
          <cell r="A118" t="str">
            <v>21016054</v>
          </cell>
          <cell r="B118" t="str">
            <v>PEPSODENT CAVITY FIGHTER PRO 36x200G                 </v>
          </cell>
        </row>
        <row r="119">
          <cell r="A119" t="str">
            <v>20290142</v>
          </cell>
          <cell r="B119" t="str">
            <v>CUP RED HOT DEEP ACT 72x125G ( Kenya )</v>
          </cell>
        </row>
        <row r="120">
          <cell r="A120" t="str">
            <v>21016320</v>
          </cell>
          <cell r="B120" t="str">
            <v>PEPSODENT TP APPLE(UNI) 72x50ML</v>
          </cell>
        </row>
        <row r="121">
          <cell r="A121">
            <v>21016321</v>
          </cell>
          <cell r="B121" t="str">
            <v>[Unica] PEPSODENT TP APPLE(UNI) 72x100ML</v>
          </cell>
        </row>
        <row r="122">
          <cell r="A122" t="str">
            <v>21016325</v>
          </cell>
          <cell r="B122" t="str">
            <v>PEPSODENT TP CAVITY FIGHTER(UNI)72x100ML</v>
          </cell>
        </row>
        <row r="123">
          <cell r="A123" t="str">
            <v>21016323</v>
          </cell>
          <cell r="B123" t="str">
            <v>PEPSODENT TP SPEARMINT(UNI) 72x100ML</v>
          </cell>
        </row>
        <row r="124">
          <cell r="A124" t="str">
            <v>21016324</v>
          </cell>
          <cell r="B124" t="str">
            <v>PEPSODENT TP CAVITY FIGHTER(UNI)72x50ML</v>
          </cell>
        </row>
        <row r="125">
          <cell r="A125" t="str">
            <v>21016322</v>
          </cell>
          <cell r="B125" t="str">
            <v>PEPSODENT TP SPEARMINT(UNI) 72x50ML</v>
          </cell>
        </row>
        <row r="126">
          <cell r="A126">
            <v>21041698</v>
          </cell>
          <cell r="B126" t="str">
            <v>SIGNAL TP CAVITY FIGHTER 72x160g</v>
          </cell>
        </row>
        <row r="127">
          <cell r="A127" t="str">
            <v>21041697</v>
          </cell>
          <cell r="B127" t="str">
            <v xml:space="preserve">SIGNAL TP CAVITY FIGHTER 72x75G </v>
          </cell>
        </row>
        <row r="128">
          <cell r="A128">
            <v>20288107</v>
          </cell>
          <cell r="B128" t="str">
            <v>[SOUTH AFRICA] PEPSODENT TP CAVITY FIGHTER 72x50ML</v>
          </cell>
        </row>
        <row r="129">
          <cell r="A129" t="str">
            <v>20288114</v>
          </cell>
          <cell r="B129" t="str">
            <v>PEPSODENT TP COMLETE 8 ACT 72x100ML ( SA )</v>
          </cell>
        </row>
        <row r="130">
          <cell r="A130">
            <v>20288115</v>
          </cell>
          <cell r="B130" t="str">
            <v>PEPSODENT TP COMPLETE 8 WHITE 72x100ml( SA)</v>
          </cell>
        </row>
        <row r="131">
          <cell r="A131">
            <v>21045882</v>
          </cell>
          <cell r="B131" t="str">
            <v xml:space="preserve">  CUP TP WHITE NOW  IC MINT 54x100G</v>
          </cell>
        </row>
        <row r="132">
          <cell r="A132">
            <v>21032577</v>
          </cell>
          <cell r="B132" t="str">
            <v>[Cambodia] CLOSE UP TP DA MENTHOL FRESH 144x40g</v>
          </cell>
        </row>
        <row r="133">
          <cell r="A133">
            <v>21032579</v>
          </cell>
          <cell r="B133" t="str">
            <v>[Cambodia] CLOSE UP TP DEEP ACTION RED HOT 144x40g</v>
          </cell>
        </row>
        <row r="134">
          <cell r="A134">
            <v>21032580</v>
          </cell>
          <cell r="B134" t="str">
            <v>[Cambodia] CLOSE UP TP DEEP ACTION RED HOT  160G/72</v>
          </cell>
        </row>
        <row r="135">
          <cell r="A135">
            <v>21020224</v>
          </cell>
          <cell r="B135" t="str">
            <v xml:space="preserve">[ IRAN ] CLOSE UP TP MENTHOIL CHILL ( IR ) 72x60G </v>
          </cell>
        </row>
        <row r="136">
          <cell r="A136">
            <v>21020230</v>
          </cell>
          <cell r="B136" t="str">
            <v xml:space="preserve">[IRAN ] CLOSE UP TPCRYSTAL FROST WB ( IR ) 72x60G </v>
          </cell>
        </row>
        <row r="137">
          <cell r="A137">
            <v>21020228</v>
          </cell>
          <cell r="B137" t="str">
            <v xml:space="preserve">[ IRAN ] CLOSE UP CRYSTAL FROST MB ( IR ) 72x 60G </v>
          </cell>
        </row>
        <row r="138">
          <cell r="A138">
            <v>21020222</v>
          </cell>
          <cell r="B138" t="str">
            <v>[ IRAN ] CLOSE UP RED HOT  ( IR )72x60G</v>
          </cell>
        </row>
        <row r="139">
          <cell r="A139">
            <v>21020226</v>
          </cell>
          <cell r="B139" t="str">
            <v xml:space="preserve">[ IRAN ] CLOSE UP TP LEMON MINT  ( IR ) 72x 60G </v>
          </cell>
        </row>
        <row r="140">
          <cell r="A140" t="str">
            <v>21020223</v>
          </cell>
          <cell r="B140" t="str">
            <v>[ IRAN ] CLOSE UP RED HOT  ( IR )72 x 125G</v>
          </cell>
        </row>
        <row r="141">
          <cell r="A141">
            <v>21020227</v>
          </cell>
          <cell r="B141" t="str">
            <v xml:space="preserve">[ IRAN ] CLOSE UP TP LEMON MINT  ( IR ) 72x 125G </v>
          </cell>
        </row>
        <row r="142">
          <cell r="A142">
            <v>21020225</v>
          </cell>
          <cell r="B142" t="str">
            <v xml:space="preserve">[ IRAN ] CLOSE UP TP MENTHOIL CHILL ( IR ) 72x125G </v>
          </cell>
        </row>
        <row r="143">
          <cell r="A143">
            <v>21020229</v>
          </cell>
          <cell r="B143" t="str">
            <v xml:space="preserve">[ IRAN ] CLOSE UP CRYSTAL FROST MB ( IR ) 72x 125G </v>
          </cell>
        </row>
        <row r="144">
          <cell r="A144">
            <v>21020231</v>
          </cell>
          <cell r="B144" t="str">
            <v>[IRAN ] CLOSE UP TPCRYSTAL FROST WB ( IR )72x125G</v>
          </cell>
        </row>
        <row r="145">
          <cell r="A145">
            <v>21021519</v>
          </cell>
          <cell r="B145" t="str">
            <v>SIGNAL TP WHITENING 72 x 50 ml</v>
          </cell>
        </row>
        <row r="146">
          <cell r="A146">
            <v>21021520</v>
          </cell>
          <cell r="B146" t="str">
            <v>SIGNAL TP WHITENING 72 x 100 ml</v>
          </cell>
        </row>
        <row r="147">
          <cell r="A147">
            <v>21029671</v>
          </cell>
          <cell r="B147" t="str">
            <v>SIGNAL TP WHITE NOW TRIP POWER542 x 75 ml</v>
          </cell>
        </row>
        <row r="148">
          <cell r="A148">
            <v>21005690</v>
          </cell>
          <cell r="B148" t="str">
            <v>CLOSE UP TP GREEN P0113 36 x 210G</v>
          </cell>
        </row>
        <row r="149">
          <cell r="A149">
            <v>21005694</v>
          </cell>
          <cell r="B149" t="str">
            <v>CLOSE UP TP BLUE P0113 36 x 210G</v>
          </cell>
        </row>
        <row r="150">
          <cell r="A150">
            <v>21021515</v>
          </cell>
          <cell r="B150" t="str">
            <v>SIGNAL TP FIGHTER CAVITY HERBAL 72 x 50 ml</v>
          </cell>
        </row>
        <row r="151">
          <cell r="A151">
            <v>21021516</v>
          </cell>
          <cell r="B151" t="str">
            <v>SIGNAL TP FIGHTER CAVITY HERBAL 72 x 100 ml</v>
          </cell>
        </row>
        <row r="152">
          <cell r="A152">
            <v>21021517</v>
          </cell>
          <cell r="B152" t="str">
            <v xml:space="preserve"> [IRAN ] SIGNAL TP CAVITY FIGHTER APPLE 72 X 50ml</v>
          </cell>
        </row>
        <row r="153">
          <cell r="A153">
            <v>21021518</v>
          </cell>
          <cell r="B153" t="str">
            <v xml:space="preserve"> [IRAN ] SIGNAL TP CAVITY FIGHTER APPLE 72 X 100ml</v>
          </cell>
        </row>
        <row r="154">
          <cell r="A154">
            <v>21021522</v>
          </cell>
          <cell r="B154" t="str">
            <v xml:space="preserve"> [IRAN ] SIGNAL TP COMPLETE 8 WHITE 72 X 100ml</v>
          </cell>
        </row>
        <row r="155">
          <cell r="A155">
            <v>21021521</v>
          </cell>
          <cell r="B155" t="str">
            <v xml:space="preserve"> [IRAN ] SIGNAL TP COMPLETE 8 GOLD 72 X 100ml</v>
          </cell>
        </row>
        <row r="156">
          <cell r="A156">
            <v>21021513</v>
          </cell>
          <cell r="B156" t="str">
            <v xml:space="preserve"> [IRAN ] SIGNAL TP CAVITY FIGHTER  72 X 50ml</v>
          </cell>
        </row>
        <row r="157">
          <cell r="A157" t="str">
            <v>21016936</v>
          </cell>
          <cell r="B157" t="str">
            <v>CLOSE UP TP FIRE FREEZE (IR) 72x125g</v>
          </cell>
        </row>
        <row r="158">
          <cell r="A158">
            <v>21021514</v>
          </cell>
          <cell r="B158" t="str">
            <v xml:space="preserve"> [IRAN ] SIGNAL TP CAVITY FIGHTER  72 X 100ml</v>
          </cell>
        </row>
        <row r="159">
          <cell r="A159">
            <v>21020231</v>
          </cell>
          <cell r="B159" t="str">
            <v>CLOSE UP TP CRYSTAL FROST WB(IR) 72x125g</v>
          </cell>
        </row>
        <row r="160">
          <cell r="A160">
            <v>21091767</v>
          </cell>
          <cell r="B160" t="str">
            <v>SIGNAL TP CAVITY FIGHTER 120X35G</v>
          </cell>
        </row>
        <row r="161">
          <cell r="A161">
            <v>21100948</v>
          </cell>
          <cell r="B161" t="str">
            <v>SIGNAL TP CAVITY FIGHTER 288X20G</v>
          </cell>
        </row>
        <row r="162">
          <cell r="A162">
            <v>21077751</v>
          </cell>
          <cell r="B162" t="str">
            <v>PEPSODENT TOOTHPASTE ACTION123 6x6x250g</v>
          </cell>
        </row>
        <row r="163">
          <cell r="A163">
            <v>21085246</v>
          </cell>
          <cell r="B163" t="str">
            <v>SIGNAL TP TRIP PROTECTION123 ORI 72X160G</v>
          </cell>
        </row>
        <row r="164">
          <cell r="A164">
            <v>21109289</v>
          </cell>
          <cell r="B164" t="str">
            <v>CLOSE UP TP MENTHOL FRESH P12X12X30G</v>
          </cell>
        </row>
        <row r="165">
          <cell r="A165">
            <v>21109290</v>
          </cell>
          <cell r="B165" t="str">
            <v>CLOSE UP TP MENTHOL FRESH P12X 6 X 160G</v>
          </cell>
        </row>
        <row r="166">
          <cell r="A166">
            <v>21109291</v>
          </cell>
          <cell r="B166" t="str">
            <v>CLOSE UP TP MENTHOL FRESH P12X6X75G</v>
          </cell>
        </row>
        <row r="167">
          <cell r="A167">
            <v>21109288</v>
          </cell>
          <cell r="B167" t="str">
            <v>CLOSE UP TP DEEP ACT RED HOT P12X6X75G</v>
          </cell>
        </row>
        <row r="168">
          <cell r="A168">
            <v>21109287</v>
          </cell>
          <cell r="B168" t="str">
            <v xml:space="preserve">CloseUp Deep Action Red Hot 30G P12x12 </v>
          </cell>
        </row>
        <row r="169">
          <cell r="A169">
            <v>21109398</v>
          </cell>
          <cell r="B169" t="str">
            <v>CLOSE UP TP MENTHOL FRESH TW P12X3X160G</v>
          </cell>
        </row>
        <row r="170">
          <cell r="A170">
            <v>21109397</v>
          </cell>
          <cell r="B170" t="str">
            <v>CLOSE UP TP DAT RED HOT TW P12X3X160G</v>
          </cell>
        </row>
        <row r="171">
          <cell r="A171">
            <v>21109286</v>
          </cell>
          <cell r="B171" t="str">
            <v>CLOSE UP TP DAT RED HOT P12X6X160G</v>
          </cell>
        </row>
        <row r="172">
          <cell r="A172">
            <v>21119124</v>
          </cell>
          <cell r="B172" t="str">
            <v>CLOSE UP TP MENTHOL FRESH P12X6X60G</v>
          </cell>
        </row>
        <row r="173">
          <cell r="A173" t="str">
            <v>21016054</v>
          </cell>
          <cell r="B173" t="str">
            <v>PEPSODENT CAVITY FIGHTER PRO 36x200G</v>
          </cell>
        </row>
        <row r="174">
          <cell r="A174">
            <v>21085245</v>
          </cell>
          <cell r="B174" t="str">
            <v xml:space="preserve">SIGNAL TP TRIP PROTECTION123 ORI 72X75G   </v>
          </cell>
        </row>
        <row r="175">
          <cell r="A175">
            <v>21110888</v>
          </cell>
          <cell r="B175" t="str">
            <v>CLOSE UP TP FIRE FREEZE (GAGA) 72X125G</v>
          </cell>
        </row>
        <row r="176">
          <cell r="A176">
            <v>21110896</v>
          </cell>
          <cell r="B176" t="str">
            <v>CLOSE UP TP RED HOT (Gaga) 72x125g</v>
          </cell>
        </row>
        <row r="177">
          <cell r="A177">
            <v>21110898</v>
          </cell>
          <cell r="B177" t="str">
            <v>CLOSE UP TP RED HOT (GAGA) 72X60G</v>
          </cell>
        </row>
        <row r="178">
          <cell r="A178">
            <v>21110894</v>
          </cell>
          <cell r="B178" t="str">
            <v>CLOSE UP TP RED HOT (Gaga) 108x30g</v>
          </cell>
        </row>
        <row r="179">
          <cell r="A179">
            <v>21110891</v>
          </cell>
          <cell r="B179" t="str">
            <v>CLOSE UP TP MENTHOL FRESH (Gaga) 72x125g</v>
          </cell>
        </row>
        <row r="180">
          <cell r="A180">
            <v>21127426</v>
          </cell>
          <cell r="B180" t="str">
            <v>SIGNAL TP TRIP PROTECTION123 ORI 216X30G</v>
          </cell>
        </row>
        <row r="181">
          <cell r="A181" t="str">
            <v>21115915</v>
          </cell>
          <cell r="B181" t="str">
            <v>CLOSE UP DIA ATTRACT-POWER WHITE 36X100G</v>
          </cell>
        </row>
        <row r="182">
          <cell r="A182">
            <v>21128674</v>
          </cell>
          <cell r="B182" t="str">
            <v>CLOSE UP TP RED HOT (GAGA SAF) 72X125G</v>
          </cell>
        </row>
        <row r="183">
          <cell r="A183">
            <v>21128673</v>
          </cell>
          <cell r="B183" t="str">
            <v>CLOSE UP TP COOL BREEZE (Gaga) 72x125g</v>
          </cell>
        </row>
        <row r="184">
          <cell r="A184">
            <v>21157581</v>
          </cell>
          <cell r="B184" t="str">
            <v>CLOSE UP DIA ATTRACT-POWER WHITE 36X50G (Snow)</v>
          </cell>
        </row>
        <row r="185">
          <cell r="A185">
            <v>21110897</v>
          </cell>
          <cell r="B185" t="str">
            <v>CLOSEUP TP DEEP ACTION REDHOT 72X160G</v>
          </cell>
        </row>
        <row r="186">
          <cell r="A186">
            <v>21164051</v>
          </cell>
          <cell r="B186" t="str">
            <v>CLOSE UP MENTHOL FRESH PACK 36X2X145ML</v>
          </cell>
        </row>
        <row r="187">
          <cell r="A187">
            <v>21164050</v>
          </cell>
          <cell r="B187" t="str">
            <v>CLOSE UP MENTHOL FRESH PACK 48X2X95ML</v>
          </cell>
        </row>
        <row r="188">
          <cell r="A188">
            <v>21164049</v>
          </cell>
          <cell r="B188" t="str">
            <v>CLOSE UP RED HOT TWIN 48X2X95ML</v>
          </cell>
        </row>
        <row r="189">
          <cell r="A189">
            <v>21164048</v>
          </cell>
          <cell r="B189" t="str">
            <v>CLOSE UP RED HOT TWIN 36X2X145ML</v>
          </cell>
        </row>
        <row r="190">
          <cell r="A190">
            <v>21091983</v>
          </cell>
          <cell r="B190" t="str">
            <v>PEPSODENT TP CAVITY FIGHTER CORE 72X175G</v>
          </cell>
        </row>
        <row r="191">
          <cell r="A191">
            <v>21137525</v>
          </cell>
          <cell r="B191" t="str">
            <v xml:space="preserve"> CLOSE UP MENTHOL FRESH PH 144X(2X11g)</v>
          </cell>
        </row>
        <row r="192">
          <cell r="A192">
            <v>21091980</v>
          </cell>
          <cell r="B192" t="str">
            <v>PEPSODENT TP CAVITY FIGHTER CORE 240X15G</v>
          </cell>
        </row>
        <row r="193">
          <cell r="A193">
            <v>21091984</v>
          </cell>
          <cell r="B193" t="str">
            <v>PEPSODENT TP CAVITY FIGHTER CORE 72X65G</v>
          </cell>
        </row>
        <row r="194">
          <cell r="A194">
            <v>21091979</v>
          </cell>
          <cell r="B194" t="str">
            <v>PEPSODENT TP CAVITY FIGHTER CORE 108X35G</v>
          </cell>
        </row>
        <row r="195">
          <cell r="A195">
            <v>21091982</v>
          </cell>
          <cell r="B195" t="str">
            <v>PEPSODENT TP CAVITY FIGHTER CORE 72X150G</v>
          </cell>
        </row>
        <row r="196">
          <cell r="A196">
            <v>21161412</v>
          </cell>
          <cell r="B196" t="str">
            <v>CLOSE UP TP DEEP ACTION GREEN 72X140G</v>
          </cell>
        </row>
        <row r="197">
          <cell r="A197">
            <v>21158224</v>
          </cell>
          <cell r="B197" t="str">
            <v xml:space="preserve">PEPSODENT TP TRIP PROTECTION ORI 72X140G </v>
          </cell>
        </row>
        <row r="198">
          <cell r="A198">
            <v>21165013</v>
          </cell>
          <cell r="B198" t="str">
            <v>SIGNAL TP CAVITY FIGHTER 72X150G</v>
          </cell>
        </row>
        <row r="199">
          <cell r="A199" t="str">
            <v>21158224</v>
          </cell>
          <cell r="B199" t="str">
            <v>PEPSODENT TP TRIP PROTECTION ORI 72X140G</v>
          </cell>
        </row>
        <row r="200">
          <cell r="A200">
            <v>21165014</v>
          </cell>
          <cell r="B200" t="str">
            <v>SIGNAL TP CAVITY FIGHTER 108x35G</v>
          </cell>
        </row>
        <row r="201">
          <cell r="A201">
            <v>21165016</v>
          </cell>
          <cell r="B201" t="str">
            <v>SIGNAL TP TRIP PROTECTION ORI 72X140G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GIA"/>
      <sheetName val="TDK"/>
      <sheetName val="NCTY"/>
      <sheetName val="PHIEU GIAO HANG"/>
      <sheetName val="CNTH"/>
      <sheetName val="TONKHO"/>
      <sheetName val="XUAT HOA DON"/>
      <sheetName val="00000000"/>
      <sheetName val="XXXXXXXX"/>
      <sheetName val="CONG NO KHACH HANG"/>
      <sheetName val="THU KH"/>
      <sheetName val="TON DAU HOA DON"/>
      <sheetName val="PGH"/>
    </sheetNames>
    <sheetDataSet>
      <sheetData sheetId="0"/>
      <sheetData sheetId="1"/>
      <sheetData sheetId="2"/>
      <sheetData sheetId="3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to Role Assignment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GIA"/>
      <sheetName val="TDK"/>
      <sheetName val="NCTY"/>
      <sheetName val="PHIEU GIAO HANG"/>
      <sheetName val="CNTH"/>
      <sheetName val="TONKHO"/>
      <sheetName val="XUAT HOA DON"/>
      <sheetName val="00000000"/>
      <sheetName val="XXXXXXXX"/>
      <sheetName val="CONG NO KHACH HANG"/>
      <sheetName val="THU KH"/>
      <sheetName val="TON DAU HOA DON"/>
      <sheetName val="PGH"/>
    </sheetNames>
    <sheetDataSet>
      <sheetData sheetId="0"/>
      <sheetData sheetId="1"/>
      <sheetData sheetId="2"/>
      <sheetData sheetId="3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"/>
      <sheetName val="Critial"/>
      <sheetName val="Fromula"/>
      <sheetName val="Fill"/>
      <sheetName val="Mix"/>
      <sheetName val="Report"/>
    </sheetNames>
    <sheetDataSet>
      <sheetData sheetId="0" refreshError="1"/>
      <sheetData sheetId="1">
        <row r="2">
          <cell r="AG2" t="str">
            <v>PSK-Pin</v>
          </cell>
        </row>
        <row r="3">
          <cell r="AG3" t="str">
            <v>PSSE-ORCHARD</v>
          </cell>
        </row>
        <row r="4">
          <cell r="AG4" t="str">
            <v>PSTW</v>
          </cell>
        </row>
        <row r="5">
          <cell r="AG5" t="str">
            <v>PSGT-T</v>
          </cell>
        </row>
        <row r="6">
          <cell r="AG6" t="str">
            <v xml:space="preserve">PSGT-X </v>
          </cell>
        </row>
        <row r="7">
          <cell r="AG7" t="str">
            <v>CUCA-Opa (Core)</v>
          </cell>
        </row>
        <row r="8">
          <cell r="AG8" t="str">
            <v>CUCA-Gel</v>
          </cell>
        </row>
        <row r="9">
          <cell r="AG9" t="str">
            <v>PS-VITAMIN-ORCHARD</v>
          </cell>
        </row>
        <row r="10">
          <cell r="AG10" t="str">
            <v>PS-LEMON-ORCHARD</v>
          </cell>
        </row>
        <row r="11">
          <cell r="AG11" t="str">
            <v>PS-ANTI BULL</v>
          </cell>
        </row>
        <row r="12">
          <cell r="AG12" t="str">
            <v>MW-GREEN TEA</v>
          </cell>
        </row>
        <row r="13">
          <cell r="AG13" t="str">
            <v>MW-ACTI</v>
          </cell>
        </row>
        <row r="14">
          <cell r="AG14" t="str">
            <v>CUMF-VN</v>
          </cell>
        </row>
        <row r="15">
          <cell r="AG15" t="str">
            <v>CUCF-VN</v>
          </cell>
        </row>
        <row r="16">
          <cell r="AG16" t="str">
            <v>CUP RED-GHANA</v>
          </cell>
        </row>
        <row r="17">
          <cell r="AG17" t="str">
            <v>PEPSODENT-GHANA</v>
          </cell>
        </row>
        <row r="18">
          <cell r="AG18" t="str">
            <v>CUFB-Korea</v>
          </cell>
        </row>
        <row r="19">
          <cell r="AG19" t="str">
            <v>CUFG-Korea</v>
          </cell>
        </row>
        <row r="20">
          <cell r="AG20" t="str">
            <v>PSK-LO</v>
          </cell>
        </row>
        <row r="21">
          <cell r="AG21" t="str">
            <v>PS-PSHB-BLU-ORCHARD</v>
          </cell>
        </row>
        <row r="22">
          <cell r="AG22" t="str">
            <v>PS-PSHB-GEL-ORCHARD</v>
          </cell>
        </row>
        <row r="23">
          <cell r="AG23" t="str">
            <v>CUP COMPLETE 8 ACTION - W-V</v>
          </cell>
        </row>
        <row r="24">
          <cell r="AG24" t="str">
            <v>CUP COMPLETE 8 ACTION -V</v>
          </cell>
        </row>
        <row r="25">
          <cell r="AG25" t="str">
            <v>CUP COMPLETE 8 ACTION - W-X</v>
          </cell>
        </row>
        <row r="26">
          <cell r="AG26" t="str">
            <v>CUP COMPLETE 8 ACTION -X</v>
          </cell>
        </row>
        <row r="27">
          <cell r="AG27" t="str">
            <v>CUP-FIRE-RED</v>
          </cell>
        </row>
        <row r="28">
          <cell r="AG28" t="str">
            <v>CUP-FIRE-BLUE</v>
          </cell>
        </row>
        <row r="29">
          <cell r="AG29" t="str">
            <v>P/S WHITENOW-SHEATH</v>
          </cell>
        </row>
        <row r="30">
          <cell r="AG30" t="str">
            <v>P/S WHITENOW-CORE</v>
          </cell>
        </row>
        <row r="31">
          <cell r="AG31" t="str">
            <v>P/S LEMON FRESH (NIAGARA)</v>
          </cell>
        </row>
        <row r="32">
          <cell r="AG32" t="str">
            <v>ALASKA</v>
          </cell>
        </row>
        <row r="33">
          <cell r="AG33" t="str">
            <v>PEP-BULL</v>
          </cell>
        </row>
        <row r="34">
          <cell r="AG34" t="str">
            <v>PS-SE-PLS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8B16-FECC-490C-A7BF-7AADA372205C}">
  <dimension ref="A1:G34"/>
  <sheetViews>
    <sheetView tabSelected="1" topLeftCell="A17" workbookViewId="0">
      <selection activeCell="J22" sqref="J22"/>
    </sheetView>
  </sheetViews>
  <sheetFormatPr defaultColWidth="9.140625" defaultRowHeight="12.75"/>
  <cols>
    <col min="1" max="1" width="30.5703125" style="2" customWidth="1"/>
    <col min="2" max="2" width="22.7109375" style="2" customWidth="1"/>
    <col min="3" max="3" width="20" style="2" customWidth="1"/>
    <col min="4" max="4" width="29.42578125" style="2" customWidth="1"/>
    <col min="5" max="16384" width="9.140625" style="2"/>
  </cols>
  <sheetData>
    <row r="1" spans="1:5" ht="20.25">
      <c r="A1" s="1" t="s">
        <v>0</v>
      </c>
    </row>
    <row r="2" spans="1:5" ht="57.75">
      <c r="A2" s="3" t="s">
        <v>1</v>
      </c>
      <c r="B2" s="3" t="s">
        <v>2</v>
      </c>
      <c r="C2" s="3"/>
    </row>
    <row r="3" spans="1:5" ht="38.25">
      <c r="A3" s="4" t="s">
        <v>3</v>
      </c>
      <c r="B3" s="4" t="s">
        <v>4</v>
      </c>
      <c r="C3" s="4" t="s">
        <v>5</v>
      </c>
    </row>
    <row r="4" spans="1:5" ht="23.25" customHeight="1">
      <c r="A4" s="5" t="s">
        <v>6</v>
      </c>
      <c r="B4" s="6" t="s">
        <v>7</v>
      </c>
      <c r="C4" s="6" t="s">
        <v>7</v>
      </c>
    </row>
    <row r="5" spans="1:5" ht="23.25" customHeight="1">
      <c r="A5" s="5" t="s">
        <v>8</v>
      </c>
      <c r="B5" s="6">
        <v>9</v>
      </c>
      <c r="C5" s="6" t="s">
        <v>7</v>
      </c>
    </row>
    <row r="6" spans="1:5" ht="23.25" customHeight="1">
      <c r="A6" s="5" t="s">
        <v>9</v>
      </c>
      <c r="B6" s="6" t="s">
        <v>7</v>
      </c>
      <c r="C6" s="6" t="s">
        <v>10</v>
      </c>
      <c r="E6" s="2" t="s">
        <v>11</v>
      </c>
    </row>
    <row r="7" spans="1:5" ht="23.25" customHeight="1">
      <c r="A7" s="5" t="s">
        <v>12</v>
      </c>
      <c r="B7" s="6" t="s">
        <v>10</v>
      </c>
      <c r="C7" s="6" t="s">
        <v>7</v>
      </c>
      <c r="E7" s="2" t="s">
        <v>13</v>
      </c>
    </row>
    <row r="8" spans="1:5" ht="23.25" customHeight="1">
      <c r="A8" s="5" t="s">
        <v>14</v>
      </c>
      <c r="B8" s="6" t="s">
        <v>7</v>
      </c>
      <c r="C8" s="6">
        <v>9</v>
      </c>
      <c r="E8" s="2" t="s">
        <v>15</v>
      </c>
    </row>
    <row r="9" spans="1:5" ht="23.25" customHeight="1">
      <c r="A9" s="5" t="s">
        <v>16</v>
      </c>
      <c r="B9" s="6">
        <v>3</v>
      </c>
      <c r="C9" s="6" t="s">
        <v>7</v>
      </c>
      <c r="E9" s="2" t="s">
        <v>17</v>
      </c>
    </row>
    <row r="10" spans="1:5" ht="23.25" customHeight="1">
      <c r="A10" s="5" t="s">
        <v>18</v>
      </c>
      <c r="B10" s="6" t="s">
        <v>7</v>
      </c>
      <c r="C10" s="6">
        <v>15</v>
      </c>
    </row>
    <row r="11" spans="1:5" ht="23.25" customHeight="1">
      <c r="A11" s="5" t="s">
        <v>19</v>
      </c>
      <c r="B11" s="6" t="s">
        <v>20</v>
      </c>
      <c r="C11" s="6" t="s">
        <v>7</v>
      </c>
    </row>
    <row r="12" spans="1:5" ht="23.25" customHeight="1">
      <c r="A12" s="5" t="s">
        <v>21</v>
      </c>
      <c r="B12" s="6" t="s">
        <v>7</v>
      </c>
      <c r="C12" s="6">
        <v>150</v>
      </c>
    </row>
    <row r="13" spans="1:5" ht="23.25" customHeight="1">
      <c r="A13" s="5" t="s">
        <v>22</v>
      </c>
      <c r="B13" s="6" t="s">
        <v>23</v>
      </c>
      <c r="C13" s="6" t="s">
        <v>7</v>
      </c>
    </row>
    <row r="14" spans="1:5">
      <c r="B14" s="7"/>
      <c r="C14" s="7"/>
    </row>
    <row r="15" spans="1:5">
      <c r="B15" s="7"/>
      <c r="C15" s="7"/>
    </row>
    <row r="17" spans="1:7" ht="81">
      <c r="A17" s="8" t="s">
        <v>24</v>
      </c>
      <c r="B17" s="8" t="s">
        <v>25</v>
      </c>
      <c r="C17" s="8" t="s">
        <v>26</v>
      </c>
      <c r="D17" s="8" t="s">
        <v>27</v>
      </c>
    </row>
    <row r="18" spans="1:7" ht="17.25" customHeight="1">
      <c r="A18" s="8" t="s">
        <v>28</v>
      </c>
      <c r="B18" s="8" t="s">
        <v>29</v>
      </c>
      <c r="C18" s="8" t="s">
        <v>30</v>
      </c>
      <c r="D18" s="8" t="s">
        <v>31</v>
      </c>
    </row>
    <row r="19" spans="1:7" ht="18.75">
      <c r="A19" s="5" t="s">
        <v>32</v>
      </c>
      <c r="B19" s="6" t="s">
        <v>33</v>
      </c>
      <c r="C19" s="6" t="s">
        <v>7</v>
      </c>
      <c r="D19" s="6" t="s">
        <v>7</v>
      </c>
    </row>
    <row r="20" spans="1:7" ht="18.75">
      <c r="A20" s="5" t="s">
        <v>34</v>
      </c>
      <c r="B20" s="6">
        <v>10</v>
      </c>
      <c r="C20" s="9">
        <v>1028</v>
      </c>
      <c r="D20" s="6">
        <v>0</v>
      </c>
    </row>
    <row r="21" spans="1:7" ht="18.75">
      <c r="A21" s="5" t="s">
        <v>35</v>
      </c>
      <c r="B21" s="6">
        <v>13</v>
      </c>
      <c r="C21" s="6" t="s">
        <v>36</v>
      </c>
      <c r="D21" s="6">
        <v>1</v>
      </c>
    </row>
    <row r="22" spans="1:7" ht="18.75">
      <c r="A22" s="5" t="s">
        <v>37</v>
      </c>
      <c r="B22" s="6">
        <v>50</v>
      </c>
      <c r="C22" s="6" t="s">
        <v>38</v>
      </c>
      <c r="D22" s="6">
        <v>3</v>
      </c>
    </row>
    <row r="23" spans="1:7" ht="18.75">
      <c r="A23" s="5" t="s">
        <v>39</v>
      </c>
      <c r="B23" s="6">
        <v>80</v>
      </c>
      <c r="C23" s="6" t="s">
        <v>40</v>
      </c>
      <c r="D23" s="6">
        <v>5</v>
      </c>
    </row>
    <row r="24" spans="1:7" ht="18.75">
      <c r="A24" s="5" t="s">
        <v>41</v>
      </c>
      <c r="B24" s="6">
        <v>125</v>
      </c>
      <c r="C24" s="6" t="s">
        <v>42</v>
      </c>
      <c r="D24" s="6">
        <v>7</v>
      </c>
    </row>
    <row r="26" spans="1:7" ht="20.25">
      <c r="A26" s="1" t="s">
        <v>43</v>
      </c>
    </row>
    <row r="27" spans="1:7">
      <c r="A27" s="10" t="s">
        <v>44</v>
      </c>
      <c r="B27" s="10"/>
      <c r="C27" s="10"/>
      <c r="D27" s="10"/>
      <c r="E27" s="10"/>
      <c r="F27" s="10"/>
      <c r="G27" s="10"/>
    </row>
    <row r="28" spans="1:7">
      <c r="A28" s="10" t="s">
        <v>45</v>
      </c>
      <c r="B28" s="10"/>
      <c r="C28" s="10"/>
      <c r="D28" s="10"/>
      <c r="E28" s="10"/>
      <c r="F28" s="10"/>
      <c r="G28" s="10"/>
    </row>
    <row r="30" spans="1:7">
      <c r="C30" s="11" t="s">
        <v>46</v>
      </c>
      <c r="D30" s="12" t="s">
        <v>47</v>
      </c>
    </row>
    <row r="31" spans="1:7">
      <c r="A31" s="2" t="s">
        <v>48</v>
      </c>
    </row>
    <row r="32" spans="1:7">
      <c r="A32" s="2" t="s">
        <v>49</v>
      </c>
    </row>
    <row r="33" spans="1:1">
      <c r="A33" s="2" t="s">
        <v>50</v>
      </c>
    </row>
    <row r="34" spans="1:1">
      <c r="A34" s="2" t="s">
        <v>51</v>
      </c>
    </row>
  </sheetData>
  <sheetProtection formatColumns="0" formatRows="0" insertColumns="0" insertRows="0" deleteColumns="0" deleteRows="0" selectLockedCells="1" selectUnlockedCells="1"/>
  <mergeCells count="2">
    <mergeCell ref="A27:G27"/>
    <mergeCell ref="A28:G28"/>
  </mergeCells>
  <pageMargins left="0.7" right="0.7" top="0.75" bottom="0.75" header="0.3" footer="0.3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4</xdr:col>
                <xdr:colOff>19050</xdr:colOff>
                <xdr:row>3</xdr:row>
                <xdr:rowOff>409575</xdr:rowOff>
              </from>
              <to>
                <xdr:col>6</xdr:col>
                <xdr:colOff>495300</xdr:colOff>
                <xdr:row>5</xdr:row>
                <xdr:rowOff>28575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B38E-0B96-4E0C-8EDE-FD7EFE944BFE}">
  <sheetPr>
    <tabColor rgb="FFFFC000"/>
  </sheetPr>
  <dimension ref="A1:T3500"/>
  <sheetViews>
    <sheetView zoomScaleNormal="100" workbookViewId="0">
      <pane xSplit="2" ySplit="2" topLeftCell="C3" activePane="bottomRight" state="frozen"/>
      <selection activeCell="J22" sqref="J22"/>
      <selection pane="topRight" activeCell="J22" sqref="J22"/>
      <selection pane="bottomLeft" activeCell="J22" sqref="J22"/>
      <selection pane="bottomRight" activeCell="J22" sqref="J22"/>
    </sheetView>
  </sheetViews>
  <sheetFormatPr defaultColWidth="9.28515625" defaultRowHeight="16.5" customHeight="1"/>
  <cols>
    <col min="1" max="1" width="17.28515625" style="54" customWidth="1"/>
    <col min="2" max="2" width="13.28515625" style="30" customWidth="1"/>
    <col min="3" max="3" width="50" style="54" customWidth="1"/>
    <col min="4" max="4" width="21.7109375" style="60" customWidth="1"/>
    <col min="5" max="5" width="12.140625" style="30" customWidth="1"/>
    <col min="6" max="6" width="7.85546875" style="30" customWidth="1"/>
    <col min="7" max="10" width="13.7109375" style="30" customWidth="1"/>
    <col min="11" max="11" width="18.140625" style="57" customWidth="1"/>
    <col min="12" max="12" width="18.5703125" style="57" customWidth="1"/>
    <col min="13" max="14" width="10.85546875" style="57" customWidth="1"/>
    <col min="15" max="15" width="8.85546875" style="54" customWidth="1"/>
    <col min="16" max="16" width="31.28515625" style="72" bestFit="1" customWidth="1"/>
    <col min="17" max="17" width="48.140625" style="23" customWidth="1"/>
    <col min="18" max="18" width="24.28515625" style="23" customWidth="1"/>
    <col min="19" max="20" width="9.28515625" style="23"/>
    <col min="21" max="16384" width="9.28515625" style="24"/>
  </cols>
  <sheetData>
    <row r="1" spans="1:20" s="16" customFormat="1" ht="12" customHeight="1">
      <c r="A1" s="13"/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  <c r="N1" s="13">
        <v>13</v>
      </c>
      <c r="O1" s="13"/>
      <c r="P1" s="14"/>
      <c r="Q1" s="15"/>
      <c r="R1" s="15"/>
      <c r="S1" s="15"/>
      <c r="T1" s="15"/>
    </row>
    <row r="2" spans="1:20" ht="82.5" customHeight="1">
      <c r="A2" s="17" t="s">
        <v>52</v>
      </c>
      <c r="B2" s="18" t="s">
        <v>53</v>
      </c>
      <c r="C2" s="18" t="s">
        <v>54</v>
      </c>
      <c r="D2" s="18" t="s">
        <v>55</v>
      </c>
      <c r="E2" s="19" t="s">
        <v>56</v>
      </c>
      <c r="F2" s="18" t="s">
        <v>57</v>
      </c>
      <c r="G2" s="19" t="s">
        <v>58</v>
      </c>
      <c r="H2" s="19" t="s">
        <v>59</v>
      </c>
      <c r="I2" s="19" t="s">
        <v>60</v>
      </c>
      <c r="J2" s="19" t="s">
        <v>61</v>
      </c>
      <c r="K2" s="20" t="s">
        <v>62</v>
      </c>
      <c r="L2" s="20" t="s">
        <v>63</v>
      </c>
      <c r="M2" s="20" t="s">
        <v>64</v>
      </c>
      <c r="N2" s="20" t="s">
        <v>65</v>
      </c>
      <c r="O2" s="17" t="s">
        <v>66</v>
      </c>
      <c r="P2" s="21" t="s">
        <v>67</v>
      </c>
      <c r="Q2" s="22" t="s">
        <v>68</v>
      </c>
      <c r="R2" s="22" t="s">
        <v>69</v>
      </c>
    </row>
    <row r="3" spans="1:20" ht="16.5" customHeight="1">
      <c r="A3" s="25" t="s">
        <v>70</v>
      </c>
      <c r="B3" s="26">
        <v>20103105</v>
      </c>
      <c r="C3" s="27" t="s">
        <v>71</v>
      </c>
      <c r="D3" s="26" t="s">
        <v>72</v>
      </c>
      <c r="E3" s="28">
        <v>130</v>
      </c>
      <c r="F3" s="29" t="s">
        <v>73</v>
      </c>
      <c r="G3" s="30">
        <f t="shared" ref="G3:G66" si="0">IF(P3="TL tuyệt đối",K3*103%,K3+1/3*M3)</f>
        <v>131.94999999999999</v>
      </c>
      <c r="H3" s="31">
        <f t="shared" ref="H3:H66" si="1">IF(P3="TL tuyệt đối",K3*101%,K3-1/3*M3)</f>
        <v>128.05000000000001</v>
      </c>
      <c r="I3" s="31">
        <f t="shared" ref="I3:I66" si="2">IF(P3="TL tuyệt đối", K3*105%,K3+M3)</f>
        <v>135.85</v>
      </c>
      <c r="J3" s="31">
        <f>K3-M3</f>
        <v>124.15</v>
      </c>
      <c r="K3" s="32">
        <f>IF(F3="ml",E3*L3,E3)</f>
        <v>130</v>
      </c>
      <c r="L3" s="32"/>
      <c r="M3" s="33">
        <f t="shared" ref="M3:M66" si="3">IF(P3="TL tuyệt đối",0, IF(K3&lt;5,0,IF(K3&lt;50,K3*9%,IF(K3&lt;100,4.5,IF(K3&lt;200,4.5%*K3,IF(K3&lt;300,9,IF(K3&lt;500,K3*3%,IF(K3&lt;1000,15,))))))))</f>
        <v>5.85</v>
      </c>
      <c r="N3" s="33">
        <v>6.1</v>
      </c>
      <c r="O3" s="25"/>
      <c r="P3" s="34"/>
    </row>
    <row r="4" spans="1:20" ht="16.5" customHeight="1">
      <c r="A4" s="35" t="s">
        <v>74</v>
      </c>
      <c r="B4" s="36">
        <v>20238642</v>
      </c>
      <c r="C4" s="37" t="s">
        <v>75</v>
      </c>
      <c r="D4" s="36" t="s">
        <v>76</v>
      </c>
      <c r="E4" s="38">
        <v>100</v>
      </c>
      <c r="F4" s="30" t="s">
        <v>73</v>
      </c>
      <c r="G4" s="30">
        <f t="shared" si="0"/>
        <v>101.5</v>
      </c>
      <c r="H4" s="31">
        <f t="shared" si="1"/>
        <v>98.5</v>
      </c>
      <c r="I4" s="31">
        <f t="shared" si="2"/>
        <v>104.5</v>
      </c>
      <c r="J4" s="31">
        <f t="shared" ref="J4:J67" si="4">K4-M4</f>
        <v>95.5</v>
      </c>
      <c r="K4" s="32">
        <f t="shared" ref="K4:K67" si="5">IF(F4="ml",E4*L4,E4)</f>
        <v>100</v>
      </c>
      <c r="L4" s="32"/>
      <c r="M4" s="33">
        <f t="shared" si="3"/>
        <v>4.5</v>
      </c>
      <c r="N4" s="33" t="e">
        <v>#N/A</v>
      </c>
      <c r="O4" s="35"/>
      <c r="P4" s="39"/>
    </row>
    <row r="5" spans="1:20" ht="16.5" customHeight="1">
      <c r="A5" s="25" t="s">
        <v>77</v>
      </c>
      <c r="B5" s="26">
        <v>21009575</v>
      </c>
      <c r="C5" s="27" t="s">
        <v>78</v>
      </c>
      <c r="D5" s="26" t="s">
        <v>76</v>
      </c>
      <c r="E5" s="28">
        <v>120</v>
      </c>
      <c r="F5" s="29" t="s">
        <v>73</v>
      </c>
      <c r="G5" s="30">
        <f t="shared" si="0"/>
        <v>121.8</v>
      </c>
      <c r="H5" s="31">
        <f t="shared" si="1"/>
        <v>118.2</v>
      </c>
      <c r="I5" s="31">
        <f t="shared" si="2"/>
        <v>125.4</v>
      </c>
      <c r="J5" s="31">
        <f t="shared" si="4"/>
        <v>114.6</v>
      </c>
      <c r="K5" s="32">
        <f t="shared" si="5"/>
        <v>120</v>
      </c>
      <c r="L5" s="32"/>
      <c r="M5" s="33">
        <f t="shared" si="3"/>
        <v>5.3999999999999995</v>
      </c>
      <c r="N5" s="33" t="e">
        <v>#N/A</v>
      </c>
      <c r="O5" s="25"/>
      <c r="P5" s="34"/>
    </row>
    <row r="6" spans="1:20" ht="16.5" customHeight="1">
      <c r="A6" s="35" t="s">
        <v>79</v>
      </c>
      <c r="B6" s="36">
        <v>64004873</v>
      </c>
      <c r="C6" s="37" t="s">
        <v>80</v>
      </c>
      <c r="D6" s="36" t="s">
        <v>81</v>
      </c>
      <c r="E6" s="38">
        <v>8</v>
      </c>
      <c r="F6" s="30" t="s">
        <v>82</v>
      </c>
      <c r="G6" s="30">
        <f t="shared" si="0"/>
        <v>10.712</v>
      </c>
      <c r="H6" s="31">
        <f t="shared" si="1"/>
        <v>10.088000000000001</v>
      </c>
      <c r="I6" s="31">
        <f t="shared" si="2"/>
        <v>11.336</v>
      </c>
      <c r="J6" s="31">
        <f t="shared" si="4"/>
        <v>9.4640000000000004</v>
      </c>
      <c r="K6" s="32">
        <f t="shared" si="5"/>
        <v>10.4</v>
      </c>
      <c r="L6" s="40">
        <v>1.3</v>
      </c>
      <c r="M6" s="33">
        <f t="shared" si="3"/>
        <v>0.93599999999999994</v>
      </c>
      <c r="N6" s="33" t="e">
        <v>#N/A</v>
      </c>
      <c r="O6" s="35"/>
      <c r="P6" s="39"/>
    </row>
    <row r="7" spans="1:20" ht="16.5" customHeight="1">
      <c r="A7" s="25" t="s">
        <v>83</v>
      </c>
      <c r="B7" s="26">
        <v>64004869</v>
      </c>
      <c r="C7" s="27" t="s">
        <v>84</v>
      </c>
      <c r="D7" s="26" t="s">
        <v>81</v>
      </c>
      <c r="E7" s="28">
        <v>10</v>
      </c>
      <c r="F7" s="29" t="s">
        <v>82</v>
      </c>
      <c r="G7" s="30">
        <f t="shared" si="0"/>
        <v>13.39</v>
      </c>
      <c r="H7" s="31">
        <f t="shared" si="1"/>
        <v>12.61</v>
      </c>
      <c r="I7" s="31">
        <f t="shared" si="2"/>
        <v>14.17</v>
      </c>
      <c r="J7" s="31">
        <f t="shared" si="4"/>
        <v>11.83</v>
      </c>
      <c r="K7" s="32">
        <f t="shared" si="5"/>
        <v>13</v>
      </c>
      <c r="L7" s="40">
        <v>1.3</v>
      </c>
      <c r="M7" s="33">
        <f t="shared" si="3"/>
        <v>1.17</v>
      </c>
      <c r="N7" s="33" t="e">
        <v>#N/A</v>
      </c>
      <c r="O7" s="25"/>
      <c r="P7" s="34"/>
    </row>
    <row r="8" spans="1:20" ht="16.5" customHeight="1">
      <c r="A8" s="35" t="s">
        <v>85</v>
      </c>
      <c r="B8" s="36">
        <v>20106700</v>
      </c>
      <c r="C8" s="37" t="s">
        <v>86</v>
      </c>
      <c r="D8" s="36" t="s">
        <v>87</v>
      </c>
      <c r="E8" s="38">
        <v>18</v>
      </c>
      <c r="F8" s="30" t="s">
        <v>73</v>
      </c>
      <c r="G8" s="30">
        <f t="shared" si="0"/>
        <v>18.54</v>
      </c>
      <c r="H8" s="31">
        <f t="shared" si="1"/>
        <v>18.18</v>
      </c>
      <c r="I8" s="31">
        <f t="shared" si="2"/>
        <v>18.900000000000002</v>
      </c>
      <c r="J8" s="31">
        <f t="shared" si="4"/>
        <v>18</v>
      </c>
      <c r="K8" s="32">
        <f t="shared" si="5"/>
        <v>18</v>
      </c>
      <c r="L8" s="32"/>
      <c r="M8" s="33">
        <f t="shared" si="3"/>
        <v>0</v>
      </c>
      <c r="N8" s="33" t="e">
        <v>#N/A</v>
      </c>
      <c r="O8" s="35"/>
      <c r="P8" s="41" t="s">
        <v>88</v>
      </c>
    </row>
    <row r="9" spans="1:20" ht="16.5" customHeight="1">
      <c r="A9" s="25" t="s">
        <v>85</v>
      </c>
      <c r="B9" s="26">
        <v>66818974</v>
      </c>
      <c r="C9" s="27" t="s">
        <v>89</v>
      </c>
      <c r="D9" s="26" t="s">
        <v>87</v>
      </c>
      <c r="E9" s="28">
        <v>30</v>
      </c>
      <c r="F9" s="29" t="s">
        <v>73</v>
      </c>
      <c r="G9" s="30">
        <f t="shared" si="0"/>
        <v>30.900000000000002</v>
      </c>
      <c r="H9" s="31">
        <f t="shared" si="1"/>
        <v>30.3</v>
      </c>
      <c r="I9" s="31">
        <f t="shared" si="2"/>
        <v>31.5</v>
      </c>
      <c r="J9" s="31">
        <f t="shared" si="4"/>
        <v>30</v>
      </c>
      <c r="K9" s="32">
        <f t="shared" si="5"/>
        <v>30</v>
      </c>
      <c r="L9" s="32"/>
      <c r="M9" s="33">
        <f t="shared" si="3"/>
        <v>0</v>
      </c>
      <c r="N9" s="33" t="e">
        <v>#N/A</v>
      </c>
      <c r="O9" s="25"/>
      <c r="P9" s="41" t="s">
        <v>88</v>
      </c>
    </row>
    <row r="10" spans="1:20" ht="16.5" customHeight="1">
      <c r="A10" s="35" t="s">
        <v>85</v>
      </c>
      <c r="B10" s="36">
        <v>66818975</v>
      </c>
      <c r="C10" s="37" t="s">
        <v>90</v>
      </c>
      <c r="D10" s="36" t="s">
        <v>87</v>
      </c>
      <c r="E10" s="38">
        <v>75</v>
      </c>
      <c r="F10" s="30" t="s">
        <v>73</v>
      </c>
      <c r="G10" s="30">
        <f t="shared" si="0"/>
        <v>77.25</v>
      </c>
      <c r="H10" s="31">
        <f t="shared" si="1"/>
        <v>75.75</v>
      </c>
      <c r="I10" s="31">
        <f t="shared" si="2"/>
        <v>78.75</v>
      </c>
      <c r="J10" s="31">
        <f t="shared" si="4"/>
        <v>75</v>
      </c>
      <c r="K10" s="32">
        <f t="shared" si="5"/>
        <v>75</v>
      </c>
      <c r="L10" s="32"/>
      <c r="M10" s="33">
        <f t="shared" si="3"/>
        <v>0</v>
      </c>
      <c r="N10" s="33" t="e">
        <v>#N/A</v>
      </c>
      <c r="O10" s="35"/>
      <c r="P10" s="41" t="s">
        <v>88</v>
      </c>
    </row>
    <row r="11" spans="1:20" ht="16.5" customHeight="1">
      <c r="A11" s="25" t="s">
        <v>85</v>
      </c>
      <c r="B11" s="26">
        <v>20106749</v>
      </c>
      <c r="C11" s="27" t="s">
        <v>91</v>
      </c>
      <c r="D11" s="26" t="s">
        <v>87</v>
      </c>
      <c r="E11" s="28">
        <v>160</v>
      </c>
      <c r="F11" s="29" t="s">
        <v>73</v>
      </c>
      <c r="G11" s="30">
        <f t="shared" si="0"/>
        <v>164.8</v>
      </c>
      <c r="H11" s="31">
        <f t="shared" si="1"/>
        <v>161.6</v>
      </c>
      <c r="I11" s="31">
        <f t="shared" si="2"/>
        <v>168</v>
      </c>
      <c r="J11" s="31">
        <f t="shared" si="4"/>
        <v>160</v>
      </c>
      <c r="K11" s="32">
        <f t="shared" si="5"/>
        <v>160</v>
      </c>
      <c r="L11" s="32"/>
      <c r="M11" s="33">
        <f t="shared" si="3"/>
        <v>0</v>
      </c>
      <c r="N11" s="33" t="e">
        <v>#N/A</v>
      </c>
      <c r="O11" s="25"/>
      <c r="P11" s="41" t="s">
        <v>88</v>
      </c>
    </row>
    <row r="12" spans="1:20" ht="16.5" customHeight="1">
      <c r="A12" s="35" t="s">
        <v>85</v>
      </c>
      <c r="B12" s="36">
        <v>20106751</v>
      </c>
      <c r="C12" s="37" t="s">
        <v>92</v>
      </c>
      <c r="D12" s="36" t="s">
        <v>87</v>
      </c>
      <c r="E12" s="38">
        <v>160</v>
      </c>
      <c r="F12" s="30" t="s">
        <v>73</v>
      </c>
      <c r="G12" s="30">
        <f t="shared" si="0"/>
        <v>164.8</v>
      </c>
      <c r="H12" s="31">
        <f t="shared" si="1"/>
        <v>161.6</v>
      </c>
      <c r="I12" s="31">
        <f t="shared" si="2"/>
        <v>168</v>
      </c>
      <c r="J12" s="31">
        <f t="shared" si="4"/>
        <v>160</v>
      </c>
      <c r="K12" s="32">
        <f t="shared" si="5"/>
        <v>160</v>
      </c>
      <c r="L12" s="32"/>
      <c r="M12" s="33">
        <f t="shared" si="3"/>
        <v>0</v>
      </c>
      <c r="N12" s="33" t="e">
        <v>#N/A</v>
      </c>
      <c r="O12" s="35"/>
      <c r="P12" s="41" t="s">
        <v>88</v>
      </c>
    </row>
    <row r="13" spans="1:20" ht="16.5" customHeight="1">
      <c r="A13" s="25" t="s">
        <v>93</v>
      </c>
      <c r="B13" s="26">
        <v>66818970</v>
      </c>
      <c r="C13" s="27" t="s">
        <v>94</v>
      </c>
      <c r="D13" s="26" t="s">
        <v>87</v>
      </c>
      <c r="E13" s="28">
        <v>30</v>
      </c>
      <c r="F13" s="29" t="s">
        <v>73</v>
      </c>
      <c r="G13" s="30">
        <f t="shared" si="0"/>
        <v>30.900000000000002</v>
      </c>
      <c r="H13" s="31">
        <f t="shared" si="1"/>
        <v>30.3</v>
      </c>
      <c r="I13" s="31">
        <f t="shared" si="2"/>
        <v>31.5</v>
      </c>
      <c r="J13" s="31">
        <f t="shared" si="4"/>
        <v>30</v>
      </c>
      <c r="K13" s="32">
        <f t="shared" si="5"/>
        <v>30</v>
      </c>
      <c r="L13" s="32"/>
      <c r="M13" s="33">
        <f t="shared" si="3"/>
        <v>0</v>
      </c>
      <c r="N13" s="33" t="e">
        <v>#N/A</v>
      </c>
      <c r="O13" s="25"/>
      <c r="P13" s="41" t="s">
        <v>88</v>
      </c>
    </row>
    <row r="14" spans="1:20" ht="16.5" customHeight="1">
      <c r="A14" s="35" t="s">
        <v>93</v>
      </c>
      <c r="B14" s="36">
        <v>66818971</v>
      </c>
      <c r="C14" s="37" t="s">
        <v>95</v>
      </c>
      <c r="D14" s="36" t="s">
        <v>87</v>
      </c>
      <c r="E14" s="38">
        <v>75</v>
      </c>
      <c r="F14" s="30" t="s">
        <v>73</v>
      </c>
      <c r="G14" s="30">
        <f t="shared" si="0"/>
        <v>77.25</v>
      </c>
      <c r="H14" s="31">
        <f t="shared" si="1"/>
        <v>75.75</v>
      </c>
      <c r="I14" s="31">
        <f t="shared" si="2"/>
        <v>78.75</v>
      </c>
      <c r="J14" s="31">
        <f t="shared" si="4"/>
        <v>75</v>
      </c>
      <c r="K14" s="32">
        <f t="shared" si="5"/>
        <v>75</v>
      </c>
      <c r="L14" s="32"/>
      <c r="M14" s="33">
        <f t="shared" si="3"/>
        <v>0</v>
      </c>
      <c r="N14" s="33" t="e">
        <v>#N/A</v>
      </c>
      <c r="O14" s="35"/>
      <c r="P14" s="41" t="s">
        <v>88</v>
      </c>
    </row>
    <row r="15" spans="1:20" ht="16.5" customHeight="1">
      <c r="A15" s="25" t="s">
        <v>93</v>
      </c>
      <c r="B15" s="26">
        <v>20100229</v>
      </c>
      <c r="C15" s="27" t="s">
        <v>96</v>
      </c>
      <c r="D15" s="26" t="s">
        <v>87</v>
      </c>
      <c r="E15" s="28">
        <v>160</v>
      </c>
      <c r="F15" s="29" t="s">
        <v>73</v>
      </c>
      <c r="G15" s="30">
        <f t="shared" si="0"/>
        <v>164.8</v>
      </c>
      <c r="H15" s="31">
        <f t="shared" si="1"/>
        <v>161.6</v>
      </c>
      <c r="I15" s="31">
        <f t="shared" si="2"/>
        <v>168</v>
      </c>
      <c r="J15" s="31">
        <f t="shared" si="4"/>
        <v>160</v>
      </c>
      <c r="K15" s="32">
        <f t="shared" si="5"/>
        <v>160</v>
      </c>
      <c r="L15" s="32"/>
      <c r="M15" s="33">
        <f t="shared" si="3"/>
        <v>0</v>
      </c>
      <c r="N15" s="33" t="e">
        <v>#N/A</v>
      </c>
      <c r="O15" s="25"/>
      <c r="P15" s="41" t="s">
        <v>88</v>
      </c>
    </row>
    <row r="16" spans="1:20" ht="16.5" customHeight="1">
      <c r="A16" s="35" t="s">
        <v>93</v>
      </c>
      <c r="B16" s="36">
        <v>20100232</v>
      </c>
      <c r="C16" s="37" t="s">
        <v>97</v>
      </c>
      <c r="D16" s="36" t="s">
        <v>87</v>
      </c>
      <c r="E16" s="38">
        <v>160</v>
      </c>
      <c r="F16" s="30" t="s">
        <v>73</v>
      </c>
      <c r="G16" s="30">
        <f t="shared" si="0"/>
        <v>164.8</v>
      </c>
      <c r="H16" s="31">
        <f t="shared" si="1"/>
        <v>161.6</v>
      </c>
      <c r="I16" s="31">
        <f t="shared" si="2"/>
        <v>168</v>
      </c>
      <c r="J16" s="31">
        <f t="shared" si="4"/>
        <v>160</v>
      </c>
      <c r="K16" s="32">
        <f t="shared" si="5"/>
        <v>160</v>
      </c>
      <c r="L16" s="32"/>
      <c r="M16" s="33">
        <f t="shared" si="3"/>
        <v>0</v>
      </c>
      <c r="N16" s="33" t="e">
        <v>#N/A</v>
      </c>
      <c r="O16" s="35"/>
      <c r="P16" s="41" t="s">
        <v>88</v>
      </c>
    </row>
    <row r="17" spans="1:16" ht="16.5" customHeight="1">
      <c r="A17" s="25" t="s">
        <v>98</v>
      </c>
      <c r="B17" s="26">
        <v>20104358</v>
      </c>
      <c r="C17" s="27" t="s">
        <v>99</v>
      </c>
      <c r="D17" s="26" t="s">
        <v>87</v>
      </c>
      <c r="E17" s="28">
        <v>160</v>
      </c>
      <c r="F17" s="29" t="s">
        <v>73</v>
      </c>
      <c r="G17" s="30">
        <f t="shared" si="0"/>
        <v>164.8</v>
      </c>
      <c r="H17" s="31">
        <f t="shared" si="1"/>
        <v>161.6</v>
      </c>
      <c r="I17" s="31">
        <f t="shared" si="2"/>
        <v>168</v>
      </c>
      <c r="J17" s="31">
        <f t="shared" si="4"/>
        <v>160</v>
      </c>
      <c r="K17" s="32">
        <f t="shared" si="5"/>
        <v>160</v>
      </c>
      <c r="L17" s="32"/>
      <c r="M17" s="33">
        <f t="shared" si="3"/>
        <v>0</v>
      </c>
      <c r="N17" s="33" t="e">
        <v>#N/A</v>
      </c>
      <c r="O17" s="25"/>
      <c r="P17" s="41" t="s">
        <v>88</v>
      </c>
    </row>
    <row r="18" spans="1:16" ht="16.5" customHeight="1">
      <c r="A18" s="35" t="s">
        <v>98</v>
      </c>
      <c r="B18" s="36">
        <v>20104359</v>
      </c>
      <c r="C18" s="37" t="s">
        <v>100</v>
      </c>
      <c r="D18" s="36" t="s">
        <v>87</v>
      </c>
      <c r="E18" s="38">
        <v>160</v>
      </c>
      <c r="F18" s="30" t="s">
        <v>73</v>
      </c>
      <c r="G18" s="30">
        <f t="shared" si="0"/>
        <v>164.8</v>
      </c>
      <c r="H18" s="31">
        <f t="shared" si="1"/>
        <v>161.6</v>
      </c>
      <c r="I18" s="31">
        <f t="shared" si="2"/>
        <v>168</v>
      </c>
      <c r="J18" s="31">
        <f t="shared" si="4"/>
        <v>160</v>
      </c>
      <c r="K18" s="32">
        <f t="shared" si="5"/>
        <v>160</v>
      </c>
      <c r="L18" s="32"/>
      <c r="M18" s="33">
        <f t="shared" si="3"/>
        <v>0</v>
      </c>
      <c r="N18" s="33" t="e">
        <v>#N/A</v>
      </c>
      <c r="O18" s="35"/>
      <c r="P18" s="41" t="s">
        <v>88</v>
      </c>
    </row>
    <row r="19" spans="1:16" ht="16.5" customHeight="1">
      <c r="A19" s="25" t="s">
        <v>98</v>
      </c>
      <c r="B19" s="26">
        <v>66818973</v>
      </c>
      <c r="C19" s="27" t="s">
        <v>101</v>
      </c>
      <c r="D19" s="26" t="s">
        <v>87</v>
      </c>
      <c r="E19" s="28">
        <v>75</v>
      </c>
      <c r="F19" s="29" t="s">
        <v>73</v>
      </c>
      <c r="G19" s="30">
        <f t="shared" si="0"/>
        <v>77.25</v>
      </c>
      <c r="H19" s="31">
        <f t="shared" si="1"/>
        <v>75.75</v>
      </c>
      <c r="I19" s="31">
        <f t="shared" si="2"/>
        <v>78.75</v>
      </c>
      <c r="J19" s="31">
        <f t="shared" si="4"/>
        <v>75</v>
      </c>
      <c r="K19" s="32">
        <f t="shared" si="5"/>
        <v>75</v>
      </c>
      <c r="L19" s="32"/>
      <c r="M19" s="33">
        <f t="shared" si="3"/>
        <v>0</v>
      </c>
      <c r="N19" s="33" t="e">
        <v>#N/A</v>
      </c>
      <c r="O19" s="25"/>
      <c r="P19" s="41" t="s">
        <v>88</v>
      </c>
    </row>
    <row r="20" spans="1:16" ht="16.5" customHeight="1">
      <c r="A20" s="35" t="s">
        <v>98</v>
      </c>
      <c r="B20" s="36">
        <v>20104356</v>
      </c>
      <c r="C20" s="37" t="s">
        <v>102</v>
      </c>
      <c r="D20" s="36" t="s">
        <v>87</v>
      </c>
      <c r="E20" s="38">
        <v>35</v>
      </c>
      <c r="F20" s="30" t="s">
        <v>73</v>
      </c>
      <c r="G20" s="30">
        <f t="shared" si="0"/>
        <v>36.050000000000004</v>
      </c>
      <c r="H20" s="31">
        <f t="shared" si="1"/>
        <v>35.35</v>
      </c>
      <c r="I20" s="31">
        <f t="shared" si="2"/>
        <v>36.75</v>
      </c>
      <c r="J20" s="31">
        <f t="shared" si="4"/>
        <v>35</v>
      </c>
      <c r="K20" s="32">
        <f t="shared" si="5"/>
        <v>35</v>
      </c>
      <c r="L20" s="32"/>
      <c r="M20" s="33">
        <f t="shared" si="3"/>
        <v>0</v>
      </c>
      <c r="N20" s="33" t="e">
        <v>#N/A</v>
      </c>
      <c r="O20" s="35"/>
      <c r="P20" s="41" t="s">
        <v>88</v>
      </c>
    </row>
    <row r="21" spans="1:16" ht="16.5" customHeight="1">
      <c r="A21" s="25" t="s">
        <v>85</v>
      </c>
      <c r="B21" s="26">
        <v>66821470</v>
      </c>
      <c r="C21" s="27" t="s">
        <v>103</v>
      </c>
      <c r="D21" s="26" t="s">
        <v>104</v>
      </c>
      <c r="E21" s="28">
        <v>160</v>
      </c>
      <c r="F21" s="29" t="s">
        <v>73</v>
      </c>
      <c r="G21" s="30">
        <f t="shared" si="0"/>
        <v>162.4</v>
      </c>
      <c r="H21" s="31">
        <f t="shared" si="1"/>
        <v>157.6</v>
      </c>
      <c r="I21" s="31">
        <f t="shared" si="2"/>
        <v>167.2</v>
      </c>
      <c r="J21" s="31">
        <f t="shared" si="4"/>
        <v>152.80000000000001</v>
      </c>
      <c r="K21" s="32">
        <f t="shared" si="5"/>
        <v>160</v>
      </c>
      <c r="L21" s="32"/>
      <c r="M21" s="33">
        <f t="shared" si="3"/>
        <v>7.1999999999999993</v>
      </c>
      <c r="N21" s="33" t="e">
        <v>#N/A</v>
      </c>
      <c r="O21" s="25"/>
      <c r="P21" s="32"/>
    </row>
    <row r="22" spans="1:16" ht="16.5" customHeight="1">
      <c r="A22" s="35" t="s">
        <v>85</v>
      </c>
      <c r="B22" s="36">
        <v>20076530</v>
      </c>
      <c r="C22" s="37" t="s">
        <v>105</v>
      </c>
      <c r="D22" s="36" t="s">
        <v>104</v>
      </c>
      <c r="E22" s="38">
        <v>40</v>
      </c>
      <c r="F22" s="30" t="s">
        <v>73</v>
      </c>
      <c r="G22" s="30">
        <f t="shared" si="0"/>
        <v>41.2</v>
      </c>
      <c r="H22" s="31">
        <f t="shared" si="1"/>
        <v>38.799999999999997</v>
      </c>
      <c r="I22" s="31">
        <f t="shared" si="2"/>
        <v>43.6</v>
      </c>
      <c r="J22" s="31">
        <f t="shared" si="4"/>
        <v>36.4</v>
      </c>
      <c r="K22" s="32">
        <f t="shared" si="5"/>
        <v>40</v>
      </c>
      <c r="L22" s="32"/>
      <c r="M22" s="33">
        <f t="shared" si="3"/>
        <v>3.5999999999999996</v>
      </c>
      <c r="N22" s="33" t="e">
        <v>#N/A</v>
      </c>
      <c r="O22" s="35"/>
      <c r="P22" s="32"/>
    </row>
    <row r="23" spans="1:16" ht="16.5" customHeight="1">
      <c r="A23" s="25" t="s">
        <v>85</v>
      </c>
      <c r="B23" s="26">
        <v>66821471</v>
      </c>
      <c r="C23" s="27" t="s">
        <v>106</v>
      </c>
      <c r="D23" s="26" t="s">
        <v>104</v>
      </c>
      <c r="E23" s="28">
        <v>18</v>
      </c>
      <c r="F23" s="29" t="s">
        <v>73</v>
      </c>
      <c r="G23" s="30">
        <f t="shared" si="0"/>
        <v>18.54</v>
      </c>
      <c r="H23" s="31">
        <f t="shared" si="1"/>
        <v>17.46</v>
      </c>
      <c r="I23" s="31">
        <f t="shared" si="2"/>
        <v>19.62</v>
      </c>
      <c r="J23" s="31">
        <f t="shared" si="4"/>
        <v>16.38</v>
      </c>
      <c r="K23" s="32">
        <f t="shared" si="5"/>
        <v>18</v>
      </c>
      <c r="L23" s="32"/>
      <c r="M23" s="33">
        <f t="shared" si="3"/>
        <v>1.6199999999999999</v>
      </c>
      <c r="N23" s="33" t="e">
        <v>#N/A</v>
      </c>
      <c r="O23" s="25"/>
      <c r="P23" s="32"/>
    </row>
    <row r="24" spans="1:16" ht="16.5" customHeight="1">
      <c r="A24" s="35" t="s">
        <v>107</v>
      </c>
      <c r="B24" s="36">
        <v>64004886</v>
      </c>
      <c r="C24" s="37" t="s">
        <v>108</v>
      </c>
      <c r="D24" s="36" t="s">
        <v>109</v>
      </c>
      <c r="E24" s="38">
        <v>160</v>
      </c>
      <c r="F24" s="30" t="s">
        <v>73</v>
      </c>
      <c r="G24" s="30">
        <f t="shared" si="0"/>
        <v>164.8</v>
      </c>
      <c r="H24" s="31">
        <f t="shared" si="1"/>
        <v>161.6</v>
      </c>
      <c r="I24" s="31">
        <f t="shared" si="2"/>
        <v>168</v>
      </c>
      <c r="J24" s="31">
        <f t="shared" si="4"/>
        <v>160</v>
      </c>
      <c r="K24" s="32">
        <f t="shared" si="5"/>
        <v>160</v>
      </c>
      <c r="L24" s="32"/>
      <c r="M24" s="33">
        <f t="shared" si="3"/>
        <v>0</v>
      </c>
      <c r="N24" s="33" t="e">
        <v>#N/A</v>
      </c>
      <c r="O24" s="35"/>
      <c r="P24" s="41" t="s">
        <v>88</v>
      </c>
    </row>
    <row r="25" spans="1:16" ht="16.5" customHeight="1">
      <c r="A25" s="25" t="s">
        <v>110</v>
      </c>
      <c r="B25" s="26">
        <v>64004885</v>
      </c>
      <c r="C25" s="27" t="s">
        <v>111</v>
      </c>
      <c r="D25" s="26" t="s">
        <v>109</v>
      </c>
      <c r="E25" s="28">
        <v>160</v>
      </c>
      <c r="F25" s="29" t="s">
        <v>73</v>
      </c>
      <c r="G25" s="30">
        <f t="shared" si="0"/>
        <v>164.8</v>
      </c>
      <c r="H25" s="31">
        <f t="shared" si="1"/>
        <v>161.6</v>
      </c>
      <c r="I25" s="31">
        <f t="shared" si="2"/>
        <v>168</v>
      </c>
      <c r="J25" s="31">
        <f t="shared" si="4"/>
        <v>160</v>
      </c>
      <c r="K25" s="32">
        <f t="shared" si="5"/>
        <v>160</v>
      </c>
      <c r="L25" s="32"/>
      <c r="M25" s="33">
        <f t="shared" si="3"/>
        <v>0</v>
      </c>
      <c r="N25" s="33">
        <v>7.4</v>
      </c>
      <c r="O25" s="25"/>
      <c r="P25" s="41" t="s">
        <v>88</v>
      </c>
    </row>
    <row r="26" spans="1:16" ht="16.5" customHeight="1">
      <c r="A26" s="35" t="s">
        <v>110</v>
      </c>
      <c r="B26" s="36">
        <v>64004882</v>
      </c>
      <c r="C26" s="37" t="s">
        <v>112</v>
      </c>
      <c r="D26" s="36" t="s">
        <v>109</v>
      </c>
      <c r="E26" s="38">
        <v>35</v>
      </c>
      <c r="F26" s="30" t="s">
        <v>73</v>
      </c>
      <c r="G26" s="30">
        <f t="shared" si="0"/>
        <v>36.050000000000004</v>
      </c>
      <c r="H26" s="31">
        <f t="shared" si="1"/>
        <v>35.35</v>
      </c>
      <c r="I26" s="31">
        <f t="shared" si="2"/>
        <v>36.75</v>
      </c>
      <c r="J26" s="31">
        <f t="shared" si="4"/>
        <v>35</v>
      </c>
      <c r="K26" s="32">
        <f t="shared" si="5"/>
        <v>35</v>
      </c>
      <c r="L26" s="32"/>
      <c r="M26" s="33">
        <f t="shared" si="3"/>
        <v>0</v>
      </c>
      <c r="N26" s="33">
        <v>4</v>
      </c>
      <c r="O26" s="35"/>
      <c r="P26" s="41" t="s">
        <v>88</v>
      </c>
    </row>
    <row r="27" spans="1:16" ht="16.5" customHeight="1">
      <c r="A27" s="25" t="s">
        <v>83</v>
      </c>
      <c r="B27" s="26">
        <v>64004868</v>
      </c>
      <c r="C27" s="27" t="s">
        <v>113</v>
      </c>
      <c r="D27" s="26" t="s">
        <v>81</v>
      </c>
      <c r="E27" s="28">
        <v>100</v>
      </c>
      <c r="F27" s="29" t="s">
        <v>82</v>
      </c>
      <c r="G27" s="30">
        <f t="shared" si="0"/>
        <v>131.94999999999999</v>
      </c>
      <c r="H27" s="31">
        <f t="shared" si="1"/>
        <v>128.05000000000001</v>
      </c>
      <c r="I27" s="31">
        <f t="shared" si="2"/>
        <v>135.85</v>
      </c>
      <c r="J27" s="31">
        <f t="shared" si="4"/>
        <v>124.15</v>
      </c>
      <c r="K27" s="32">
        <f t="shared" si="5"/>
        <v>130</v>
      </c>
      <c r="L27" s="40">
        <v>1.3</v>
      </c>
      <c r="M27" s="33">
        <f t="shared" si="3"/>
        <v>5.85</v>
      </c>
      <c r="N27" s="33" t="e">
        <v>#N/A</v>
      </c>
      <c r="O27" s="25"/>
      <c r="P27" s="32"/>
    </row>
    <row r="28" spans="1:16" ht="16.5" customHeight="1">
      <c r="A28" s="35" t="s">
        <v>114</v>
      </c>
      <c r="B28" s="36">
        <v>64004871</v>
      </c>
      <c r="C28" s="37" t="s">
        <v>115</v>
      </c>
      <c r="D28" s="36" t="s">
        <v>116</v>
      </c>
      <c r="E28" s="38">
        <v>125</v>
      </c>
      <c r="F28" s="30" t="s">
        <v>82</v>
      </c>
      <c r="G28" s="30">
        <f t="shared" si="0"/>
        <v>164.9375</v>
      </c>
      <c r="H28" s="31">
        <f t="shared" si="1"/>
        <v>160.0625</v>
      </c>
      <c r="I28" s="31">
        <f t="shared" si="2"/>
        <v>169.8125</v>
      </c>
      <c r="J28" s="31">
        <f t="shared" si="4"/>
        <v>155.1875</v>
      </c>
      <c r="K28" s="32">
        <f t="shared" si="5"/>
        <v>162.5</v>
      </c>
      <c r="L28" s="40">
        <v>1.3</v>
      </c>
      <c r="M28" s="33">
        <f t="shared" si="3"/>
        <v>7.3125</v>
      </c>
      <c r="N28" s="33" t="e">
        <v>#N/A</v>
      </c>
      <c r="O28" s="35"/>
      <c r="P28" s="32"/>
    </row>
    <row r="29" spans="1:16" ht="16.5" customHeight="1">
      <c r="A29" s="25" t="s">
        <v>117</v>
      </c>
      <c r="B29" s="26">
        <v>64004872</v>
      </c>
      <c r="C29" s="27" t="s">
        <v>118</v>
      </c>
      <c r="D29" s="26" t="s">
        <v>116</v>
      </c>
      <c r="E29" s="28">
        <v>125</v>
      </c>
      <c r="F29" s="29" t="s">
        <v>82</v>
      </c>
      <c r="G29" s="30">
        <f t="shared" si="0"/>
        <v>164.9375</v>
      </c>
      <c r="H29" s="31">
        <f t="shared" si="1"/>
        <v>160.0625</v>
      </c>
      <c r="I29" s="31">
        <f t="shared" si="2"/>
        <v>169.8125</v>
      </c>
      <c r="J29" s="31">
        <f t="shared" si="4"/>
        <v>155.1875</v>
      </c>
      <c r="K29" s="32">
        <f t="shared" si="5"/>
        <v>162.5</v>
      </c>
      <c r="L29" s="40">
        <v>1.3</v>
      </c>
      <c r="M29" s="33">
        <f t="shared" si="3"/>
        <v>7.3125</v>
      </c>
      <c r="N29" s="33" t="e">
        <v>#N/A</v>
      </c>
      <c r="O29" s="25"/>
      <c r="P29" s="32"/>
    </row>
    <row r="30" spans="1:16" ht="16.5" customHeight="1">
      <c r="A30" s="35" t="s">
        <v>74</v>
      </c>
      <c r="B30" s="36">
        <v>20238644</v>
      </c>
      <c r="C30" s="37" t="s">
        <v>119</v>
      </c>
      <c r="D30" s="36" t="s">
        <v>76</v>
      </c>
      <c r="E30" s="38">
        <v>200</v>
      </c>
      <c r="F30" s="30" t="s">
        <v>73</v>
      </c>
      <c r="G30" s="30">
        <f t="shared" si="0"/>
        <v>203</v>
      </c>
      <c r="H30" s="31">
        <f t="shared" si="1"/>
        <v>197</v>
      </c>
      <c r="I30" s="31">
        <f t="shared" si="2"/>
        <v>209</v>
      </c>
      <c r="J30" s="31">
        <f t="shared" si="4"/>
        <v>191</v>
      </c>
      <c r="K30" s="32">
        <f t="shared" si="5"/>
        <v>200</v>
      </c>
      <c r="L30" s="32"/>
      <c r="M30" s="33">
        <f t="shared" si="3"/>
        <v>9</v>
      </c>
      <c r="N30" s="33" t="e">
        <v>#N/A</v>
      </c>
      <c r="O30" s="35"/>
      <c r="P30" s="32"/>
    </row>
    <row r="31" spans="1:16" ht="16.5" customHeight="1">
      <c r="A31" s="25" t="s">
        <v>114</v>
      </c>
      <c r="B31" s="26">
        <v>64003135</v>
      </c>
      <c r="C31" s="27" t="s">
        <v>120</v>
      </c>
      <c r="D31" s="26" t="s">
        <v>76</v>
      </c>
      <c r="E31" s="28">
        <v>70</v>
      </c>
      <c r="F31" s="29" t="s">
        <v>73</v>
      </c>
      <c r="G31" s="30">
        <f t="shared" si="0"/>
        <v>71.5</v>
      </c>
      <c r="H31" s="31">
        <f t="shared" si="1"/>
        <v>68.5</v>
      </c>
      <c r="I31" s="31">
        <f t="shared" si="2"/>
        <v>74.5</v>
      </c>
      <c r="J31" s="31">
        <f t="shared" si="4"/>
        <v>65.5</v>
      </c>
      <c r="K31" s="32">
        <f t="shared" si="5"/>
        <v>70</v>
      </c>
      <c r="L31" s="32"/>
      <c r="M31" s="33">
        <f t="shared" si="3"/>
        <v>4.5</v>
      </c>
      <c r="N31" s="33" t="e">
        <v>#N/A</v>
      </c>
      <c r="O31" s="25"/>
      <c r="P31" s="32"/>
    </row>
    <row r="32" spans="1:16" ht="16.5" customHeight="1">
      <c r="A32" s="35" t="s">
        <v>114</v>
      </c>
      <c r="B32" s="36">
        <v>64003134</v>
      </c>
      <c r="C32" s="37" t="s">
        <v>121</v>
      </c>
      <c r="D32" s="36" t="s">
        <v>76</v>
      </c>
      <c r="E32" s="38">
        <v>150</v>
      </c>
      <c r="F32" s="30" t="s">
        <v>73</v>
      </c>
      <c r="G32" s="30">
        <f t="shared" si="0"/>
        <v>152.25</v>
      </c>
      <c r="H32" s="31">
        <f t="shared" si="1"/>
        <v>147.75</v>
      </c>
      <c r="I32" s="31">
        <f t="shared" si="2"/>
        <v>156.75</v>
      </c>
      <c r="J32" s="31">
        <f t="shared" si="4"/>
        <v>143.25</v>
      </c>
      <c r="K32" s="32">
        <f t="shared" si="5"/>
        <v>150</v>
      </c>
      <c r="L32" s="32"/>
      <c r="M32" s="33">
        <f t="shared" si="3"/>
        <v>6.75</v>
      </c>
      <c r="N32" s="33" t="e">
        <v>#N/A</v>
      </c>
      <c r="O32" s="35"/>
      <c r="P32" s="32"/>
    </row>
    <row r="33" spans="1:16" ht="16.5" customHeight="1">
      <c r="A33" s="25" t="s">
        <v>83</v>
      </c>
      <c r="B33" s="26">
        <v>64019613</v>
      </c>
      <c r="C33" s="27" t="s">
        <v>122</v>
      </c>
      <c r="D33" s="26" t="s">
        <v>81</v>
      </c>
      <c r="E33" s="28">
        <v>50</v>
      </c>
      <c r="F33" s="29" t="s">
        <v>82</v>
      </c>
      <c r="G33" s="30">
        <f t="shared" si="0"/>
        <v>66.5</v>
      </c>
      <c r="H33" s="31">
        <f t="shared" si="1"/>
        <v>63.5</v>
      </c>
      <c r="I33" s="31">
        <f t="shared" si="2"/>
        <v>69.5</v>
      </c>
      <c r="J33" s="31">
        <f t="shared" si="4"/>
        <v>60.5</v>
      </c>
      <c r="K33" s="32">
        <f t="shared" si="5"/>
        <v>65</v>
      </c>
      <c r="L33" s="40">
        <v>1.3</v>
      </c>
      <c r="M33" s="33">
        <f t="shared" si="3"/>
        <v>4.5</v>
      </c>
      <c r="N33" s="33" t="e">
        <v>#N/A</v>
      </c>
      <c r="O33" s="25"/>
      <c r="P33" s="32"/>
    </row>
    <row r="34" spans="1:16" ht="16.5" customHeight="1">
      <c r="A34" s="35" t="s">
        <v>79</v>
      </c>
      <c r="B34" s="36">
        <v>64019727</v>
      </c>
      <c r="C34" s="37" t="s">
        <v>123</v>
      </c>
      <c r="D34" s="36" t="s">
        <v>81</v>
      </c>
      <c r="E34" s="38">
        <v>50</v>
      </c>
      <c r="F34" s="30" t="s">
        <v>82</v>
      </c>
      <c r="G34" s="30">
        <f t="shared" si="0"/>
        <v>66.5</v>
      </c>
      <c r="H34" s="31">
        <f t="shared" si="1"/>
        <v>63.5</v>
      </c>
      <c r="I34" s="31">
        <f t="shared" si="2"/>
        <v>69.5</v>
      </c>
      <c r="J34" s="31">
        <f t="shared" si="4"/>
        <v>60.5</v>
      </c>
      <c r="K34" s="32">
        <f t="shared" si="5"/>
        <v>65</v>
      </c>
      <c r="L34" s="40">
        <v>1.3</v>
      </c>
      <c r="M34" s="33">
        <f t="shared" si="3"/>
        <v>4.5</v>
      </c>
      <c r="N34" s="33" t="e">
        <v>#N/A</v>
      </c>
      <c r="O34" s="35"/>
      <c r="P34" s="32"/>
    </row>
    <row r="35" spans="1:16" ht="16.5" customHeight="1">
      <c r="A35" s="25" t="s">
        <v>85</v>
      </c>
      <c r="B35" s="26">
        <v>64024982</v>
      </c>
      <c r="C35" s="27" t="s">
        <v>124</v>
      </c>
      <c r="D35" s="26" t="s">
        <v>76</v>
      </c>
      <c r="E35" s="28">
        <v>70</v>
      </c>
      <c r="F35" s="29" t="s">
        <v>73</v>
      </c>
      <c r="G35" s="30">
        <f t="shared" si="0"/>
        <v>71.5</v>
      </c>
      <c r="H35" s="31">
        <f t="shared" si="1"/>
        <v>68.5</v>
      </c>
      <c r="I35" s="31">
        <f t="shared" si="2"/>
        <v>74.5</v>
      </c>
      <c r="J35" s="31">
        <f t="shared" si="4"/>
        <v>65.5</v>
      </c>
      <c r="K35" s="32">
        <f t="shared" si="5"/>
        <v>70</v>
      </c>
      <c r="L35" s="32"/>
      <c r="M35" s="33">
        <f t="shared" si="3"/>
        <v>4.5</v>
      </c>
      <c r="N35" s="33" t="e">
        <v>#N/A</v>
      </c>
      <c r="O35" s="25"/>
      <c r="P35" s="32"/>
    </row>
    <row r="36" spans="1:16" ht="16.5" customHeight="1">
      <c r="A36" s="35" t="s">
        <v>125</v>
      </c>
      <c r="B36" s="36">
        <v>64003013</v>
      </c>
      <c r="C36" s="37" t="s">
        <v>126</v>
      </c>
      <c r="D36" s="36" t="s">
        <v>76</v>
      </c>
      <c r="E36" s="38">
        <v>80</v>
      </c>
      <c r="F36" s="30" t="s">
        <v>73</v>
      </c>
      <c r="G36" s="30">
        <f t="shared" si="0"/>
        <v>81.5</v>
      </c>
      <c r="H36" s="31">
        <f t="shared" si="1"/>
        <v>78.5</v>
      </c>
      <c r="I36" s="31">
        <f t="shared" si="2"/>
        <v>84.5</v>
      </c>
      <c r="J36" s="31">
        <f t="shared" si="4"/>
        <v>75.5</v>
      </c>
      <c r="K36" s="32">
        <f t="shared" si="5"/>
        <v>80</v>
      </c>
      <c r="L36" s="32"/>
      <c r="M36" s="33">
        <f t="shared" si="3"/>
        <v>4.5</v>
      </c>
      <c r="N36" s="33" t="e">
        <v>#N/A</v>
      </c>
      <c r="O36" s="35"/>
      <c r="P36" s="32"/>
    </row>
    <row r="37" spans="1:16" ht="16.5" customHeight="1">
      <c r="A37" s="25" t="s">
        <v>125</v>
      </c>
      <c r="B37" s="26">
        <v>64022940</v>
      </c>
      <c r="C37" s="27" t="s">
        <v>127</v>
      </c>
      <c r="D37" s="26" t="s">
        <v>76</v>
      </c>
      <c r="E37" s="28">
        <v>80</v>
      </c>
      <c r="F37" s="29" t="s">
        <v>73</v>
      </c>
      <c r="G37" s="30">
        <f t="shared" si="0"/>
        <v>81.5</v>
      </c>
      <c r="H37" s="31">
        <f t="shared" si="1"/>
        <v>78.5</v>
      </c>
      <c r="I37" s="31">
        <f t="shared" si="2"/>
        <v>84.5</v>
      </c>
      <c r="J37" s="31">
        <f t="shared" si="4"/>
        <v>75.5</v>
      </c>
      <c r="K37" s="32">
        <f t="shared" si="5"/>
        <v>80</v>
      </c>
      <c r="L37" s="32"/>
      <c r="M37" s="33">
        <f t="shared" si="3"/>
        <v>4.5</v>
      </c>
      <c r="N37" s="33">
        <v>8.7100000000000009</v>
      </c>
      <c r="O37" s="25"/>
      <c r="P37" s="32"/>
    </row>
    <row r="38" spans="1:16" ht="16.5" customHeight="1">
      <c r="A38" s="35" t="s">
        <v>128</v>
      </c>
      <c r="B38" s="36">
        <v>64019659</v>
      </c>
      <c r="C38" s="37" t="s">
        <v>129</v>
      </c>
      <c r="D38" s="36" t="s">
        <v>76</v>
      </c>
      <c r="E38" s="38">
        <v>100</v>
      </c>
      <c r="F38" s="30" t="s">
        <v>73</v>
      </c>
      <c r="G38" s="30">
        <f t="shared" si="0"/>
        <v>101.5</v>
      </c>
      <c r="H38" s="31">
        <f t="shared" si="1"/>
        <v>98.5</v>
      </c>
      <c r="I38" s="31">
        <f t="shared" si="2"/>
        <v>104.5</v>
      </c>
      <c r="J38" s="31">
        <f t="shared" si="4"/>
        <v>95.5</v>
      </c>
      <c r="K38" s="32">
        <f t="shared" si="5"/>
        <v>100</v>
      </c>
      <c r="L38" s="32"/>
      <c r="M38" s="33">
        <f t="shared" si="3"/>
        <v>4.5</v>
      </c>
      <c r="N38" s="33" t="e">
        <v>#N/A</v>
      </c>
      <c r="O38" s="35"/>
      <c r="P38" s="32"/>
    </row>
    <row r="39" spans="1:16" ht="16.5" customHeight="1">
      <c r="A39" s="25" t="s">
        <v>130</v>
      </c>
      <c r="B39" s="26">
        <v>64003318</v>
      </c>
      <c r="C39" s="27" t="s">
        <v>131</v>
      </c>
      <c r="D39" s="26" t="s">
        <v>76</v>
      </c>
      <c r="E39" s="28">
        <v>180</v>
      </c>
      <c r="F39" s="29" t="s">
        <v>73</v>
      </c>
      <c r="G39" s="30">
        <f t="shared" si="0"/>
        <v>182.7</v>
      </c>
      <c r="H39" s="31">
        <f t="shared" si="1"/>
        <v>177.3</v>
      </c>
      <c r="I39" s="31">
        <f t="shared" si="2"/>
        <v>188.1</v>
      </c>
      <c r="J39" s="31">
        <f t="shared" si="4"/>
        <v>171.9</v>
      </c>
      <c r="K39" s="32">
        <f t="shared" si="5"/>
        <v>180</v>
      </c>
      <c r="L39" s="32"/>
      <c r="M39" s="33">
        <f t="shared" si="3"/>
        <v>8.1</v>
      </c>
      <c r="N39" s="33" t="e">
        <v>#N/A</v>
      </c>
      <c r="O39" s="25"/>
      <c r="P39" s="32"/>
    </row>
    <row r="40" spans="1:16" ht="16.5" customHeight="1">
      <c r="A40" s="35" t="s">
        <v>74</v>
      </c>
      <c r="B40" s="36">
        <v>64003104</v>
      </c>
      <c r="C40" s="37" t="s">
        <v>132</v>
      </c>
      <c r="D40" s="36" t="s">
        <v>76</v>
      </c>
      <c r="E40" s="38">
        <v>200</v>
      </c>
      <c r="F40" s="30" t="s">
        <v>73</v>
      </c>
      <c r="G40" s="30">
        <f t="shared" si="0"/>
        <v>203</v>
      </c>
      <c r="H40" s="31">
        <f t="shared" si="1"/>
        <v>197</v>
      </c>
      <c r="I40" s="31">
        <f t="shared" si="2"/>
        <v>209</v>
      </c>
      <c r="J40" s="31">
        <f t="shared" si="4"/>
        <v>191</v>
      </c>
      <c r="K40" s="32">
        <f t="shared" si="5"/>
        <v>200</v>
      </c>
      <c r="L40" s="32"/>
      <c r="M40" s="33">
        <f t="shared" si="3"/>
        <v>9</v>
      </c>
      <c r="N40" s="33" t="e">
        <v>#N/A</v>
      </c>
      <c r="O40" s="35"/>
      <c r="P40" s="32"/>
    </row>
    <row r="41" spans="1:16" ht="16.5" customHeight="1">
      <c r="A41" s="25" t="s">
        <v>79</v>
      </c>
      <c r="B41" s="26">
        <v>64004870</v>
      </c>
      <c r="C41" s="27" t="s">
        <v>133</v>
      </c>
      <c r="D41" s="26" t="s">
        <v>81</v>
      </c>
      <c r="E41" s="28">
        <v>125</v>
      </c>
      <c r="F41" s="29" t="s">
        <v>82</v>
      </c>
      <c r="G41" s="30">
        <f t="shared" si="0"/>
        <v>164.9375</v>
      </c>
      <c r="H41" s="31">
        <f t="shared" si="1"/>
        <v>160.0625</v>
      </c>
      <c r="I41" s="31">
        <f t="shared" si="2"/>
        <v>169.8125</v>
      </c>
      <c r="J41" s="31">
        <f t="shared" si="4"/>
        <v>155.1875</v>
      </c>
      <c r="K41" s="32">
        <f t="shared" si="5"/>
        <v>162.5</v>
      </c>
      <c r="L41" s="40">
        <v>1.3</v>
      </c>
      <c r="M41" s="33">
        <f t="shared" si="3"/>
        <v>7.3125</v>
      </c>
      <c r="N41" s="33" t="e">
        <v>#N/A</v>
      </c>
      <c r="O41" s="25"/>
      <c r="P41" s="32"/>
    </row>
    <row r="42" spans="1:16" ht="16.5" customHeight="1">
      <c r="A42" s="35" t="s">
        <v>98</v>
      </c>
      <c r="B42" s="36">
        <v>20237733</v>
      </c>
      <c r="C42" s="37" t="s">
        <v>134</v>
      </c>
      <c r="D42" s="36" t="s">
        <v>135</v>
      </c>
      <c r="E42" s="38">
        <v>75</v>
      </c>
      <c r="F42" s="30" t="s">
        <v>73</v>
      </c>
      <c r="G42" s="30">
        <f t="shared" si="0"/>
        <v>76.5</v>
      </c>
      <c r="H42" s="31">
        <f t="shared" si="1"/>
        <v>73.5</v>
      </c>
      <c r="I42" s="31">
        <f t="shared" si="2"/>
        <v>79.5</v>
      </c>
      <c r="J42" s="31">
        <f t="shared" si="4"/>
        <v>70.5</v>
      </c>
      <c r="K42" s="32">
        <f t="shared" si="5"/>
        <v>75</v>
      </c>
      <c r="L42" s="32"/>
      <c r="M42" s="33">
        <f t="shared" si="3"/>
        <v>4.5</v>
      </c>
      <c r="N42" s="33" t="e">
        <v>#N/A</v>
      </c>
      <c r="O42" s="35"/>
      <c r="P42" s="32"/>
    </row>
    <row r="43" spans="1:16" ht="16.5" customHeight="1">
      <c r="A43" s="25" t="s">
        <v>98</v>
      </c>
      <c r="B43" s="26">
        <v>20237735</v>
      </c>
      <c r="C43" s="27" t="s">
        <v>136</v>
      </c>
      <c r="D43" s="26" t="s">
        <v>135</v>
      </c>
      <c r="E43" s="28">
        <v>130</v>
      </c>
      <c r="F43" s="29" t="s">
        <v>73</v>
      </c>
      <c r="G43" s="30">
        <f t="shared" si="0"/>
        <v>131.94999999999999</v>
      </c>
      <c r="H43" s="31">
        <f t="shared" si="1"/>
        <v>128.05000000000001</v>
      </c>
      <c r="I43" s="31">
        <f t="shared" si="2"/>
        <v>135.85</v>
      </c>
      <c r="J43" s="31">
        <f t="shared" si="4"/>
        <v>124.15</v>
      </c>
      <c r="K43" s="32">
        <f t="shared" si="5"/>
        <v>130</v>
      </c>
      <c r="L43" s="32"/>
      <c r="M43" s="33">
        <f t="shared" si="3"/>
        <v>5.85</v>
      </c>
      <c r="N43" s="33" t="e">
        <v>#N/A</v>
      </c>
      <c r="O43" s="25"/>
      <c r="P43" s="32"/>
    </row>
    <row r="44" spans="1:16" ht="16.5" customHeight="1">
      <c r="A44" s="35" t="s">
        <v>137</v>
      </c>
      <c r="B44" s="36">
        <v>64023055</v>
      </c>
      <c r="C44" s="37" t="s">
        <v>138</v>
      </c>
      <c r="D44" s="36" t="s">
        <v>76</v>
      </c>
      <c r="E44" s="38">
        <v>100</v>
      </c>
      <c r="F44" s="30" t="s">
        <v>73</v>
      </c>
      <c r="G44" s="30">
        <f t="shared" si="0"/>
        <v>101.5</v>
      </c>
      <c r="H44" s="31">
        <f t="shared" si="1"/>
        <v>98.5</v>
      </c>
      <c r="I44" s="31">
        <f t="shared" si="2"/>
        <v>104.5</v>
      </c>
      <c r="J44" s="31">
        <f t="shared" si="4"/>
        <v>95.5</v>
      </c>
      <c r="K44" s="32">
        <f t="shared" si="5"/>
        <v>100</v>
      </c>
      <c r="L44" s="32"/>
      <c r="M44" s="33">
        <f t="shared" si="3"/>
        <v>4.5</v>
      </c>
      <c r="N44" s="33" t="e">
        <v>#N/A</v>
      </c>
      <c r="O44" s="35"/>
      <c r="P44" s="32"/>
    </row>
    <row r="45" spans="1:16" ht="16.5" customHeight="1">
      <c r="A45" s="25" t="s">
        <v>137</v>
      </c>
      <c r="B45" s="26">
        <v>64023057</v>
      </c>
      <c r="C45" s="27" t="s">
        <v>139</v>
      </c>
      <c r="D45" s="26" t="s">
        <v>76</v>
      </c>
      <c r="E45" s="28">
        <v>200</v>
      </c>
      <c r="F45" s="29" t="s">
        <v>73</v>
      </c>
      <c r="G45" s="30">
        <f t="shared" si="0"/>
        <v>203</v>
      </c>
      <c r="H45" s="31">
        <f t="shared" si="1"/>
        <v>197</v>
      </c>
      <c r="I45" s="31">
        <f t="shared" si="2"/>
        <v>209</v>
      </c>
      <c r="J45" s="31">
        <f t="shared" si="4"/>
        <v>191</v>
      </c>
      <c r="K45" s="32">
        <f t="shared" si="5"/>
        <v>200</v>
      </c>
      <c r="L45" s="32"/>
      <c r="M45" s="33">
        <f t="shared" si="3"/>
        <v>9</v>
      </c>
      <c r="N45" s="33" t="e">
        <v>#N/A</v>
      </c>
      <c r="O45" s="25"/>
      <c r="P45" s="32"/>
    </row>
    <row r="46" spans="1:16" ht="16.5" customHeight="1">
      <c r="A46" s="35" t="s">
        <v>85</v>
      </c>
      <c r="B46" s="36">
        <v>64003242</v>
      </c>
      <c r="C46" s="37" t="s">
        <v>140</v>
      </c>
      <c r="D46" s="36" t="s">
        <v>76</v>
      </c>
      <c r="E46" s="38">
        <v>220</v>
      </c>
      <c r="F46" s="30" t="s">
        <v>73</v>
      </c>
      <c r="G46" s="30">
        <f t="shared" si="0"/>
        <v>223</v>
      </c>
      <c r="H46" s="31">
        <f t="shared" si="1"/>
        <v>217</v>
      </c>
      <c r="I46" s="31">
        <f t="shared" si="2"/>
        <v>229</v>
      </c>
      <c r="J46" s="31">
        <f t="shared" si="4"/>
        <v>211</v>
      </c>
      <c r="K46" s="32">
        <f t="shared" si="5"/>
        <v>220</v>
      </c>
      <c r="L46" s="32"/>
      <c r="M46" s="33">
        <f t="shared" si="3"/>
        <v>9</v>
      </c>
      <c r="N46" s="33" t="e">
        <v>#N/A</v>
      </c>
      <c r="O46" s="35"/>
      <c r="P46" s="32"/>
    </row>
    <row r="47" spans="1:16" ht="16.5" customHeight="1">
      <c r="A47" s="25" t="s">
        <v>93</v>
      </c>
      <c r="B47" s="26">
        <v>64003278</v>
      </c>
      <c r="C47" s="27" t="s">
        <v>141</v>
      </c>
      <c r="D47" s="26" t="s">
        <v>76</v>
      </c>
      <c r="E47" s="28">
        <v>220</v>
      </c>
      <c r="F47" s="29" t="s">
        <v>73</v>
      </c>
      <c r="G47" s="30">
        <f t="shared" si="0"/>
        <v>223</v>
      </c>
      <c r="H47" s="31">
        <f t="shared" si="1"/>
        <v>217</v>
      </c>
      <c r="I47" s="31">
        <f t="shared" si="2"/>
        <v>229</v>
      </c>
      <c r="J47" s="31">
        <f t="shared" si="4"/>
        <v>211</v>
      </c>
      <c r="K47" s="32">
        <f t="shared" si="5"/>
        <v>220</v>
      </c>
      <c r="L47" s="32"/>
      <c r="M47" s="33">
        <f t="shared" si="3"/>
        <v>9</v>
      </c>
      <c r="N47" s="33" t="e">
        <v>#N/A</v>
      </c>
      <c r="O47" s="25"/>
      <c r="P47" s="32"/>
    </row>
    <row r="48" spans="1:16" ht="16.5" customHeight="1">
      <c r="A48" s="35" t="s">
        <v>142</v>
      </c>
      <c r="B48" s="36">
        <v>66812092</v>
      </c>
      <c r="C48" s="37" t="s">
        <v>143</v>
      </c>
      <c r="D48" s="36" t="s">
        <v>104</v>
      </c>
      <c r="E48" s="38">
        <v>160</v>
      </c>
      <c r="F48" s="30" t="s">
        <v>73</v>
      </c>
      <c r="G48" s="30">
        <f t="shared" si="0"/>
        <v>162.4</v>
      </c>
      <c r="H48" s="31">
        <f t="shared" si="1"/>
        <v>157.6</v>
      </c>
      <c r="I48" s="31">
        <f t="shared" si="2"/>
        <v>167.2</v>
      </c>
      <c r="J48" s="31">
        <f t="shared" si="4"/>
        <v>152.80000000000001</v>
      </c>
      <c r="K48" s="32">
        <f t="shared" si="5"/>
        <v>160</v>
      </c>
      <c r="L48" s="32"/>
      <c r="M48" s="33">
        <f t="shared" si="3"/>
        <v>7.1999999999999993</v>
      </c>
      <c r="N48" s="33" t="e">
        <v>#N/A</v>
      </c>
      <c r="O48" s="35"/>
      <c r="P48" s="32"/>
    </row>
    <row r="49" spans="1:16" ht="16.5" customHeight="1">
      <c r="A49" s="25" t="s">
        <v>142</v>
      </c>
      <c r="B49" s="26">
        <v>66812094</v>
      </c>
      <c r="C49" s="27" t="s">
        <v>144</v>
      </c>
      <c r="D49" s="26" t="s">
        <v>104</v>
      </c>
      <c r="E49" s="28">
        <v>40</v>
      </c>
      <c r="F49" s="29" t="s">
        <v>73</v>
      </c>
      <c r="G49" s="30">
        <f t="shared" si="0"/>
        <v>41.2</v>
      </c>
      <c r="H49" s="31">
        <f t="shared" si="1"/>
        <v>38.799999999999997</v>
      </c>
      <c r="I49" s="31">
        <f t="shared" si="2"/>
        <v>43.6</v>
      </c>
      <c r="J49" s="31">
        <f t="shared" si="4"/>
        <v>36.4</v>
      </c>
      <c r="K49" s="32">
        <f t="shared" si="5"/>
        <v>40</v>
      </c>
      <c r="L49" s="32"/>
      <c r="M49" s="33">
        <f t="shared" si="3"/>
        <v>3.5999999999999996</v>
      </c>
      <c r="N49" s="33" t="e">
        <v>#N/A</v>
      </c>
      <c r="O49" s="25"/>
      <c r="P49" s="32"/>
    </row>
    <row r="50" spans="1:16" ht="16.5" customHeight="1">
      <c r="A50" s="35" t="s">
        <v>145</v>
      </c>
      <c r="B50" s="36">
        <v>20238219</v>
      </c>
      <c r="C50" s="37" t="s">
        <v>146</v>
      </c>
      <c r="D50" s="36" t="s">
        <v>81</v>
      </c>
      <c r="E50" s="38">
        <v>100</v>
      </c>
      <c r="F50" s="30" t="s">
        <v>82</v>
      </c>
      <c r="G50" s="30">
        <f t="shared" si="0"/>
        <v>153.26499999999999</v>
      </c>
      <c r="H50" s="31">
        <f t="shared" si="1"/>
        <v>148.73500000000001</v>
      </c>
      <c r="I50" s="31">
        <f t="shared" si="2"/>
        <v>157.79499999999999</v>
      </c>
      <c r="J50" s="31">
        <f t="shared" si="4"/>
        <v>144.20500000000001</v>
      </c>
      <c r="K50" s="32">
        <f t="shared" si="5"/>
        <v>151</v>
      </c>
      <c r="L50" s="40">
        <v>1.51</v>
      </c>
      <c r="M50" s="33">
        <f t="shared" si="3"/>
        <v>6.7949999999999999</v>
      </c>
      <c r="N50" s="33" t="e">
        <v>#N/A</v>
      </c>
      <c r="O50" s="35"/>
      <c r="P50" s="32"/>
    </row>
    <row r="51" spans="1:16" ht="16.5" customHeight="1">
      <c r="A51" s="25" t="s">
        <v>145</v>
      </c>
      <c r="B51" s="26">
        <v>20238217</v>
      </c>
      <c r="C51" s="27" t="s">
        <v>147</v>
      </c>
      <c r="D51" s="26" t="s">
        <v>81</v>
      </c>
      <c r="E51" s="28">
        <v>10</v>
      </c>
      <c r="F51" s="29" t="s">
        <v>82</v>
      </c>
      <c r="G51" s="30">
        <f t="shared" si="0"/>
        <v>15.552999999999999</v>
      </c>
      <c r="H51" s="31">
        <f t="shared" si="1"/>
        <v>14.647</v>
      </c>
      <c r="I51" s="31">
        <f t="shared" si="2"/>
        <v>16.459</v>
      </c>
      <c r="J51" s="31">
        <f t="shared" si="4"/>
        <v>13.741</v>
      </c>
      <c r="K51" s="32">
        <f t="shared" si="5"/>
        <v>15.1</v>
      </c>
      <c r="L51" s="40">
        <v>1.51</v>
      </c>
      <c r="M51" s="33">
        <f t="shared" si="3"/>
        <v>1.359</v>
      </c>
      <c r="N51" s="33" t="e">
        <v>#N/A</v>
      </c>
      <c r="O51" s="25"/>
      <c r="P51" s="32"/>
    </row>
    <row r="52" spans="1:16" ht="16.5" customHeight="1">
      <c r="A52" s="35" t="s">
        <v>145</v>
      </c>
      <c r="B52" s="36">
        <v>20238218</v>
      </c>
      <c r="C52" s="37" t="s">
        <v>148</v>
      </c>
      <c r="D52" s="36" t="s">
        <v>81</v>
      </c>
      <c r="E52" s="38">
        <v>50</v>
      </c>
      <c r="F52" s="30" t="s">
        <v>82</v>
      </c>
      <c r="G52" s="30">
        <f t="shared" si="0"/>
        <v>77</v>
      </c>
      <c r="H52" s="31">
        <f t="shared" si="1"/>
        <v>74</v>
      </c>
      <c r="I52" s="31">
        <f t="shared" si="2"/>
        <v>80</v>
      </c>
      <c r="J52" s="31">
        <f t="shared" si="4"/>
        <v>71</v>
      </c>
      <c r="K52" s="32">
        <f t="shared" si="5"/>
        <v>75.5</v>
      </c>
      <c r="L52" s="40">
        <v>1.51</v>
      </c>
      <c r="M52" s="33">
        <f t="shared" si="3"/>
        <v>4.5</v>
      </c>
      <c r="N52" s="33" t="e">
        <v>#N/A</v>
      </c>
      <c r="O52" s="35"/>
      <c r="P52" s="32"/>
    </row>
    <row r="53" spans="1:16" ht="16.5" customHeight="1">
      <c r="A53" s="25" t="s">
        <v>149</v>
      </c>
      <c r="B53" s="26">
        <v>20238646</v>
      </c>
      <c r="C53" s="27" t="s">
        <v>150</v>
      </c>
      <c r="D53" s="26" t="s">
        <v>76</v>
      </c>
      <c r="E53" s="28">
        <v>300</v>
      </c>
      <c r="F53" s="29" t="s">
        <v>82</v>
      </c>
      <c r="G53" s="30">
        <f t="shared" si="0"/>
        <v>318.14999999999998</v>
      </c>
      <c r="H53" s="31">
        <f t="shared" si="1"/>
        <v>311.85000000000002</v>
      </c>
      <c r="I53" s="31">
        <f t="shared" si="2"/>
        <v>324.45</v>
      </c>
      <c r="J53" s="31">
        <f t="shared" si="4"/>
        <v>305.55</v>
      </c>
      <c r="K53" s="32">
        <f t="shared" si="5"/>
        <v>315</v>
      </c>
      <c r="L53" s="40">
        <v>1.05</v>
      </c>
      <c r="M53" s="33">
        <f t="shared" si="3"/>
        <v>9.4499999999999993</v>
      </c>
      <c r="N53" s="33" t="e">
        <v>#N/A</v>
      </c>
      <c r="O53" s="25"/>
      <c r="P53" s="32"/>
    </row>
    <row r="54" spans="1:16" ht="16.5" customHeight="1">
      <c r="A54" s="35" t="s">
        <v>151</v>
      </c>
      <c r="B54" s="36">
        <v>20238526</v>
      </c>
      <c r="C54" s="37" t="s">
        <v>152</v>
      </c>
      <c r="D54" s="36" t="s">
        <v>76</v>
      </c>
      <c r="E54" s="38">
        <v>300</v>
      </c>
      <c r="F54" s="30" t="s">
        <v>82</v>
      </c>
      <c r="G54" s="30">
        <f t="shared" si="0"/>
        <v>318.14999999999998</v>
      </c>
      <c r="H54" s="31">
        <f t="shared" si="1"/>
        <v>311.85000000000002</v>
      </c>
      <c r="I54" s="31">
        <f t="shared" si="2"/>
        <v>324.45</v>
      </c>
      <c r="J54" s="31">
        <f t="shared" si="4"/>
        <v>305.55</v>
      </c>
      <c r="K54" s="32">
        <f t="shared" si="5"/>
        <v>315</v>
      </c>
      <c r="L54" s="40">
        <v>1.05</v>
      </c>
      <c r="M54" s="33">
        <f t="shared" si="3"/>
        <v>9.4499999999999993</v>
      </c>
      <c r="N54" s="33" t="e">
        <v>#N/A</v>
      </c>
      <c r="O54" s="35"/>
      <c r="P54" s="32"/>
    </row>
    <row r="55" spans="1:16" ht="16.5" customHeight="1">
      <c r="A55" s="25" t="s">
        <v>151</v>
      </c>
      <c r="B55" s="26">
        <v>20238534</v>
      </c>
      <c r="C55" s="27" t="s">
        <v>153</v>
      </c>
      <c r="D55" s="26" t="s">
        <v>76</v>
      </c>
      <c r="E55" s="28">
        <v>150</v>
      </c>
      <c r="F55" s="29" t="s">
        <v>82</v>
      </c>
      <c r="G55" s="30">
        <f t="shared" si="0"/>
        <v>159.86250000000001</v>
      </c>
      <c r="H55" s="31">
        <f t="shared" si="1"/>
        <v>155.13749999999999</v>
      </c>
      <c r="I55" s="31">
        <f t="shared" si="2"/>
        <v>164.58750000000001</v>
      </c>
      <c r="J55" s="31">
        <f t="shared" si="4"/>
        <v>150.41249999999999</v>
      </c>
      <c r="K55" s="32">
        <f t="shared" si="5"/>
        <v>157.5</v>
      </c>
      <c r="L55" s="40">
        <v>1.05</v>
      </c>
      <c r="M55" s="33">
        <f t="shared" si="3"/>
        <v>7.0874999999999995</v>
      </c>
      <c r="N55" s="33" t="e">
        <v>#N/A</v>
      </c>
      <c r="O55" s="25"/>
      <c r="P55" s="32"/>
    </row>
    <row r="56" spans="1:16" ht="16.5" customHeight="1">
      <c r="A56" s="35" t="s">
        <v>114</v>
      </c>
      <c r="B56" s="36">
        <v>20237723</v>
      </c>
      <c r="C56" s="37" t="s">
        <v>154</v>
      </c>
      <c r="D56" s="36" t="s">
        <v>76</v>
      </c>
      <c r="E56" s="38">
        <v>150</v>
      </c>
      <c r="F56" s="30" t="s">
        <v>73</v>
      </c>
      <c r="G56" s="30">
        <f t="shared" si="0"/>
        <v>152.25</v>
      </c>
      <c r="H56" s="31">
        <f t="shared" si="1"/>
        <v>147.75</v>
      </c>
      <c r="I56" s="31">
        <f t="shared" si="2"/>
        <v>156.75</v>
      </c>
      <c r="J56" s="31">
        <f t="shared" si="4"/>
        <v>143.25</v>
      </c>
      <c r="K56" s="32">
        <f t="shared" si="5"/>
        <v>150</v>
      </c>
      <c r="L56" s="32"/>
      <c r="M56" s="33">
        <f t="shared" si="3"/>
        <v>6.75</v>
      </c>
      <c r="N56" s="33" t="e">
        <v>#N/A</v>
      </c>
      <c r="O56" s="35"/>
      <c r="P56" s="32"/>
    </row>
    <row r="57" spans="1:16" ht="16.5" customHeight="1">
      <c r="A57" s="25" t="s">
        <v>155</v>
      </c>
      <c r="B57" s="26">
        <v>20253981</v>
      </c>
      <c r="C57" s="27" t="s">
        <v>156</v>
      </c>
      <c r="D57" s="26" t="s">
        <v>76</v>
      </c>
      <c r="E57" s="28">
        <v>100</v>
      </c>
      <c r="F57" s="29" t="s">
        <v>73</v>
      </c>
      <c r="G57" s="30">
        <f t="shared" si="0"/>
        <v>101.5</v>
      </c>
      <c r="H57" s="31">
        <f t="shared" si="1"/>
        <v>98.5</v>
      </c>
      <c r="I57" s="31">
        <f t="shared" si="2"/>
        <v>104.5</v>
      </c>
      <c r="J57" s="31">
        <f t="shared" si="4"/>
        <v>95.5</v>
      </c>
      <c r="K57" s="32">
        <f t="shared" si="5"/>
        <v>100</v>
      </c>
      <c r="L57" s="32"/>
      <c r="M57" s="33">
        <f t="shared" si="3"/>
        <v>4.5</v>
      </c>
      <c r="N57" s="33" t="e">
        <v>#N/A</v>
      </c>
      <c r="O57" s="25"/>
      <c r="P57" s="32"/>
    </row>
    <row r="58" spans="1:16" ht="16.5" customHeight="1">
      <c r="A58" s="35" t="s">
        <v>142</v>
      </c>
      <c r="B58" s="36">
        <v>64003072</v>
      </c>
      <c r="C58" s="37" t="s">
        <v>157</v>
      </c>
      <c r="D58" s="36" t="s">
        <v>76</v>
      </c>
      <c r="E58" s="38">
        <v>20</v>
      </c>
      <c r="F58" s="30" t="s">
        <v>73</v>
      </c>
      <c r="G58" s="30">
        <f t="shared" si="0"/>
        <v>20.6</v>
      </c>
      <c r="H58" s="31">
        <f t="shared" si="1"/>
        <v>19.399999999999999</v>
      </c>
      <c r="I58" s="31">
        <f t="shared" si="2"/>
        <v>21.8</v>
      </c>
      <c r="J58" s="31">
        <f t="shared" si="4"/>
        <v>18.2</v>
      </c>
      <c r="K58" s="32">
        <f t="shared" si="5"/>
        <v>20</v>
      </c>
      <c r="L58" s="32"/>
      <c r="M58" s="33">
        <f t="shared" si="3"/>
        <v>1.7999999999999998</v>
      </c>
      <c r="N58" s="33" t="e">
        <v>#N/A</v>
      </c>
      <c r="O58" s="35"/>
      <c r="P58" s="32"/>
    </row>
    <row r="59" spans="1:16" ht="16.5" customHeight="1">
      <c r="A59" s="25" t="s">
        <v>114</v>
      </c>
      <c r="B59" s="26">
        <v>20256554</v>
      </c>
      <c r="C59" s="27" t="s">
        <v>158</v>
      </c>
      <c r="D59" s="26" t="s">
        <v>76</v>
      </c>
      <c r="E59" s="28">
        <v>18</v>
      </c>
      <c r="F59" s="29" t="s">
        <v>73</v>
      </c>
      <c r="G59" s="30">
        <f t="shared" si="0"/>
        <v>18.54</v>
      </c>
      <c r="H59" s="31">
        <f t="shared" si="1"/>
        <v>17.46</v>
      </c>
      <c r="I59" s="31">
        <f t="shared" si="2"/>
        <v>19.62</v>
      </c>
      <c r="J59" s="31">
        <f t="shared" si="4"/>
        <v>16.38</v>
      </c>
      <c r="K59" s="32">
        <f t="shared" si="5"/>
        <v>18</v>
      </c>
      <c r="L59" s="32"/>
      <c r="M59" s="33">
        <f t="shared" si="3"/>
        <v>1.6199999999999999</v>
      </c>
      <c r="N59" s="33" t="e">
        <v>#N/A</v>
      </c>
      <c r="O59" s="25"/>
      <c r="P59" s="32"/>
    </row>
    <row r="60" spans="1:16" ht="16.5" customHeight="1">
      <c r="A60" s="35" t="s">
        <v>159</v>
      </c>
      <c r="B60" s="36">
        <v>20237864</v>
      </c>
      <c r="C60" s="37" t="s">
        <v>160</v>
      </c>
      <c r="D60" s="36" t="s">
        <v>87</v>
      </c>
      <c r="E60" s="38">
        <v>100</v>
      </c>
      <c r="F60" s="30" t="s">
        <v>73</v>
      </c>
      <c r="G60" s="30">
        <f t="shared" si="0"/>
        <v>103</v>
      </c>
      <c r="H60" s="31">
        <f t="shared" si="1"/>
        <v>101</v>
      </c>
      <c r="I60" s="31">
        <f t="shared" si="2"/>
        <v>105</v>
      </c>
      <c r="J60" s="31">
        <f t="shared" si="4"/>
        <v>100</v>
      </c>
      <c r="K60" s="32">
        <f t="shared" si="5"/>
        <v>100</v>
      </c>
      <c r="L60" s="32"/>
      <c r="M60" s="33">
        <f t="shared" si="3"/>
        <v>0</v>
      </c>
      <c r="N60" s="33" t="e">
        <v>#N/A</v>
      </c>
      <c r="O60" s="35"/>
      <c r="P60" s="41" t="s">
        <v>88</v>
      </c>
    </row>
    <row r="61" spans="1:16" ht="16.5" customHeight="1">
      <c r="A61" s="25" t="s">
        <v>142</v>
      </c>
      <c r="B61" s="26">
        <v>20255860</v>
      </c>
      <c r="C61" s="27" t="s">
        <v>161</v>
      </c>
      <c r="D61" s="26" t="s">
        <v>76</v>
      </c>
      <c r="E61" s="31">
        <v>200</v>
      </c>
      <c r="F61" s="29" t="s">
        <v>73</v>
      </c>
      <c r="G61" s="30">
        <f t="shared" si="0"/>
        <v>203</v>
      </c>
      <c r="H61" s="31">
        <f t="shared" si="1"/>
        <v>197</v>
      </c>
      <c r="I61" s="31">
        <f t="shared" si="2"/>
        <v>209</v>
      </c>
      <c r="J61" s="31">
        <f t="shared" si="4"/>
        <v>191</v>
      </c>
      <c r="K61" s="32">
        <f t="shared" si="5"/>
        <v>200</v>
      </c>
      <c r="L61" s="32"/>
      <c r="M61" s="33">
        <f t="shared" si="3"/>
        <v>9</v>
      </c>
      <c r="N61" s="33" t="e">
        <v>#N/A</v>
      </c>
      <c r="O61" s="25"/>
      <c r="P61" s="32"/>
    </row>
    <row r="62" spans="1:16" ht="16.5" customHeight="1">
      <c r="A62" s="35" t="s">
        <v>142</v>
      </c>
      <c r="B62" s="36">
        <v>20252850</v>
      </c>
      <c r="C62" s="37" t="s">
        <v>162</v>
      </c>
      <c r="D62" s="36" t="s">
        <v>76</v>
      </c>
      <c r="E62" s="31">
        <v>120</v>
      </c>
      <c r="F62" s="30" t="s">
        <v>73</v>
      </c>
      <c r="G62" s="30">
        <f t="shared" si="0"/>
        <v>121.8</v>
      </c>
      <c r="H62" s="31">
        <f t="shared" si="1"/>
        <v>118.2</v>
      </c>
      <c r="I62" s="31">
        <f t="shared" si="2"/>
        <v>125.4</v>
      </c>
      <c r="J62" s="31">
        <f t="shared" si="4"/>
        <v>114.6</v>
      </c>
      <c r="K62" s="32">
        <f t="shared" si="5"/>
        <v>120</v>
      </c>
      <c r="L62" s="32"/>
      <c r="M62" s="33">
        <f t="shared" si="3"/>
        <v>5.3999999999999995</v>
      </c>
      <c r="N62" s="33" t="e">
        <v>#N/A</v>
      </c>
      <c r="O62" s="35"/>
      <c r="P62" s="32"/>
    </row>
    <row r="63" spans="1:16" ht="16.5" customHeight="1">
      <c r="A63" s="25" t="s">
        <v>74</v>
      </c>
      <c r="B63" s="26">
        <v>20255854</v>
      </c>
      <c r="C63" s="27" t="s">
        <v>163</v>
      </c>
      <c r="D63" s="26" t="s">
        <v>76</v>
      </c>
      <c r="E63" s="28">
        <v>200</v>
      </c>
      <c r="F63" s="29" t="s">
        <v>73</v>
      </c>
      <c r="G63" s="30">
        <f t="shared" si="0"/>
        <v>203</v>
      </c>
      <c r="H63" s="31">
        <f t="shared" si="1"/>
        <v>197</v>
      </c>
      <c r="I63" s="31">
        <f t="shared" si="2"/>
        <v>209</v>
      </c>
      <c r="J63" s="31">
        <f t="shared" si="4"/>
        <v>191</v>
      </c>
      <c r="K63" s="32">
        <f t="shared" si="5"/>
        <v>200</v>
      </c>
      <c r="L63" s="32"/>
      <c r="M63" s="33">
        <f t="shared" si="3"/>
        <v>9</v>
      </c>
      <c r="N63" s="33" t="e">
        <v>#N/A</v>
      </c>
      <c r="O63" s="25"/>
      <c r="P63" s="32"/>
    </row>
    <row r="64" spans="1:16" ht="16.5" customHeight="1">
      <c r="A64" s="35" t="s">
        <v>110</v>
      </c>
      <c r="B64" s="36">
        <v>64021207</v>
      </c>
      <c r="C64" s="37" t="s">
        <v>164</v>
      </c>
      <c r="D64" s="36" t="s">
        <v>109</v>
      </c>
      <c r="E64" s="38">
        <v>100</v>
      </c>
      <c r="F64" s="30" t="s">
        <v>73</v>
      </c>
      <c r="G64" s="30">
        <f t="shared" si="0"/>
        <v>103</v>
      </c>
      <c r="H64" s="31">
        <f t="shared" si="1"/>
        <v>101</v>
      </c>
      <c r="I64" s="31">
        <f t="shared" si="2"/>
        <v>105</v>
      </c>
      <c r="J64" s="31">
        <f t="shared" si="4"/>
        <v>100</v>
      </c>
      <c r="K64" s="32">
        <f t="shared" si="5"/>
        <v>100</v>
      </c>
      <c r="L64" s="32"/>
      <c r="M64" s="33">
        <f t="shared" si="3"/>
        <v>0</v>
      </c>
      <c r="N64" s="33">
        <v>6.3</v>
      </c>
      <c r="O64" s="35"/>
      <c r="P64" s="41" t="s">
        <v>88</v>
      </c>
    </row>
    <row r="65" spans="1:16" ht="16.5" customHeight="1">
      <c r="A65" s="25" t="s">
        <v>114</v>
      </c>
      <c r="B65" s="26">
        <v>20245201</v>
      </c>
      <c r="C65" s="27" t="s">
        <v>165</v>
      </c>
      <c r="D65" s="26" t="s">
        <v>76</v>
      </c>
      <c r="E65" s="28">
        <v>150</v>
      </c>
      <c r="F65" s="29" t="s">
        <v>73</v>
      </c>
      <c r="G65" s="30">
        <f t="shared" si="0"/>
        <v>152.25</v>
      </c>
      <c r="H65" s="31">
        <f t="shared" si="1"/>
        <v>147.75</v>
      </c>
      <c r="I65" s="31">
        <f t="shared" si="2"/>
        <v>156.75</v>
      </c>
      <c r="J65" s="31">
        <f t="shared" si="4"/>
        <v>143.25</v>
      </c>
      <c r="K65" s="32">
        <f t="shared" si="5"/>
        <v>150</v>
      </c>
      <c r="L65" s="32"/>
      <c r="M65" s="33">
        <f t="shared" si="3"/>
        <v>6.75</v>
      </c>
      <c r="N65" s="33" t="e">
        <v>#N/A</v>
      </c>
      <c r="O65" s="25"/>
      <c r="P65" s="32"/>
    </row>
    <row r="66" spans="1:16" ht="16.5" customHeight="1">
      <c r="A66" s="35" t="s">
        <v>117</v>
      </c>
      <c r="B66" s="36">
        <v>20240863</v>
      </c>
      <c r="C66" s="37" t="s">
        <v>166</v>
      </c>
      <c r="D66" s="36" t="s">
        <v>116</v>
      </c>
      <c r="E66" s="38">
        <v>100</v>
      </c>
      <c r="F66" s="30" t="s">
        <v>82</v>
      </c>
      <c r="G66" s="30">
        <f t="shared" si="0"/>
        <v>131.94999999999999</v>
      </c>
      <c r="H66" s="31">
        <f t="shared" si="1"/>
        <v>128.05000000000001</v>
      </c>
      <c r="I66" s="31">
        <f t="shared" si="2"/>
        <v>135.85</v>
      </c>
      <c r="J66" s="31">
        <f t="shared" si="4"/>
        <v>124.15</v>
      </c>
      <c r="K66" s="32">
        <f t="shared" si="5"/>
        <v>130</v>
      </c>
      <c r="L66" s="40">
        <v>1.3</v>
      </c>
      <c r="M66" s="33">
        <f t="shared" si="3"/>
        <v>5.85</v>
      </c>
      <c r="N66" s="33" t="e">
        <v>#N/A</v>
      </c>
      <c r="O66" s="35"/>
      <c r="P66" s="32"/>
    </row>
    <row r="67" spans="1:16" ht="16.5" customHeight="1">
      <c r="A67" s="25" t="s">
        <v>137</v>
      </c>
      <c r="B67" s="26">
        <v>20281726</v>
      </c>
      <c r="C67" s="27" t="s">
        <v>167</v>
      </c>
      <c r="D67" s="26" t="s">
        <v>76</v>
      </c>
      <c r="E67" s="28">
        <v>20</v>
      </c>
      <c r="F67" s="29" t="s">
        <v>73</v>
      </c>
      <c r="G67" s="30">
        <f t="shared" ref="G67:G130" si="6">IF(P67="TL tuyệt đối",K67*103%,K67+1/3*M67)</f>
        <v>20.6</v>
      </c>
      <c r="H67" s="31">
        <f t="shared" ref="H67:H130" si="7">IF(P67="TL tuyệt đối",K67*101%,K67-1/3*M67)</f>
        <v>19.399999999999999</v>
      </c>
      <c r="I67" s="31">
        <f t="shared" ref="I67:I130" si="8">IF(P67="TL tuyệt đối", K67*105%,K67+M67)</f>
        <v>21.8</v>
      </c>
      <c r="J67" s="31">
        <f t="shared" si="4"/>
        <v>18.2</v>
      </c>
      <c r="K67" s="32">
        <f t="shared" si="5"/>
        <v>20</v>
      </c>
      <c r="L67" s="32"/>
      <c r="M67" s="33">
        <f t="shared" ref="M67:M130" si="9">IF(P67="TL tuyệt đối",0, IF(K67&lt;5,0,IF(K67&lt;50,K67*9%,IF(K67&lt;100,4.5,IF(K67&lt;200,4.5%*K67,IF(K67&lt;300,9,IF(K67&lt;500,K67*3%,IF(K67&lt;1000,15,))))))))</f>
        <v>1.7999999999999998</v>
      </c>
      <c r="N67" s="33" t="e">
        <v>#N/A</v>
      </c>
      <c r="O67" s="25"/>
      <c r="P67" s="32"/>
    </row>
    <row r="68" spans="1:16" ht="16.5" customHeight="1">
      <c r="A68" s="35" t="s">
        <v>142</v>
      </c>
      <c r="B68" s="36">
        <v>20281729</v>
      </c>
      <c r="C68" s="37" t="s">
        <v>168</v>
      </c>
      <c r="D68" s="36" t="s">
        <v>76</v>
      </c>
      <c r="E68" s="38">
        <v>200</v>
      </c>
      <c r="F68" s="30" t="s">
        <v>73</v>
      </c>
      <c r="G68" s="30">
        <f t="shared" si="6"/>
        <v>203</v>
      </c>
      <c r="H68" s="31">
        <f t="shared" si="7"/>
        <v>197</v>
      </c>
      <c r="I68" s="31">
        <f t="shared" si="8"/>
        <v>209</v>
      </c>
      <c r="J68" s="31">
        <f t="shared" ref="J68:J131" si="10">K68-M68</f>
        <v>191</v>
      </c>
      <c r="K68" s="32">
        <f t="shared" ref="K68:K131" si="11">IF(F68="ml",E68*L68,E68)</f>
        <v>200</v>
      </c>
      <c r="L68" s="32"/>
      <c r="M68" s="33">
        <f t="shared" si="9"/>
        <v>9</v>
      </c>
      <c r="N68" s="33" t="e">
        <v>#N/A</v>
      </c>
      <c r="O68" s="35"/>
      <c r="P68" s="32"/>
    </row>
    <row r="69" spans="1:16" ht="16.5" customHeight="1">
      <c r="A69" s="25" t="s">
        <v>85</v>
      </c>
      <c r="B69" s="26">
        <v>20243489</v>
      </c>
      <c r="C69" s="27" t="s">
        <v>169</v>
      </c>
      <c r="D69" s="26" t="s">
        <v>76</v>
      </c>
      <c r="E69" s="28">
        <v>220</v>
      </c>
      <c r="F69" s="29" t="s">
        <v>73</v>
      </c>
      <c r="G69" s="30">
        <f t="shared" si="6"/>
        <v>223</v>
      </c>
      <c r="H69" s="31">
        <f t="shared" si="7"/>
        <v>217</v>
      </c>
      <c r="I69" s="31">
        <f t="shared" si="8"/>
        <v>229</v>
      </c>
      <c r="J69" s="31">
        <f t="shared" si="10"/>
        <v>211</v>
      </c>
      <c r="K69" s="32">
        <f t="shared" si="11"/>
        <v>220</v>
      </c>
      <c r="L69" s="32"/>
      <c r="M69" s="33">
        <f t="shared" si="9"/>
        <v>9</v>
      </c>
      <c r="N69" s="33" t="e">
        <v>#N/A</v>
      </c>
      <c r="O69" s="25"/>
      <c r="P69" s="32"/>
    </row>
    <row r="70" spans="1:16" ht="16.5" customHeight="1">
      <c r="A70" s="35" t="s">
        <v>93</v>
      </c>
      <c r="B70" s="36">
        <v>20243495</v>
      </c>
      <c r="C70" s="37" t="s">
        <v>170</v>
      </c>
      <c r="D70" s="36" t="s">
        <v>76</v>
      </c>
      <c r="E70" s="38">
        <v>220</v>
      </c>
      <c r="F70" s="30" t="s">
        <v>73</v>
      </c>
      <c r="G70" s="30">
        <f t="shared" si="6"/>
        <v>223</v>
      </c>
      <c r="H70" s="31">
        <f t="shared" si="7"/>
        <v>217</v>
      </c>
      <c r="I70" s="31">
        <f t="shared" si="8"/>
        <v>229</v>
      </c>
      <c r="J70" s="31">
        <f t="shared" si="10"/>
        <v>211</v>
      </c>
      <c r="K70" s="32">
        <f t="shared" si="11"/>
        <v>220</v>
      </c>
      <c r="L70" s="32"/>
      <c r="M70" s="33">
        <f t="shared" si="9"/>
        <v>9</v>
      </c>
      <c r="N70" s="33" t="e">
        <v>#N/A</v>
      </c>
      <c r="O70" s="35"/>
      <c r="P70" s="32"/>
    </row>
    <row r="71" spans="1:16" ht="16.5" customHeight="1">
      <c r="A71" s="25" t="s">
        <v>130</v>
      </c>
      <c r="B71" s="26">
        <v>20243498</v>
      </c>
      <c r="C71" s="27" t="s">
        <v>171</v>
      </c>
      <c r="D71" s="26" t="s">
        <v>76</v>
      </c>
      <c r="E71" s="28">
        <v>180</v>
      </c>
      <c r="F71" s="29" t="s">
        <v>73</v>
      </c>
      <c r="G71" s="30">
        <f t="shared" si="6"/>
        <v>182.7</v>
      </c>
      <c r="H71" s="31">
        <f t="shared" si="7"/>
        <v>177.3</v>
      </c>
      <c r="I71" s="31">
        <f t="shared" si="8"/>
        <v>188.1</v>
      </c>
      <c r="J71" s="31">
        <f t="shared" si="10"/>
        <v>171.9</v>
      </c>
      <c r="K71" s="32">
        <f t="shared" si="11"/>
        <v>180</v>
      </c>
      <c r="L71" s="32"/>
      <c r="M71" s="33">
        <f t="shared" si="9"/>
        <v>8.1</v>
      </c>
      <c r="N71" s="33" t="e">
        <v>#N/A</v>
      </c>
      <c r="O71" s="25"/>
      <c r="P71" s="32"/>
    </row>
    <row r="72" spans="1:16" ht="16.5" customHeight="1">
      <c r="A72" s="35" t="s">
        <v>172</v>
      </c>
      <c r="B72" s="36">
        <v>64033010</v>
      </c>
      <c r="C72" s="37" t="s">
        <v>173</v>
      </c>
      <c r="D72" s="36" t="s">
        <v>76</v>
      </c>
      <c r="E72" s="38">
        <v>35</v>
      </c>
      <c r="F72" s="30" t="s">
        <v>73</v>
      </c>
      <c r="G72" s="30">
        <f t="shared" si="6"/>
        <v>36.049999999999997</v>
      </c>
      <c r="H72" s="31">
        <f t="shared" si="7"/>
        <v>33.950000000000003</v>
      </c>
      <c r="I72" s="31">
        <f t="shared" si="8"/>
        <v>38.15</v>
      </c>
      <c r="J72" s="31">
        <f t="shared" si="10"/>
        <v>31.85</v>
      </c>
      <c r="K72" s="32">
        <f t="shared" si="11"/>
        <v>35</v>
      </c>
      <c r="L72" s="32"/>
      <c r="M72" s="33">
        <f t="shared" si="9"/>
        <v>3.15</v>
      </c>
      <c r="N72" s="33" t="e">
        <v>#N/A</v>
      </c>
      <c r="O72" s="35"/>
      <c r="P72" s="32"/>
    </row>
    <row r="73" spans="1:16" ht="16.5" customHeight="1">
      <c r="A73" s="25" t="s">
        <v>137</v>
      </c>
      <c r="B73" s="26">
        <v>20289811</v>
      </c>
      <c r="C73" s="27" t="s">
        <v>174</v>
      </c>
      <c r="D73" s="26" t="s">
        <v>76</v>
      </c>
      <c r="E73" s="28">
        <v>200</v>
      </c>
      <c r="F73" s="29" t="s">
        <v>73</v>
      </c>
      <c r="G73" s="30">
        <f t="shared" si="6"/>
        <v>203</v>
      </c>
      <c r="H73" s="31">
        <f t="shared" si="7"/>
        <v>197</v>
      </c>
      <c r="I73" s="31">
        <f t="shared" si="8"/>
        <v>209</v>
      </c>
      <c r="J73" s="31">
        <f t="shared" si="10"/>
        <v>191</v>
      </c>
      <c r="K73" s="32">
        <f t="shared" si="11"/>
        <v>200</v>
      </c>
      <c r="L73" s="32"/>
      <c r="M73" s="33">
        <f t="shared" si="9"/>
        <v>9</v>
      </c>
      <c r="N73" s="33" t="e">
        <v>#N/A</v>
      </c>
      <c r="O73" s="25"/>
      <c r="P73" s="32"/>
    </row>
    <row r="74" spans="1:16" ht="16.5" customHeight="1">
      <c r="A74" s="25" t="s">
        <v>145</v>
      </c>
      <c r="B74" s="26">
        <v>20288110</v>
      </c>
      <c r="C74" s="27" t="s">
        <v>175</v>
      </c>
      <c r="D74" s="26" t="s">
        <v>176</v>
      </c>
      <c r="E74" s="28">
        <v>150</v>
      </c>
      <c r="F74" s="29" t="s">
        <v>82</v>
      </c>
      <c r="G74" s="30">
        <f t="shared" si="6"/>
        <v>197.92500000000001</v>
      </c>
      <c r="H74" s="31">
        <f t="shared" si="7"/>
        <v>192.07499999999999</v>
      </c>
      <c r="I74" s="31">
        <f t="shared" si="8"/>
        <v>203.77500000000001</v>
      </c>
      <c r="J74" s="31">
        <f t="shared" si="10"/>
        <v>186.22499999999999</v>
      </c>
      <c r="K74" s="32">
        <f t="shared" si="11"/>
        <v>195</v>
      </c>
      <c r="L74" s="40">
        <v>1.3</v>
      </c>
      <c r="M74" s="33">
        <f t="shared" si="9"/>
        <v>8.7750000000000004</v>
      </c>
      <c r="N74" s="33">
        <v>8.77</v>
      </c>
      <c r="O74" s="25"/>
      <c r="P74" s="32"/>
    </row>
    <row r="75" spans="1:16" ht="16.5" customHeight="1">
      <c r="A75" s="35" t="s">
        <v>114</v>
      </c>
      <c r="B75" s="36">
        <v>20240847</v>
      </c>
      <c r="C75" s="37" t="s">
        <v>177</v>
      </c>
      <c r="D75" s="36" t="s">
        <v>116</v>
      </c>
      <c r="E75" s="38">
        <v>100</v>
      </c>
      <c r="F75" s="30" t="s">
        <v>82</v>
      </c>
      <c r="G75" s="30">
        <f t="shared" si="6"/>
        <v>131.94999999999999</v>
      </c>
      <c r="H75" s="31">
        <f t="shared" si="7"/>
        <v>128.05000000000001</v>
      </c>
      <c r="I75" s="31">
        <f t="shared" si="8"/>
        <v>135.85</v>
      </c>
      <c r="J75" s="31">
        <f t="shared" si="10"/>
        <v>124.15</v>
      </c>
      <c r="K75" s="32">
        <f t="shared" si="11"/>
        <v>130</v>
      </c>
      <c r="L75" s="40">
        <v>1.3</v>
      </c>
      <c r="M75" s="33">
        <f t="shared" si="9"/>
        <v>5.85</v>
      </c>
      <c r="N75" s="33" t="e">
        <v>#N/A</v>
      </c>
      <c r="O75" s="35"/>
      <c r="P75" s="32"/>
    </row>
    <row r="76" spans="1:16" ht="16.5" customHeight="1">
      <c r="A76" s="25" t="s">
        <v>74</v>
      </c>
      <c r="B76" s="26">
        <v>20288111</v>
      </c>
      <c r="C76" s="27" t="s">
        <v>178</v>
      </c>
      <c r="D76" s="26" t="s">
        <v>176</v>
      </c>
      <c r="E76" s="28">
        <v>100</v>
      </c>
      <c r="F76" s="29" t="s">
        <v>82</v>
      </c>
      <c r="G76" s="30">
        <f t="shared" si="6"/>
        <v>147.17500000000001</v>
      </c>
      <c r="H76" s="31">
        <f t="shared" si="7"/>
        <v>142.82499999999999</v>
      </c>
      <c r="I76" s="31">
        <f t="shared" si="8"/>
        <v>151.52500000000001</v>
      </c>
      <c r="J76" s="31">
        <f t="shared" si="10"/>
        <v>138.47499999999999</v>
      </c>
      <c r="K76" s="32">
        <f t="shared" si="11"/>
        <v>145</v>
      </c>
      <c r="L76" s="40">
        <v>1.45</v>
      </c>
      <c r="M76" s="33">
        <f t="shared" si="9"/>
        <v>6.5249999999999995</v>
      </c>
      <c r="N76" s="33">
        <v>6.8</v>
      </c>
      <c r="O76" s="25"/>
      <c r="P76" s="32"/>
    </row>
    <row r="77" spans="1:16" ht="16.5" customHeight="1">
      <c r="A77" s="35" t="s">
        <v>114</v>
      </c>
      <c r="B77" s="36">
        <v>20288114</v>
      </c>
      <c r="C77" s="37" t="s">
        <v>179</v>
      </c>
      <c r="D77" s="36" t="s">
        <v>176</v>
      </c>
      <c r="E77" s="38">
        <v>100</v>
      </c>
      <c r="F77" s="30" t="s">
        <v>82</v>
      </c>
      <c r="G77" s="30">
        <f t="shared" si="6"/>
        <v>131.94999999999999</v>
      </c>
      <c r="H77" s="31">
        <f t="shared" si="7"/>
        <v>128.05000000000001</v>
      </c>
      <c r="I77" s="31">
        <f t="shared" si="8"/>
        <v>135.85</v>
      </c>
      <c r="J77" s="31">
        <f t="shared" si="10"/>
        <v>124.15</v>
      </c>
      <c r="K77" s="32">
        <f t="shared" si="11"/>
        <v>130</v>
      </c>
      <c r="L77" s="40">
        <v>1.3</v>
      </c>
      <c r="M77" s="33">
        <f t="shared" si="9"/>
        <v>5.85</v>
      </c>
      <c r="N77" s="33" t="e">
        <v>#N/A</v>
      </c>
      <c r="O77" s="35"/>
      <c r="P77" s="32"/>
    </row>
    <row r="78" spans="1:16" ht="16.5" customHeight="1">
      <c r="A78" s="25" t="s">
        <v>145</v>
      </c>
      <c r="B78" s="26">
        <v>20288108</v>
      </c>
      <c r="C78" s="27" t="s">
        <v>180</v>
      </c>
      <c r="D78" s="26" t="s">
        <v>176</v>
      </c>
      <c r="E78" s="28">
        <v>100</v>
      </c>
      <c r="F78" s="29" t="s">
        <v>82</v>
      </c>
      <c r="G78" s="30">
        <f t="shared" si="6"/>
        <v>153.26499999999999</v>
      </c>
      <c r="H78" s="31">
        <f t="shared" si="7"/>
        <v>148.73500000000001</v>
      </c>
      <c r="I78" s="31">
        <f t="shared" si="8"/>
        <v>157.79499999999999</v>
      </c>
      <c r="J78" s="31">
        <f t="shared" si="10"/>
        <v>144.20500000000001</v>
      </c>
      <c r="K78" s="32">
        <f t="shared" si="11"/>
        <v>151</v>
      </c>
      <c r="L78" s="40">
        <v>1.51</v>
      </c>
      <c r="M78" s="33">
        <f t="shared" si="9"/>
        <v>6.7949999999999999</v>
      </c>
      <c r="N78" s="33" t="e">
        <v>#N/A</v>
      </c>
      <c r="O78" s="25"/>
      <c r="P78" s="32"/>
    </row>
    <row r="79" spans="1:16" ht="16.5" customHeight="1">
      <c r="A79" s="35" t="s">
        <v>85</v>
      </c>
      <c r="B79" s="36">
        <v>20292449</v>
      </c>
      <c r="C79" s="37" t="s">
        <v>181</v>
      </c>
      <c r="D79" s="36" t="s">
        <v>76</v>
      </c>
      <c r="E79" s="38">
        <v>25</v>
      </c>
      <c r="F79" s="30" t="s">
        <v>73</v>
      </c>
      <c r="G79" s="30">
        <f t="shared" si="6"/>
        <v>25.75</v>
      </c>
      <c r="H79" s="31">
        <f t="shared" si="7"/>
        <v>24.25</v>
      </c>
      <c r="I79" s="31">
        <f t="shared" si="8"/>
        <v>27.25</v>
      </c>
      <c r="J79" s="31">
        <f t="shared" si="10"/>
        <v>22.75</v>
      </c>
      <c r="K79" s="32">
        <f t="shared" si="11"/>
        <v>25</v>
      </c>
      <c r="L79" s="32"/>
      <c r="M79" s="33">
        <f t="shared" si="9"/>
        <v>2.25</v>
      </c>
      <c r="N79" s="33" t="e">
        <v>#N/A</v>
      </c>
      <c r="O79" s="35"/>
      <c r="P79" s="32"/>
    </row>
    <row r="80" spans="1:16" ht="16.5" customHeight="1">
      <c r="A80" s="25" t="s">
        <v>85</v>
      </c>
      <c r="B80" s="26">
        <v>20294002</v>
      </c>
      <c r="C80" s="27" t="s">
        <v>182</v>
      </c>
      <c r="D80" s="26" t="s">
        <v>76</v>
      </c>
      <c r="E80" s="28">
        <v>220</v>
      </c>
      <c r="F80" s="29" t="s">
        <v>73</v>
      </c>
      <c r="G80" s="30">
        <f t="shared" si="6"/>
        <v>223</v>
      </c>
      <c r="H80" s="31">
        <f t="shared" si="7"/>
        <v>217</v>
      </c>
      <c r="I80" s="31">
        <f t="shared" si="8"/>
        <v>229</v>
      </c>
      <c r="J80" s="31">
        <f t="shared" si="10"/>
        <v>211</v>
      </c>
      <c r="K80" s="32">
        <f t="shared" si="11"/>
        <v>220</v>
      </c>
      <c r="L80" s="32"/>
      <c r="M80" s="33">
        <f t="shared" si="9"/>
        <v>9</v>
      </c>
      <c r="N80" s="33" t="e">
        <v>#N/A</v>
      </c>
      <c r="O80" s="25"/>
      <c r="P80" s="32"/>
    </row>
    <row r="81" spans="1:16" ht="16.5" customHeight="1">
      <c r="A81" s="35" t="s">
        <v>130</v>
      </c>
      <c r="B81" s="36">
        <v>20294004</v>
      </c>
      <c r="C81" s="37" t="s">
        <v>183</v>
      </c>
      <c r="D81" s="36" t="s">
        <v>76</v>
      </c>
      <c r="E81" s="38">
        <v>180</v>
      </c>
      <c r="F81" s="30" t="s">
        <v>73</v>
      </c>
      <c r="G81" s="30">
        <f t="shared" si="6"/>
        <v>182.7</v>
      </c>
      <c r="H81" s="31">
        <f t="shared" si="7"/>
        <v>177.3</v>
      </c>
      <c r="I81" s="31">
        <f t="shared" si="8"/>
        <v>188.1</v>
      </c>
      <c r="J81" s="31">
        <f t="shared" si="10"/>
        <v>171.9</v>
      </c>
      <c r="K81" s="32">
        <f t="shared" si="11"/>
        <v>180</v>
      </c>
      <c r="L81" s="32"/>
      <c r="M81" s="33">
        <f t="shared" si="9"/>
        <v>8.1</v>
      </c>
      <c r="N81" s="33" t="e">
        <v>#N/A</v>
      </c>
      <c r="O81" s="35"/>
      <c r="P81" s="32"/>
    </row>
    <row r="82" spans="1:16" ht="16.5" customHeight="1">
      <c r="A82" s="25" t="s">
        <v>70</v>
      </c>
      <c r="B82" s="26">
        <v>20275623</v>
      </c>
      <c r="C82" s="27" t="s">
        <v>184</v>
      </c>
      <c r="D82" s="26" t="s">
        <v>76</v>
      </c>
      <c r="E82" s="28">
        <v>250</v>
      </c>
      <c r="F82" s="29" t="s">
        <v>73</v>
      </c>
      <c r="G82" s="30">
        <f t="shared" si="6"/>
        <v>253</v>
      </c>
      <c r="H82" s="31">
        <f t="shared" si="7"/>
        <v>247</v>
      </c>
      <c r="I82" s="31">
        <f t="shared" si="8"/>
        <v>259</v>
      </c>
      <c r="J82" s="31">
        <f t="shared" si="10"/>
        <v>241</v>
      </c>
      <c r="K82" s="32">
        <f t="shared" si="11"/>
        <v>250</v>
      </c>
      <c r="L82" s="32"/>
      <c r="M82" s="33">
        <f t="shared" si="9"/>
        <v>9</v>
      </c>
      <c r="N82" s="33" t="e">
        <v>#N/A</v>
      </c>
      <c r="O82" s="25"/>
      <c r="P82" s="32"/>
    </row>
    <row r="83" spans="1:16" ht="16.5" customHeight="1">
      <c r="A83" s="35" t="s">
        <v>70</v>
      </c>
      <c r="B83" s="36">
        <v>20275617</v>
      </c>
      <c r="C83" s="37" t="s">
        <v>185</v>
      </c>
      <c r="D83" s="36" t="s">
        <v>76</v>
      </c>
      <c r="E83" s="38">
        <v>45</v>
      </c>
      <c r="F83" s="30" t="s">
        <v>73</v>
      </c>
      <c r="G83" s="30">
        <f t="shared" si="6"/>
        <v>46.35</v>
      </c>
      <c r="H83" s="31">
        <f t="shared" si="7"/>
        <v>43.65</v>
      </c>
      <c r="I83" s="31">
        <f t="shared" si="8"/>
        <v>49.05</v>
      </c>
      <c r="J83" s="31">
        <f t="shared" si="10"/>
        <v>40.950000000000003</v>
      </c>
      <c r="K83" s="32">
        <f t="shared" si="11"/>
        <v>45</v>
      </c>
      <c r="L83" s="32"/>
      <c r="M83" s="33">
        <f t="shared" si="9"/>
        <v>4.05</v>
      </c>
      <c r="N83" s="33" t="e">
        <v>#N/A</v>
      </c>
      <c r="O83" s="35"/>
      <c r="P83" s="32"/>
    </row>
    <row r="84" spans="1:16" ht="16.5" customHeight="1">
      <c r="A84" s="25" t="s">
        <v>70</v>
      </c>
      <c r="B84" s="26">
        <v>20275619</v>
      </c>
      <c r="C84" s="27" t="s">
        <v>186</v>
      </c>
      <c r="D84" s="26" t="s">
        <v>76</v>
      </c>
      <c r="E84" s="28">
        <v>120</v>
      </c>
      <c r="F84" s="29" t="s">
        <v>73</v>
      </c>
      <c r="G84" s="30">
        <f t="shared" si="6"/>
        <v>121.8</v>
      </c>
      <c r="H84" s="31">
        <f t="shared" si="7"/>
        <v>118.2</v>
      </c>
      <c r="I84" s="31">
        <f t="shared" si="8"/>
        <v>125.4</v>
      </c>
      <c r="J84" s="31">
        <f t="shared" si="10"/>
        <v>114.6</v>
      </c>
      <c r="K84" s="32">
        <f t="shared" si="11"/>
        <v>120</v>
      </c>
      <c r="L84" s="32"/>
      <c r="M84" s="33">
        <f t="shared" si="9"/>
        <v>5.3999999999999995</v>
      </c>
      <c r="N84" s="33" t="e">
        <v>#N/A</v>
      </c>
      <c r="O84" s="25"/>
      <c r="P84" s="32"/>
    </row>
    <row r="85" spans="1:16" ht="16.5" customHeight="1">
      <c r="A85" s="35" t="s">
        <v>70</v>
      </c>
      <c r="B85" s="36">
        <v>20275621</v>
      </c>
      <c r="C85" s="37" t="s">
        <v>187</v>
      </c>
      <c r="D85" s="36" t="s">
        <v>76</v>
      </c>
      <c r="E85" s="38">
        <v>200</v>
      </c>
      <c r="F85" s="30" t="s">
        <v>73</v>
      </c>
      <c r="G85" s="30">
        <f t="shared" si="6"/>
        <v>203</v>
      </c>
      <c r="H85" s="31">
        <f t="shared" si="7"/>
        <v>197</v>
      </c>
      <c r="I85" s="31">
        <f t="shared" si="8"/>
        <v>209</v>
      </c>
      <c r="J85" s="31">
        <f t="shared" si="10"/>
        <v>191</v>
      </c>
      <c r="K85" s="32">
        <f t="shared" si="11"/>
        <v>200</v>
      </c>
      <c r="L85" s="32"/>
      <c r="M85" s="33">
        <f t="shared" si="9"/>
        <v>9</v>
      </c>
      <c r="N85" s="33" t="e">
        <v>#N/A</v>
      </c>
      <c r="O85" s="35"/>
      <c r="P85" s="32"/>
    </row>
    <row r="86" spans="1:16" ht="16.5" customHeight="1">
      <c r="A86" s="25" t="s">
        <v>93</v>
      </c>
      <c r="B86" s="26">
        <v>20294000</v>
      </c>
      <c r="C86" s="27" t="s">
        <v>188</v>
      </c>
      <c r="D86" s="26" t="s">
        <v>76</v>
      </c>
      <c r="E86" s="28">
        <v>220</v>
      </c>
      <c r="F86" s="29" t="s">
        <v>73</v>
      </c>
      <c r="G86" s="30">
        <f t="shared" si="6"/>
        <v>223</v>
      </c>
      <c r="H86" s="31">
        <f t="shared" si="7"/>
        <v>217</v>
      </c>
      <c r="I86" s="31">
        <f t="shared" si="8"/>
        <v>229</v>
      </c>
      <c r="J86" s="31">
        <f t="shared" si="10"/>
        <v>211</v>
      </c>
      <c r="K86" s="32">
        <f t="shared" si="11"/>
        <v>220</v>
      </c>
      <c r="L86" s="32"/>
      <c r="M86" s="33">
        <f t="shared" si="9"/>
        <v>9</v>
      </c>
      <c r="N86" s="33" t="e">
        <v>#N/A</v>
      </c>
      <c r="O86" s="25"/>
      <c r="P86" s="32"/>
    </row>
    <row r="87" spans="1:16" ht="16.5" customHeight="1">
      <c r="A87" s="35" t="s">
        <v>189</v>
      </c>
      <c r="B87" s="36">
        <v>21004020</v>
      </c>
      <c r="C87" s="37" t="s">
        <v>190</v>
      </c>
      <c r="D87" s="36" t="s">
        <v>76</v>
      </c>
      <c r="E87" s="38">
        <v>160</v>
      </c>
      <c r="F87" s="30" t="s">
        <v>73</v>
      </c>
      <c r="G87" s="30">
        <f t="shared" si="6"/>
        <v>162.4</v>
      </c>
      <c r="H87" s="31">
        <f t="shared" si="7"/>
        <v>157.6</v>
      </c>
      <c r="I87" s="31">
        <f t="shared" si="8"/>
        <v>167.2</v>
      </c>
      <c r="J87" s="31">
        <f t="shared" si="10"/>
        <v>152.80000000000001</v>
      </c>
      <c r="K87" s="32">
        <f t="shared" si="11"/>
        <v>160</v>
      </c>
      <c r="L87" s="32"/>
      <c r="M87" s="33">
        <f t="shared" si="9"/>
        <v>7.1999999999999993</v>
      </c>
      <c r="N87" s="33" t="e">
        <v>#N/A</v>
      </c>
      <c r="O87" s="35"/>
      <c r="P87" s="32"/>
    </row>
    <row r="88" spans="1:16" ht="16.5" customHeight="1">
      <c r="A88" s="25" t="s">
        <v>74</v>
      </c>
      <c r="B88" s="26">
        <v>20245219</v>
      </c>
      <c r="C88" s="27" t="s">
        <v>191</v>
      </c>
      <c r="D88" s="26" t="s">
        <v>76</v>
      </c>
      <c r="E88" s="28">
        <v>200</v>
      </c>
      <c r="F88" s="29" t="s">
        <v>73</v>
      </c>
      <c r="G88" s="30">
        <f t="shared" si="6"/>
        <v>203</v>
      </c>
      <c r="H88" s="31">
        <f t="shared" si="7"/>
        <v>197</v>
      </c>
      <c r="I88" s="31">
        <f t="shared" si="8"/>
        <v>209</v>
      </c>
      <c r="J88" s="31">
        <f t="shared" si="10"/>
        <v>191</v>
      </c>
      <c r="K88" s="32">
        <f t="shared" si="11"/>
        <v>200</v>
      </c>
      <c r="L88" s="32"/>
      <c r="M88" s="33">
        <f t="shared" si="9"/>
        <v>9</v>
      </c>
      <c r="N88" s="33" t="e">
        <v>#N/A</v>
      </c>
      <c r="O88" s="25"/>
      <c r="P88" s="32"/>
    </row>
    <row r="89" spans="1:16" ht="16.5" customHeight="1">
      <c r="A89" s="35" t="s">
        <v>155</v>
      </c>
      <c r="B89" s="36">
        <v>20269556</v>
      </c>
      <c r="C89" s="37" t="s">
        <v>192</v>
      </c>
      <c r="D89" s="36" t="s">
        <v>76</v>
      </c>
      <c r="E89" s="38">
        <v>20</v>
      </c>
      <c r="F89" s="30" t="s">
        <v>73</v>
      </c>
      <c r="G89" s="30">
        <f t="shared" si="6"/>
        <v>20.6</v>
      </c>
      <c r="H89" s="31">
        <f t="shared" si="7"/>
        <v>19.399999999999999</v>
      </c>
      <c r="I89" s="31">
        <f t="shared" si="8"/>
        <v>21.8</v>
      </c>
      <c r="J89" s="31">
        <f t="shared" si="10"/>
        <v>18.2</v>
      </c>
      <c r="K89" s="32">
        <f t="shared" si="11"/>
        <v>20</v>
      </c>
      <c r="L89" s="32"/>
      <c r="M89" s="33">
        <f t="shared" si="9"/>
        <v>1.7999999999999998</v>
      </c>
      <c r="N89" s="33" t="e">
        <v>#N/A</v>
      </c>
      <c r="O89" s="35"/>
      <c r="P89" s="32"/>
    </row>
    <row r="90" spans="1:16" ht="16.5" customHeight="1">
      <c r="A90" s="25" t="s">
        <v>193</v>
      </c>
      <c r="B90" s="26">
        <v>21003782</v>
      </c>
      <c r="C90" s="27" t="s">
        <v>194</v>
      </c>
      <c r="D90" s="26" t="s">
        <v>76</v>
      </c>
      <c r="E90" s="28">
        <v>200</v>
      </c>
      <c r="F90" s="29" t="s">
        <v>73</v>
      </c>
      <c r="G90" s="30">
        <f t="shared" si="6"/>
        <v>203</v>
      </c>
      <c r="H90" s="31">
        <f t="shared" si="7"/>
        <v>197</v>
      </c>
      <c r="I90" s="31">
        <f t="shared" si="8"/>
        <v>209</v>
      </c>
      <c r="J90" s="31">
        <f t="shared" si="10"/>
        <v>191</v>
      </c>
      <c r="K90" s="32">
        <f t="shared" si="11"/>
        <v>200</v>
      </c>
      <c r="L90" s="32"/>
      <c r="M90" s="33">
        <f t="shared" si="9"/>
        <v>9</v>
      </c>
      <c r="N90" s="33" t="e">
        <v>#N/A</v>
      </c>
      <c r="O90" s="25"/>
      <c r="P90" s="32"/>
    </row>
    <row r="91" spans="1:16" ht="16.5" customHeight="1">
      <c r="A91" s="35" t="s">
        <v>195</v>
      </c>
      <c r="B91" s="36">
        <v>20275019</v>
      </c>
      <c r="C91" s="37" t="s">
        <v>196</v>
      </c>
      <c r="D91" s="36" t="s">
        <v>76</v>
      </c>
      <c r="E91" s="38">
        <v>60</v>
      </c>
      <c r="F91" s="30" t="s">
        <v>73</v>
      </c>
      <c r="G91" s="30">
        <f t="shared" si="6"/>
        <v>61.5</v>
      </c>
      <c r="H91" s="31">
        <f t="shared" si="7"/>
        <v>58.5</v>
      </c>
      <c r="I91" s="31">
        <f t="shared" si="8"/>
        <v>64.5</v>
      </c>
      <c r="J91" s="31">
        <f t="shared" si="10"/>
        <v>55.5</v>
      </c>
      <c r="K91" s="32">
        <f t="shared" si="11"/>
        <v>60</v>
      </c>
      <c r="L91" s="32"/>
      <c r="M91" s="33">
        <f t="shared" si="9"/>
        <v>4.5</v>
      </c>
      <c r="N91" s="33" t="e">
        <v>#N/A</v>
      </c>
      <c r="O91" s="35"/>
      <c r="P91" s="32"/>
    </row>
    <row r="92" spans="1:16" ht="16.5" customHeight="1">
      <c r="A92" s="25" t="s">
        <v>195</v>
      </c>
      <c r="B92" s="26">
        <v>20239272</v>
      </c>
      <c r="C92" s="27" t="s">
        <v>197</v>
      </c>
      <c r="D92" s="26" t="s">
        <v>76</v>
      </c>
      <c r="E92" s="28">
        <v>150</v>
      </c>
      <c r="F92" s="29" t="s">
        <v>73</v>
      </c>
      <c r="G92" s="30">
        <f t="shared" si="6"/>
        <v>152.25</v>
      </c>
      <c r="H92" s="31">
        <f t="shared" si="7"/>
        <v>147.75</v>
      </c>
      <c r="I92" s="31">
        <f t="shared" si="8"/>
        <v>156.75</v>
      </c>
      <c r="J92" s="31">
        <f t="shared" si="10"/>
        <v>143.25</v>
      </c>
      <c r="K92" s="32">
        <f t="shared" si="11"/>
        <v>150</v>
      </c>
      <c r="L92" s="32"/>
      <c r="M92" s="33">
        <f t="shared" si="9"/>
        <v>6.75</v>
      </c>
      <c r="N92" s="33" t="e">
        <v>#N/A</v>
      </c>
      <c r="O92" s="25"/>
      <c r="P92" s="32"/>
    </row>
    <row r="93" spans="1:16" ht="16.5" customHeight="1">
      <c r="A93" s="35" t="s">
        <v>195</v>
      </c>
      <c r="B93" s="36">
        <v>20239274</v>
      </c>
      <c r="C93" s="37" t="s">
        <v>198</v>
      </c>
      <c r="D93" s="36" t="s">
        <v>76</v>
      </c>
      <c r="E93" s="38">
        <v>220</v>
      </c>
      <c r="F93" s="30" t="s">
        <v>73</v>
      </c>
      <c r="G93" s="30">
        <f t="shared" si="6"/>
        <v>223</v>
      </c>
      <c r="H93" s="31">
        <f t="shared" si="7"/>
        <v>217</v>
      </c>
      <c r="I93" s="31">
        <f t="shared" si="8"/>
        <v>229</v>
      </c>
      <c r="J93" s="31">
        <f t="shared" si="10"/>
        <v>211</v>
      </c>
      <c r="K93" s="32">
        <f t="shared" si="11"/>
        <v>220</v>
      </c>
      <c r="L93" s="32"/>
      <c r="M93" s="33">
        <f t="shared" si="9"/>
        <v>9</v>
      </c>
      <c r="N93" s="33" t="e">
        <v>#N/A</v>
      </c>
      <c r="O93" s="35"/>
      <c r="P93" s="32"/>
    </row>
    <row r="94" spans="1:16" ht="16.5" customHeight="1">
      <c r="A94" s="25" t="s">
        <v>199</v>
      </c>
      <c r="B94" s="26">
        <v>20239266</v>
      </c>
      <c r="C94" s="27" t="s">
        <v>200</v>
      </c>
      <c r="D94" s="26" t="s">
        <v>76</v>
      </c>
      <c r="E94" s="28">
        <v>150</v>
      </c>
      <c r="F94" s="29" t="s">
        <v>73</v>
      </c>
      <c r="G94" s="30">
        <f t="shared" si="6"/>
        <v>152.25</v>
      </c>
      <c r="H94" s="31">
        <f t="shared" si="7"/>
        <v>147.75</v>
      </c>
      <c r="I94" s="31">
        <f t="shared" si="8"/>
        <v>156.75</v>
      </c>
      <c r="J94" s="31">
        <f t="shared" si="10"/>
        <v>143.25</v>
      </c>
      <c r="K94" s="32">
        <f t="shared" si="11"/>
        <v>150</v>
      </c>
      <c r="L94" s="32"/>
      <c r="M94" s="33">
        <f t="shared" si="9"/>
        <v>6.75</v>
      </c>
      <c r="N94" s="33" t="e">
        <v>#N/A</v>
      </c>
      <c r="O94" s="25"/>
      <c r="P94" s="32"/>
    </row>
    <row r="95" spans="1:16" ht="16.5" customHeight="1">
      <c r="A95" s="35" t="s">
        <v>199</v>
      </c>
      <c r="B95" s="36">
        <v>20239268</v>
      </c>
      <c r="C95" s="37" t="s">
        <v>201</v>
      </c>
      <c r="D95" s="36" t="s">
        <v>76</v>
      </c>
      <c r="E95" s="38">
        <v>220</v>
      </c>
      <c r="F95" s="30" t="s">
        <v>73</v>
      </c>
      <c r="G95" s="30">
        <f t="shared" si="6"/>
        <v>223</v>
      </c>
      <c r="H95" s="31">
        <f t="shared" si="7"/>
        <v>217</v>
      </c>
      <c r="I95" s="31">
        <f t="shared" si="8"/>
        <v>229</v>
      </c>
      <c r="J95" s="31">
        <f t="shared" si="10"/>
        <v>211</v>
      </c>
      <c r="K95" s="32">
        <f t="shared" si="11"/>
        <v>220</v>
      </c>
      <c r="L95" s="32"/>
      <c r="M95" s="33">
        <f t="shared" si="9"/>
        <v>9</v>
      </c>
      <c r="N95" s="33" t="e">
        <v>#N/A</v>
      </c>
      <c r="O95" s="35"/>
      <c r="P95" s="32"/>
    </row>
    <row r="96" spans="1:16" ht="16.5" customHeight="1">
      <c r="A96" s="25" t="s">
        <v>195</v>
      </c>
      <c r="B96" s="26">
        <v>20249137</v>
      </c>
      <c r="C96" s="27" t="s">
        <v>202</v>
      </c>
      <c r="D96" s="26" t="s">
        <v>76</v>
      </c>
      <c r="E96" s="28">
        <v>25</v>
      </c>
      <c r="F96" s="29" t="s">
        <v>73</v>
      </c>
      <c r="G96" s="30">
        <f t="shared" si="6"/>
        <v>25.75</v>
      </c>
      <c r="H96" s="31">
        <f t="shared" si="7"/>
        <v>24.25</v>
      </c>
      <c r="I96" s="31">
        <f t="shared" si="8"/>
        <v>27.25</v>
      </c>
      <c r="J96" s="31">
        <f t="shared" si="10"/>
        <v>22.75</v>
      </c>
      <c r="K96" s="32">
        <f t="shared" si="11"/>
        <v>25</v>
      </c>
      <c r="L96" s="32"/>
      <c r="M96" s="33">
        <f t="shared" si="9"/>
        <v>2.25</v>
      </c>
      <c r="N96" s="33" t="e">
        <v>#N/A</v>
      </c>
      <c r="O96" s="25"/>
      <c r="P96" s="32"/>
    </row>
    <row r="97" spans="1:16" ht="16.5" customHeight="1">
      <c r="A97" s="35" t="s">
        <v>203</v>
      </c>
      <c r="B97" s="36">
        <v>21014503</v>
      </c>
      <c r="C97" s="37" t="s">
        <v>204</v>
      </c>
      <c r="D97" s="36" t="s">
        <v>205</v>
      </c>
      <c r="E97" s="38">
        <v>125</v>
      </c>
      <c r="F97" s="30" t="s">
        <v>73</v>
      </c>
      <c r="G97" s="30">
        <f t="shared" si="6"/>
        <v>126.875</v>
      </c>
      <c r="H97" s="31">
        <f t="shared" si="7"/>
        <v>123.125</v>
      </c>
      <c r="I97" s="31">
        <f t="shared" si="8"/>
        <v>130.625</v>
      </c>
      <c r="J97" s="31">
        <f t="shared" si="10"/>
        <v>119.375</v>
      </c>
      <c r="K97" s="32">
        <f t="shared" si="11"/>
        <v>125</v>
      </c>
      <c r="L97" s="32"/>
      <c r="M97" s="33">
        <f t="shared" si="9"/>
        <v>5.625</v>
      </c>
      <c r="N97" s="33" t="e">
        <v>#N/A</v>
      </c>
      <c r="O97" s="35"/>
      <c r="P97" s="32"/>
    </row>
    <row r="98" spans="1:16" ht="16.5" customHeight="1">
      <c r="A98" s="25" t="s">
        <v>206</v>
      </c>
      <c r="B98" s="26">
        <v>21014504</v>
      </c>
      <c r="C98" s="27" t="s">
        <v>207</v>
      </c>
      <c r="D98" s="26" t="s">
        <v>205</v>
      </c>
      <c r="E98" s="28">
        <v>125</v>
      </c>
      <c r="F98" s="29" t="s">
        <v>73</v>
      </c>
      <c r="G98" s="30">
        <f t="shared" si="6"/>
        <v>126.875</v>
      </c>
      <c r="H98" s="31">
        <f t="shared" si="7"/>
        <v>123.125</v>
      </c>
      <c r="I98" s="31">
        <f t="shared" si="8"/>
        <v>130.625</v>
      </c>
      <c r="J98" s="31">
        <f t="shared" si="10"/>
        <v>119.375</v>
      </c>
      <c r="K98" s="32">
        <f t="shared" si="11"/>
        <v>125</v>
      </c>
      <c r="L98" s="32"/>
      <c r="M98" s="33">
        <f t="shared" si="9"/>
        <v>5.625</v>
      </c>
      <c r="N98" s="33" t="e">
        <v>#N/A</v>
      </c>
      <c r="O98" s="25"/>
      <c r="P98" s="32"/>
    </row>
    <row r="99" spans="1:16" ht="16.5" customHeight="1">
      <c r="A99" s="35" t="s">
        <v>203</v>
      </c>
      <c r="B99" s="36">
        <v>20290141</v>
      </c>
      <c r="C99" s="37" t="s">
        <v>208</v>
      </c>
      <c r="D99" s="36" t="str">
        <f>VLOOKUP($B99,[1]Speed!$A:$M,4,0)</f>
        <v>Ghana Venus</v>
      </c>
      <c r="E99" s="38">
        <v>160</v>
      </c>
      <c r="F99" s="30" t="s">
        <v>73</v>
      </c>
      <c r="G99" s="30">
        <f t="shared" si="6"/>
        <v>162.4</v>
      </c>
      <c r="H99" s="31">
        <f t="shared" si="7"/>
        <v>157.6</v>
      </c>
      <c r="I99" s="31">
        <f t="shared" si="8"/>
        <v>167.2</v>
      </c>
      <c r="J99" s="31">
        <f t="shared" si="10"/>
        <v>152.80000000000001</v>
      </c>
      <c r="K99" s="32">
        <f t="shared" si="11"/>
        <v>160</v>
      </c>
      <c r="L99" s="32"/>
      <c r="M99" s="33">
        <f t="shared" si="9"/>
        <v>7.1999999999999993</v>
      </c>
      <c r="N99" s="33" t="e">
        <v>#N/A</v>
      </c>
      <c r="O99" s="35"/>
      <c r="P99" s="32"/>
    </row>
    <row r="100" spans="1:16" ht="16.5" customHeight="1">
      <c r="A100" s="25" t="s">
        <v>209</v>
      </c>
      <c r="B100" s="42">
        <v>20290390</v>
      </c>
      <c r="C100" s="43" t="s">
        <v>210</v>
      </c>
      <c r="D100" s="26" t="str">
        <f>VLOOKUP($B100,[1]Speed!$A:$M,4,0)</f>
        <v>Ghana Goldmine</v>
      </c>
      <c r="E100" s="28">
        <v>100</v>
      </c>
      <c r="F100" s="29" t="s">
        <v>82</v>
      </c>
      <c r="G100" s="30">
        <f t="shared" si="6"/>
        <v>131.94999999999999</v>
      </c>
      <c r="H100" s="31">
        <f t="shared" si="7"/>
        <v>128.05000000000001</v>
      </c>
      <c r="I100" s="31">
        <f t="shared" si="8"/>
        <v>135.85</v>
      </c>
      <c r="J100" s="31">
        <f t="shared" si="10"/>
        <v>124.15</v>
      </c>
      <c r="K100" s="32">
        <f t="shared" si="11"/>
        <v>130</v>
      </c>
      <c r="L100" s="40">
        <v>1.3</v>
      </c>
      <c r="M100" s="33">
        <f t="shared" si="9"/>
        <v>5.85</v>
      </c>
      <c r="N100" s="33" t="e">
        <v>#N/A</v>
      </c>
      <c r="O100" s="25"/>
      <c r="P100" s="32" t="s">
        <v>211</v>
      </c>
    </row>
    <row r="101" spans="1:16" ht="16.5" customHeight="1">
      <c r="A101" s="35" t="s">
        <v>212</v>
      </c>
      <c r="B101" s="36">
        <v>20290069</v>
      </c>
      <c r="C101" s="37" t="s">
        <v>213</v>
      </c>
      <c r="D101" s="36" t="str">
        <f>VLOOKUP($B101,[1]Speed!$A:$M,4,0)</f>
        <v>Ghana Phoenix</v>
      </c>
      <c r="E101" s="38">
        <v>125</v>
      </c>
      <c r="F101" s="30" t="s">
        <v>73</v>
      </c>
      <c r="G101" s="30">
        <f t="shared" si="6"/>
        <v>126.875</v>
      </c>
      <c r="H101" s="31">
        <f t="shared" si="7"/>
        <v>123.125</v>
      </c>
      <c r="I101" s="31">
        <f t="shared" si="8"/>
        <v>130.625</v>
      </c>
      <c r="J101" s="31">
        <f t="shared" si="10"/>
        <v>119.375</v>
      </c>
      <c r="K101" s="32">
        <f t="shared" si="11"/>
        <v>125</v>
      </c>
      <c r="L101" s="32"/>
      <c r="M101" s="33">
        <f t="shared" si="9"/>
        <v>5.625</v>
      </c>
      <c r="N101" s="33" t="e">
        <v>#N/A</v>
      </c>
      <c r="O101" s="35"/>
      <c r="P101" s="32"/>
    </row>
    <row r="102" spans="1:16" ht="16.5" customHeight="1">
      <c r="A102" s="25" t="s">
        <v>214</v>
      </c>
      <c r="B102" s="26">
        <v>20290147</v>
      </c>
      <c r="C102" s="27" t="s">
        <v>215</v>
      </c>
      <c r="D102" s="26" t="s">
        <v>216</v>
      </c>
      <c r="E102" s="28">
        <v>160</v>
      </c>
      <c r="F102" s="29" t="s">
        <v>73</v>
      </c>
      <c r="G102" s="30">
        <f t="shared" si="6"/>
        <v>162.4</v>
      </c>
      <c r="H102" s="31">
        <f t="shared" si="7"/>
        <v>157.6</v>
      </c>
      <c r="I102" s="31">
        <f t="shared" si="8"/>
        <v>167.2</v>
      </c>
      <c r="J102" s="31">
        <f t="shared" si="10"/>
        <v>152.80000000000001</v>
      </c>
      <c r="K102" s="32">
        <f t="shared" si="11"/>
        <v>160</v>
      </c>
      <c r="L102" s="32"/>
      <c r="M102" s="33">
        <f t="shared" si="9"/>
        <v>7.1999999999999993</v>
      </c>
      <c r="N102" s="33" t="e">
        <v>#N/A</v>
      </c>
      <c r="O102" s="25"/>
      <c r="P102" s="32"/>
    </row>
    <row r="103" spans="1:16" ht="16.5" customHeight="1">
      <c r="A103" s="35" t="s">
        <v>217</v>
      </c>
      <c r="B103" s="36">
        <v>20289807</v>
      </c>
      <c r="C103" s="37" t="s">
        <v>218</v>
      </c>
      <c r="D103" s="36" t="s">
        <v>219</v>
      </c>
      <c r="E103" s="38">
        <v>100</v>
      </c>
      <c r="F103" s="30" t="s">
        <v>82</v>
      </c>
      <c r="G103" s="30">
        <f t="shared" si="6"/>
        <v>131.94999999999999</v>
      </c>
      <c r="H103" s="31">
        <f t="shared" si="7"/>
        <v>128.05000000000001</v>
      </c>
      <c r="I103" s="31">
        <f t="shared" si="8"/>
        <v>135.85</v>
      </c>
      <c r="J103" s="31">
        <f t="shared" si="10"/>
        <v>124.15</v>
      </c>
      <c r="K103" s="32">
        <f t="shared" si="11"/>
        <v>130</v>
      </c>
      <c r="L103" s="40">
        <v>1.3</v>
      </c>
      <c r="M103" s="33">
        <f t="shared" si="9"/>
        <v>5.85</v>
      </c>
      <c r="N103" s="33" t="e">
        <v>#N/A</v>
      </c>
      <c r="O103" s="35"/>
      <c r="P103" s="32"/>
    </row>
    <row r="104" spans="1:16" ht="16.5" customHeight="1">
      <c r="A104" s="25" t="s">
        <v>149</v>
      </c>
      <c r="B104" s="26">
        <v>21004308</v>
      </c>
      <c r="C104" s="27" t="s">
        <v>220</v>
      </c>
      <c r="D104" s="26" t="s">
        <v>76</v>
      </c>
      <c r="E104" s="28">
        <v>300</v>
      </c>
      <c r="F104" s="29" t="s">
        <v>82</v>
      </c>
      <c r="G104" s="30">
        <f t="shared" si="6"/>
        <v>318.14999999999998</v>
      </c>
      <c r="H104" s="31">
        <f t="shared" si="7"/>
        <v>311.85000000000002</v>
      </c>
      <c r="I104" s="31">
        <f t="shared" si="8"/>
        <v>324.45</v>
      </c>
      <c r="J104" s="31">
        <f t="shared" si="10"/>
        <v>305.55</v>
      </c>
      <c r="K104" s="32">
        <f t="shared" si="11"/>
        <v>315</v>
      </c>
      <c r="L104" s="40">
        <v>1.05</v>
      </c>
      <c r="M104" s="33">
        <f t="shared" si="9"/>
        <v>9.4499999999999993</v>
      </c>
      <c r="N104" s="33" t="e">
        <v>#N/A</v>
      </c>
      <c r="O104" s="25"/>
      <c r="P104" s="32"/>
    </row>
    <row r="105" spans="1:16" ht="16.5" customHeight="1">
      <c r="A105" s="35" t="s">
        <v>151</v>
      </c>
      <c r="B105" s="36">
        <v>21004311</v>
      </c>
      <c r="C105" s="37" t="s">
        <v>221</v>
      </c>
      <c r="D105" s="36" t="s">
        <v>76</v>
      </c>
      <c r="E105" s="38">
        <v>300</v>
      </c>
      <c r="F105" s="30" t="s">
        <v>82</v>
      </c>
      <c r="G105" s="30">
        <f t="shared" si="6"/>
        <v>318.14999999999998</v>
      </c>
      <c r="H105" s="31">
        <f t="shared" si="7"/>
        <v>311.85000000000002</v>
      </c>
      <c r="I105" s="31">
        <f t="shared" si="8"/>
        <v>324.45</v>
      </c>
      <c r="J105" s="31">
        <f t="shared" si="10"/>
        <v>305.55</v>
      </c>
      <c r="K105" s="32">
        <f t="shared" si="11"/>
        <v>315</v>
      </c>
      <c r="L105" s="40">
        <v>1.05</v>
      </c>
      <c r="M105" s="33">
        <f t="shared" si="9"/>
        <v>9.4499999999999993</v>
      </c>
      <c r="N105" s="33" t="e">
        <v>#N/A</v>
      </c>
      <c r="O105" s="35"/>
      <c r="P105" s="32"/>
    </row>
    <row r="106" spans="1:16" ht="16.5" customHeight="1">
      <c r="A106" s="25" t="s">
        <v>151</v>
      </c>
      <c r="B106" s="26">
        <v>21004313</v>
      </c>
      <c r="C106" s="27" t="s">
        <v>222</v>
      </c>
      <c r="D106" s="26" t="s">
        <v>76</v>
      </c>
      <c r="E106" s="28">
        <v>500</v>
      </c>
      <c r="F106" s="29" t="s">
        <v>82</v>
      </c>
      <c r="G106" s="30">
        <f t="shared" si="6"/>
        <v>530</v>
      </c>
      <c r="H106" s="31">
        <f t="shared" si="7"/>
        <v>520</v>
      </c>
      <c r="I106" s="31">
        <f t="shared" si="8"/>
        <v>540</v>
      </c>
      <c r="J106" s="31">
        <f t="shared" si="10"/>
        <v>510</v>
      </c>
      <c r="K106" s="32">
        <f t="shared" si="11"/>
        <v>525</v>
      </c>
      <c r="L106" s="40">
        <v>1.05</v>
      </c>
      <c r="M106" s="33">
        <f t="shared" si="9"/>
        <v>15</v>
      </c>
      <c r="N106" s="33" t="e">
        <v>#N/A</v>
      </c>
      <c r="O106" s="25"/>
      <c r="P106" s="32"/>
    </row>
    <row r="107" spans="1:16" ht="16.5" customHeight="1">
      <c r="A107" s="35" t="s">
        <v>149</v>
      </c>
      <c r="B107" s="36">
        <v>21004310</v>
      </c>
      <c r="C107" s="37" t="s">
        <v>223</v>
      </c>
      <c r="D107" s="36" t="s">
        <v>76</v>
      </c>
      <c r="E107" s="38">
        <v>500</v>
      </c>
      <c r="F107" s="30" t="s">
        <v>82</v>
      </c>
      <c r="G107" s="30">
        <f t="shared" si="6"/>
        <v>530</v>
      </c>
      <c r="H107" s="31">
        <f t="shared" si="7"/>
        <v>520</v>
      </c>
      <c r="I107" s="31">
        <f t="shared" si="8"/>
        <v>540</v>
      </c>
      <c r="J107" s="31">
        <f t="shared" si="10"/>
        <v>510</v>
      </c>
      <c r="K107" s="32">
        <f t="shared" si="11"/>
        <v>525</v>
      </c>
      <c r="L107" s="40">
        <v>1.05</v>
      </c>
      <c r="M107" s="33">
        <f t="shared" si="9"/>
        <v>15</v>
      </c>
      <c r="N107" s="33" t="e">
        <v>#N/A</v>
      </c>
      <c r="O107" s="35"/>
      <c r="P107" s="32"/>
    </row>
    <row r="108" spans="1:16" ht="16.5" customHeight="1">
      <c r="A108" s="25" t="s">
        <v>125</v>
      </c>
      <c r="B108" s="26">
        <v>21006988</v>
      </c>
      <c r="C108" s="27" t="s">
        <v>224</v>
      </c>
      <c r="D108" s="26" t="s">
        <v>72</v>
      </c>
      <c r="E108" s="28">
        <v>35</v>
      </c>
      <c r="F108" s="29" t="s">
        <v>73</v>
      </c>
      <c r="G108" s="30">
        <f t="shared" si="6"/>
        <v>36.049999999999997</v>
      </c>
      <c r="H108" s="31">
        <f t="shared" si="7"/>
        <v>33.950000000000003</v>
      </c>
      <c r="I108" s="31">
        <f t="shared" si="8"/>
        <v>38.15</v>
      </c>
      <c r="J108" s="31">
        <f t="shared" si="10"/>
        <v>31.85</v>
      </c>
      <c r="K108" s="32">
        <f t="shared" si="11"/>
        <v>35</v>
      </c>
      <c r="L108" s="32"/>
      <c r="M108" s="33">
        <f t="shared" si="9"/>
        <v>3.15</v>
      </c>
      <c r="N108" s="33">
        <v>3.8</v>
      </c>
      <c r="O108" s="25"/>
      <c r="P108" s="32"/>
    </row>
    <row r="109" spans="1:16" ht="16.5" customHeight="1">
      <c r="A109" s="35" t="s">
        <v>145</v>
      </c>
      <c r="B109" s="36">
        <v>21013491</v>
      </c>
      <c r="C109" s="37" t="s">
        <v>225</v>
      </c>
      <c r="D109" s="36" t="s">
        <v>226</v>
      </c>
      <c r="E109" s="38">
        <v>15</v>
      </c>
      <c r="F109" s="30" t="s">
        <v>73</v>
      </c>
      <c r="G109" s="30">
        <f t="shared" si="6"/>
        <v>15.45</v>
      </c>
      <c r="H109" s="31">
        <f t="shared" si="7"/>
        <v>14.55</v>
      </c>
      <c r="I109" s="31">
        <f t="shared" si="8"/>
        <v>16.350000000000001</v>
      </c>
      <c r="J109" s="31">
        <f t="shared" si="10"/>
        <v>13.65</v>
      </c>
      <c r="K109" s="32">
        <f t="shared" si="11"/>
        <v>15</v>
      </c>
      <c r="L109" s="32"/>
      <c r="M109" s="33">
        <f t="shared" si="9"/>
        <v>1.3499999999999999</v>
      </c>
      <c r="N109" s="33" t="e">
        <v>#N/A</v>
      </c>
      <c r="O109" s="35"/>
      <c r="P109" s="32"/>
    </row>
    <row r="110" spans="1:16" ht="16.5" customHeight="1">
      <c r="A110" s="25" t="s">
        <v>145</v>
      </c>
      <c r="B110" s="26">
        <v>20289956</v>
      </c>
      <c r="C110" s="27" t="s">
        <v>227</v>
      </c>
      <c r="D110" s="26" t="s">
        <v>226</v>
      </c>
      <c r="E110" s="28">
        <v>175</v>
      </c>
      <c r="F110" s="29" t="s">
        <v>73</v>
      </c>
      <c r="G110" s="30">
        <f t="shared" si="6"/>
        <v>177.625</v>
      </c>
      <c r="H110" s="31">
        <f t="shared" si="7"/>
        <v>172.375</v>
      </c>
      <c r="I110" s="31">
        <f t="shared" si="8"/>
        <v>182.875</v>
      </c>
      <c r="J110" s="31">
        <f t="shared" si="10"/>
        <v>167.125</v>
      </c>
      <c r="K110" s="32">
        <f t="shared" si="11"/>
        <v>175</v>
      </c>
      <c r="L110" s="32"/>
      <c r="M110" s="33">
        <f t="shared" si="9"/>
        <v>7.875</v>
      </c>
      <c r="N110" s="33" t="e">
        <v>#N/A</v>
      </c>
      <c r="O110" s="25"/>
      <c r="P110" s="32"/>
    </row>
    <row r="111" spans="1:16" ht="16.5" customHeight="1">
      <c r="A111" s="35" t="s">
        <v>203</v>
      </c>
      <c r="B111" s="44">
        <v>20290144</v>
      </c>
      <c r="C111" s="45" t="s">
        <v>228</v>
      </c>
      <c r="D111" s="36" t="s">
        <v>229</v>
      </c>
      <c r="E111" s="38">
        <v>30</v>
      </c>
      <c r="F111" s="30" t="s">
        <v>73</v>
      </c>
      <c r="G111" s="30">
        <f t="shared" si="6"/>
        <v>30.9</v>
      </c>
      <c r="H111" s="31">
        <f t="shared" si="7"/>
        <v>29.1</v>
      </c>
      <c r="I111" s="31">
        <f t="shared" si="8"/>
        <v>32.700000000000003</v>
      </c>
      <c r="J111" s="31">
        <f t="shared" si="10"/>
        <v>27.3</v>
      </c>
      <c r="K111" s="32">
        <f t="shared" si="11"/>
        <v>30</v>
      </c>
      <c r="L111" s="32"/>
      <c r="M111" s="33">
        <f t="shared" si="9"/>
        <v>2.6999999999999997</v>
      </c>
      <c r="N111" s="33" t="e">
        <v>#N/A</v>
      </c>
      <c r="O111" s="35"/>
      <c r="P111" s="32" t="s">
        <v>211</v>
      </c>
    </row>
    <row r="112" spans="1:16" ht="16.5" customHeight="1">
      <c r="A112" s="25" t="s">
        <v>230</v>
      </c>
      <c r="B112" s="26">
        <v>21009570</v>
      </c>
      <c r="C112" s="27" t="s">
        <v>231</v>
      </c>
      <c r="D112" s="26" t="s">
        <v>232</v>
      </c>
      <c r="E112" s="28">
        <v>30</v>
      </c>
      <c r="F112" s="29" t="s">
        <v>73</v>
      </c>
      <c r="G112" s="30">
        <f t="shared" si="6"/>
        <v>30.900000000000002</v>
      </c>
      <c r="H112" s="31">
        <f t="shared" si="7"/>
        <v>30.3</v>
      </c>
      <c r="I112" s="31">
        <f t="shared" si="8"/>
        <v>31.5</v>
      </c>
      <c r="J112" s="31">
        <f t="shared" si="10"/>
        <v>30</v>
      </c>
      <c r="K112" s="32">
        <f t="shared" si="11"/>
        <v>30</v>
      </c>
      <c r="L112" s="32"/>
      <c r="M112" s="33">
        <f t="shared" si="9"/>
        <v>0</v>
      </c>
      <c r="N112" s="33" t="e">
        <v>#N/A</v>
      </c>
      <c r="O112" s="25"/>
      <c r="P112" s="41" t="s">
        <v>88</v>
      </c>
    </row>
    <row r="113" spans="1:16" ht="16.5" customHeight="1">
      <c r="A113" s="35" t="s">
        <v>230</v>
      </c>
      <c r="B113" s="36">
        <v>21009569</v>
      </c>
      <c r="C113" s="37" t="s">
        <v>233</v>
      </c>
      <c r="D113" s="36" t="s">
        <v>232</v>
      </c>
      <c r="E113" s="38">
        <v>75</v>
      </c>
      <c r="F113" s="30" t="s">
        <v>73</v>
      </c>
      <c r="G113" s="30">
        <f t="shared" si="6"/>
        <v>77.25</v>
      </c>
      <c r="H113" s="31">
        <f t="shared" si="7"/>
        <v>75.75</v>
      </c>
      <c r="I113" s="31">
        <f t="shared" si="8"/>
        <v>78.75</v>
      </c>
      <c r="J113" s="31">
        <f t="shared" si="10"/>
        <v>75</v>
      </c>
      <c r="K113" s="32">
        <f t="shared" si="11"/>
        <v>75</v>
      </c>
      <c r="L113" s="32"/>
      <c r="M113" s="33">
        <f t="shared" si="9"/>
        <v>0</v>
      </c>
      <c r="N113" s="33" t="e">
        <v>#N/A</v>
      </c>
      <c r="O113" s="35"/>
      <c r="P113" s="41" t="s">
        <v>88</v>
      </c>
    </row>
    <row r="114" spans="1:16" ht="16.5" customHeight="1">
      <c r="A114" s="25" t="s">
        <v>230</v>
      </c>
      <c r="B114" s="26">
        <v>21009568</v>
      </c>
      <c r="C114" s="27" t="s">
        <v>234</v>
      </c>
      <c r="D114" s="26" t="s">
        <v>232</v>
      </c>
      <c r="E114" s="28">
        <v>160</v>
      </c>
      <c r="F114" s="29" t="s">
        <v>73</v>
      </c>
      <c r="G114" s="30">
        <f t="shared" si="6"/>
        <v>164.8</v>
      </c>
      <c r="H114" s="31">
        <f t="shared" si="7"/>
        <v>161.6</v>
      </c>
      <c r="I114" s="31">
        <f t="shared" si="8"/>
        <v>168</v>
      </c>
      <c r="J114" s="31">
        <f t="shared" si="10"/>
        <v>160</v>
      </c>
      <c r="K114" s="32">
        <f t="shared" si="11"/>
        <v>160</v>
      </c>
      <c r="L114" s="32"/>
      <c r="M114" s="33">
        <f t="shared" si="9"/>
        <v>0</v>
      </c>
      <c r="N114" s="33" t="e">
        <v>#N/A</v>
      </c>
      <c r="O114" s="25"/>
      <c r="P114" s="41" t="s">
        <v>88</v>
      </c>
    </row>
    <row r="115" spans="1:16" ht="16.5" customHeight="1">
      <c r="A115" s="35" t="s">
        <v>230</v>
      </c>
      <c r="B115" s="36">
        <v>21009567</v>
      </c>
      <c r="C115" s="37" t="s">
        <v>235</v>
      </c>
      <c r="D115" s="36" t="s">
        <v>232</v>
      </c>
      <c r="E115" s="38">
        <v>160</v>
      </c>
      <c r="F115" s="30" t="s">
        <v>73</v>
      </c>
      <c r="G115" s="30">
        <f t="shared" si="6"/>
        <v>164.8</v>
      </c>
      <c r="H115" s="31">
        <f t="shared" si="7"/>
        <v>161.6</v>
      </c>
      <c r="I115" s="31">
        <f t="shared" si="8"/>
        <v>168</v>
      </c>
      <c r="J115" s="31">
        <f t="shared" si="10"/>
        <v>160</v>
      </c>
      <c r="K115" s="32">
        <f t="shared" si="11"/>
        <v>160</v>
      </c>
      <c r="L115" s="32"/>
      <c r="M115" s="33">
        <f t="shared" si="9"/>
        <v>0</v>
      </c>
      <c r="N115" s="33" t="e">
        <v>#N/A</v>
      </c>
      <c r="O115" s="35"/>
      <c r="P115" s="41" t="s">
        <v>88</v>
      </c>
    </row>
    <row r="116" spans="1:16" ht="16.5" customHeight="1">
      <c r="A116" s="25" t="s">
        <v>145</v>
      </c>
      <c r="B116" s="26">
        <v>20289954</v>
      </c>
      <c r="C116" s="27" t="s">
        <v>236</v>
      </c>
      <c r="D116" s="26" t="s">
        <v>226</v>
      </c>
      <c r="E116" s="28">
        <v>35</v>
      </c>
      <c r="F116" s="29" t="s">
        <v>73</v>
      </c>
      <c r="G116" s="30">
        <f t="shared" si="6"/>
        <v>36.049999999999997</v>
      </c>
      <c r="H116" s="31">
        <f t="shared" si="7"/>
        <v>33.950000000000003</v>
      </c>
      <c r="I116" s="31">
        <f t="shared" si="8"/>
        <v>38.15</v>
      </c>
      <c r="J116" s="31">
        <f t="shared" si="10"/>
        <v>31.85</v>
      </c>
      <c r="K116" s="32">
        <f t="shared" si="11"/>
        <v>35</v>
      </c>
      <c r="L116" s="32"/>
      <c r="M116" s="33">
        <f t="shared" si="9"/>
        <v>3.15</v>
      </c>
      <c r="N116" s="33" t="e">
        <v>#N/A</v>
      </c>
      <c r="O116" s="25"/>
      <c r="P116" s="32"/>
    </row>
    <row r="117" spans="1:16" ht="16.5" customHeight="1">
      <c r="A117" s="35" t="s">
        <v>145</v>
      </c>
      <c r="B117" s="36">
        <v>20289955</v>
      </c>
      <c r="C117" s="37" t="s">
        <v>237</v>
      </c>
      <c r="D117" s="36" t="s">
        <v>226</v>
      </c>
      <c r="E117" s="38">
        <v>65</v>
      </c>
      <c r="F117" s="30" t="s">
        <v>73</v>
      </c>
      <c r="G117" s="30">
        <f t="shared" si="6"/>
        <v>66.5</v>
      </c>
      <c r="H117" s="31">
        <f t="shared" si="7"/>
        <v>63.5</v>
      </c>
      <c r="I117" s="31">
        <f t="shared" si="8"/>
        <v>69.5</v>
      </c>
      <c r="J117" s="31">
        <f t="shared" si="10"/>
        <v>60.5</v>
      </c>
      <c r="K117" s="32">
        <f t="shared" si="11"/>
        <v>65</v>
      </c>
      <c r="L117" s="32"/>
      <c r="M117" s="33">
        <f t="shared" si="9"/>
        <v>4.5</v>
      </c>
      <c r="N117" s="33" t="e">
        <v>#N/A</v>
      </c>
      <c r="O117" s="35"/>
      <c r="P117" s="32"/>
    </row>
    <row r="118" spans="1:16" ht="16.5" customHeight="1">
      <c r="A118" s="25" t="s">
        <v>199</v>
      </c>
      <c r="B118" s="26">
        <v>21009607</v>
      </c>
      <c r="C118" s="27" t="s">
        <v>238</v>
      </c>
      <c r="D118" s="26" t="s">
        <v>239</v>
      </c>
      <c r="E118" s="28">
        <v>160</v>
      </c>
      <c r="F118" s="29" t="s">
        <v>73</v>
      </c>
      <c r="G118" s="30">
        <f t="shared" si="6"/>
        <v>164.8</v>
      </c>
      <c r="H118" s="31">
        <f t="shared" si="7"/>
        <v>161.6</v>
      </c>
      <c r="I118" s="31">
        <f t="shared" si="8"/>
        <v>168</v>
      </c>
      <c r="J118" s="31">
        <f t="shared" si="10"/>
        <v>160</v>
      </c>
      <c r="K118" s="32">
        <f t="shared" si="11"/>
        <v>160</v>
      </c>
      <c r="L118" s="32"/>
      <c r="M118" s="33">
        <f t="shared" si="9"/>
        <v>0</v>
      </c>
      <c r="N118" s="33" t="e">
        <v>#N/A</v>
      </c>
      <c r="O118" s="25"/>
      <c r="P118" s="41" t="s">
        <v>88</v>
      </c>
    </row>
    <row r="119" spans="1:16" ht="16.5" customHeight="1">
      <c r="A119" s="35" t="s">
        <v>199</v>
      </c>
      <c r="B119" s="36">
        <v>21009606</v>
      </c>
      <c r="C119" s="37" t="s">
        <v>240</v>
      </c>
      <c r="D119" s="36" t="s">
        <v>239</v>
      </c>
      <c r="E119" s="38">
        <v>160</v>
      </c>
      <c r="F119" s="30" t="s">
        <v>73</v>
      </c>
      <c r="G119" s="30">
        <f t="shared" si="6"/>
        <v>164.8</v>
      </c>
      <c r="H119" s="31">
        <f t="shared" si="7"/>
        <v>161.6</v>
      </c>
      <c r="I119" s="31">
        <f t="shared" si="8"/>
        <v>168</v>
      </c>
      <c r="J119" s="31">
        <f t="shared" si="10"/>
        <v>160</v>
      </c>
      <c r="K119" s="32">
        <f t="shared" si="11"/>
        <v>160</v>
      </c>
      <c r="L119" s="32"/>
      <c r="M119" s="33">
        <f t="shared" si="9"/>
        <v>0</v>
      </c>
      <c r="N119" s="33" t="e">
        <v>#N/A</v>
      </c>
      <c r="O119" s="35"/>
      <c r="P119" s="41" t="s">
        <v>88</v>
      </c>
    </row>
    <row r="120" spans="1:16" ht="16.5" customHeight="1">
      <c r="A120" s="25" t="s">
        <v>203</v>
      </c>
      <c r="B120" s="26">
        <v>20290145</v>
      </c>
      <c r="C120" s="27" t="s">
        <v>241</v>
      </c>
      <c r="D120" s="26" t="s">
        <v>216</v>
      </c>
      <c r="E120" s="28">
        <v>10</v>
      </c>
      <c r="F120" s="29" t="s">
        <v>73</v>
      </c>
      <c r="G120" s="30">
        <f t="shared" si="6"/>
        <v>10.3</v>
      </c>
      <c r="H120" s="31">
        <f t="shared" si="7"/>
        <v>9.6999999999999993</v>
      </c>
      <c r="I120" s="31">
        <f t="shared" si="8"/>
        <v>10.9</v>
      </c>
      <c r="J120" s="31">
        <f t="shared" si="10"/>
        <v>9.1</v>
      </c>
      <c r="K120" s="32">
        <f t="shared" si="11"/>
        <v>10</v>
      </c>
      <c r="L120" s="32"/>
      <c r="M120" s="33">
        <f t="shared" si="9"/>
        <v>0.89999999999999991</v>
      </c>
      <c r="N120" s="33" t="e">
        <v>#N/A</v>
      </c>
      <c r="O120" s="25"/>
      <c r="P120" s="32"/>
    </row>
    <row r="121" spans="1:16" ht="16.5" customHeight="1">
      <c r="A121" s="35" t="s">
        <v>203</v>
      </c>
      <c r="B121" s="36">
        <v>20290143</v>
      </c>
      <c r="C121" s="37" t="s">
        <v>242</v>
      </c>
      <c r="D121" s="36" t="s">
        <v>229</v>
      </c>
      <c r="E121" s="38">
        <v>60</v>
      </c>
      <c r="F121" s="30" t="s">
        <v>73</v>
      </c>
      <c r="G121" s="30">
        <f t="shared" si="6"/>
        <v>61.5</v>
      </c>
      <c r="H121" s="31">
        <f t="shared" si="7"/>
        <v>58.5</v>
      </c>
      <c r="I121" s="31">
        <f t="shared" si="8"/>
        <v>64.5</v>
      </c>
      <c r="J121" s="31">
        <f t="shared" si="10"/>
        <v>55.5</v>
      </c>
      <c r="K121" s="32">
        <f t="shared" si="11"/>
        <v>60</v>
      </c>
      <c r="L121" s="32"/>
      <c r="M121" s="33">
        <f t="shared" si="9"/>
        <v>4.5</v>
      </c>
      <c r="N121" s="33" t="e">
        <v>#N/A</v>
      </c>
      <c r="O121" s="35"/>
      <c r="P121" s="32"/>
    </row>
    <row r="122" spans="1:16" ht="16.5" customHeight="1">
      <c r="A122" s="25" t="s">
        <v>214</v>
      </c>
      <c r="B122" s="26">
        <v>20290151</v>
      </c>
      <c r="C122" s="27" t="s">
        <v>243</v>
      </c>
      <c r="D122" s="26" t="s">
        <v>216</v>
      </c>
      <c r="E122" s="28">
        <v>10</v>
      </c>
      <c r="F122" s="29" t="s">
        <v>73</v>
      </c>
      <c r="G122" s="30">
        <f t="shared" si="6"/>
        <v>10.3</v>
      </c>
      <c r="H122" s="31">
        <f t="shared" si="7"/>
        <v>9.6999999999999993</v>
      </c>
      <c r="I122" s="31">
        <f t="shared" si="8"/>
        <v>10.9</v>
      </c>
      <c r="J122" s="31">
        <f t="shared" si="10"/>
        <v>9.1</v>
      </c>
      <c r="K122" s="32">
        <f t="shared" si="11"/>
        <v>10</v>
      </c>
      <c r="L122" s="32"/>
      <c r="M122" s="33">
        <f t="shared" si="9"/>
        <v>0.89999999999999991</v>
      </c>
      <c r="N122" s="33" t="e">
        <v>#N/A</v>
      </c>
      <c r="O122" s="25"/>
      <c r="P122" s="32"/>
    </row>
    <row r="123" spans="1:16" ht="16.5" customHeight="1">
      <c r="A123" s="35" t="s">
        <v>214</v>
      </c>
      <c r="B123" s="36">
        <v>20290150</v>
      </c>
      <c r="C123" s="37" t="s">
        <v>244</v>
      </c>
      <c r="D123" s="36" t="s">
        <v>229</v>
      </c>
      <c r="E123" s="38">
        <v>30</v>
      </c>
      <c r="F123" s="30" t="s">
        <v>73</v>
      </c>
      <c r="G123" s="30">
        <f t="shared" si="6"/>
        <v>30.9</v>
      </c>
      <c r="H123" s="31">
        <f t="shared" si="7"/>
        <v>29.1</v>
      </c>
      <c r="I123" s="31">
        <f t="shared" si="8"/>
        <v>32.700000000000003</v>
      </c>
      <c r="J123" s="31">
        <f t="shared" si="10"/>
        <v>27.3</v>
      </c>
      <c r="K123" s="32">
        <f t="shared" si="11"/>
        <v>30</v>
      </c>
      <c r="L123" s="32"/>
      <c r="M123" s="33">
        <f t="shared" si="9"/>
        <v>2.6999999999999997</v>
      </c>
      <c r="N123" s="33" t="e">
        <v>#N/A</v>
      </c>
      <c r="O123" s="35"/>
      <c r="P123" s="32"/>
    </row>
    <row r="124" spans="1:16" ht="16.5" customHeight="1">
      <c r="A124" s="25" t="s">
        <v>214</v>
      </c>
      <c r="B124" s="26">
        <v>20290149</v>
      </c>
      <c r="C124" s="27" t="s">
        <v>245</v>
      </c>
      <c r="D124" s="26" t="s">
        <v>229</v>
      </c>
      <c r="E124" s="28">
        <v>60</v>
      </c>
      <c r="F124" s="29" t="s">
        <v>73</v>
      </c>
      <c r="G124" s="30">
        <f t="shared" si="6"/>
        <v>61.5</v>
      </c>
      <c r="H124" s="31">
        <f t="shared" si="7"/>
        <v>58.5</v>
      </c>
      <c r="I124" s="31">
        <f t="shared" si="8"/>
        <v>64.5</v>
      </c>
      <c r="J124" s="31">
        <f t="shared" si="10"/>
        <v>55.5</v>
      </c>
      <c r="K124" s="32">
        <f t="shared" si="11"/>
        <v>60</v>
      </c>
      <c r="L124" s="32"/>
      <c r="M124" s="33">
        <f t="shared" si="9"/>
        <v>4.5</v>
      </c>
      <c r="N124" s="33" t="e">
        <v>#N/A</v>
      </c>
      <c r="O124" s="25"/>
      <c r="P124" s="32"/>
    </row>
    <row r="125" spans="1:16" ht="16.5" customHeight="1">
      <c r="A125" s="35" t="s">
        <v>214</v>
      </c>
      <c r="B125" s="36">
        <v>20290148</v>
      </c>
      <c r="C125" s="37" t="s">
        <v>246</v>
      </c>
      <c r="D125" s="36" t="s">
        <v>247</v>
      </c>
      <c r="E125" s="38">
        <v>125</v>
      </c>
      <c r="F125" s="30" t="s">
        <v>73</v>
      </c>
      <c r="G125" s="30">
        <f t="shared" si="6"/>
        <v>126.875</v>
      </c>
      <c r="H125" s="31">
        <f t="shared" si="7"/>
        <v>123.125</v>
      </c>
      <c r="I125" s="31">
        <f t="shared" si="8"/>
        <v>130.625</v>
      </c>
      <c r="J125" s="31">
        <f t="shared" si="10"/>
        <v>119.375</v>
      </c>
      <c r="K125" s="32">
        <f t="shared" si="11"/>
        <v>125</v>
      </c>
      <c r="L125" s="32"/>
      <c r="M125" s="33">
        <f t="shared" si="9"/>
        <v>5.625</v>
      </c>
      <c r="N125" s="33" t="e">
        <v>#N/A</v>
      </c>
      <c r="O125" s="35"/>
      <c r="P125" s="32"/>
    </row>
    <row r="126" spans="1:16" ht="16.5" customHeight="1">
      <c r="A126" s="25" t="s">
        <v>130</v>
      </c>
      <c r="B126" s="26">
        <v>21026610</v>
      </c>
      <c r="C126" s="27" t="s">
        <v>248</v>
      </c>
      <c r="D126" s="26" t="s">
        <v>76</v>
      </c>
      <c r="E126" s="28">
        <v>180</v>
      </c>
      <c r="F126" s="29" t="s">
        <v>73</v>
      </c>
      <c r="G126" s="30">
        <f t="shared" si="6"/>
        <v>182.7</v>
      </c>
      <c r="H126" s="31">
        <f t="shared" si="7"/>
        <v>177.3</v>
      </c>
      <c r="I126" s="31">
        <f t="shared" si="8"/>
        <v>188.1</v>
      </c>
      <c r="J126" s="31">
        <f t="shared" si="10"/>
        <v>171.9</v>
      </c>
      <c r="K126" s="32">
        <f t="shared" si="11"/>
        <v>180</v>
      </c>
      <c r="L126" s="32"/>
      <c r="M126" s="33">
        <f t="shared" si="9"/>
        <v>8.1</v>
      </c>
      <c r="N126" s="33" t="e">
        <v>#N/A</v>
      </c>
      <c r="O126" s="25"/>
      <c r="P126" s="32"/>
    </row>
    <row r="127" spans="1:16" ht="16.5" customHeight="1">
      <c r="A127" s="35" t="s">
        <v>74</v>
      </c>
      <c r="B127" s="36">
        <v>64003087</v>
      </c>
      <c r="C127" s="37" t="s">
        <v>249</v>
      </c>
      <c r="D127" s="36" t="s">
        <v>76</v>
      </c>
      <c r="E127" s="38">
        <v>18</v>
      </c>
      <c r="F127" s="30" t="s">
        <v>73</v>
      </c>
      <c r="G127" s="30">
        <f t="shared" si="6"/>
        <v>18.54</v>
      </c>
      <c r="H127" s="31">
        <f t="shared" si="7"/>
        <v>17.46</v>
      </c>
      <c r="I127" s="31">
        <f t="shared" si="8"/>
        <v>19.62</v>
      </c>
      <c r="J127" s="31">
        <f t="shared" si="10"/>
        <v>16.38</v>
      </c>
      <c r="K127" s="32">
        <f t="shared" si="11"/>
        <v>18</v>
      </c>
      <c r="L127" s="32"/>
      <c r="M127" s="33">
        <f t="shared" si="9"/>
        <v>1.6199999999999999</v>
      </c>
      <c r="N127" s="33" t="e">
        <v>#N/A</v>
      </c>
      <c r="O127" s="35"/>
      <c r="P127" s="32"/>
    </row>
    <row r="128" spans="1:16" ht="16.5" customHeight="1">
      <c r="A128" s="25" t="s">
        <v>74</v>
      </c>
      <c r="B128" s="26">
        <v>21041633</v>
      </c>
      <c r="C128" s="27" t="s">
        <v>250</v>
      </c>
      <c r="D128" s="26" t="s">
        <v>76</v>
      </c>
      <c r="E128" s="28">
        <v>200</v>
      </c>
      <c r="F128" s="29" t="s">
        <v>73</v>
      </c>
      <c r="G128" s="30">
        <f t="shared" si="6"/>
        <v>203</v>
      </c>
      <c r="H128" s="31">
        <f t="shared" si="7"/>
        <v>197</v>
      </c>
      <c r="I128" s="31">
        <f t="shared" si="8"/>
        <v>209</v>
      </c>
      <c r="J128" s="31">
        <f t="shared" si="10"/>
        <v>191</v>
      </c>
      <c r="K128" s="32">
        <f t="shared" si="11"/>
        <v>200</v>
      </c>
      <c r="L128" s="32"/>
      <c r="M128" s="33">
        <f t="shared" si="9"/>
        <v>9</v>
      </c>
      <c r="N128" s="33" t="e">
        <v>#N/A</v>
      </c>
      <c r="O128" s="25"/>
      <c r="P128" s="32"/>
    </row>
    <row r="129" spans="1:16" ht="16.5" customHeight="1">
      <c r="A129" s="35" t="s">
        <v>145</v>
      </c>
      <c r="B129" s="36">
        <v>21016054</v>
      </c>
      <c r="C129" s="37" t="s">
        <v>251</v>
      </c>
      <c r="D129" s="36" t="s">
        <v>252</v>
      </c>
      <c r="E129" s="38">
        <v>200</v>
      </c>
      <c r="F129" s="30" t="s">
        <v>73</v>
      </c>
      <c r="G129" s="30">
        <f t="shared" si="6"/>
        <v>203</v>
      </c>
      <c r="H129" s="31">
        <f t="shared" si="7"/>
        <v>197</v>
      </c>
      <c r="I129" s="31">
        <f t="shared" si="8"/>
        <v>209</v>
      </c>
      <c r="J129" s="31">
        <f t="shared" si="10"/>
        <v>191</v>
      </c>
      <c r="K129" s="32">
        <f t="shared" si="11"/>
        <v>200</v>
      </c>
      <c r="L129" s="32"/>
      <c r="M129" s="33">
        <f t="shared" si="9"/>
        <v>9</v>
      </c>
      <c r="N129" s="33" t="e">
        <v>#N/A</v>
      </c>
      <c r="O129" s="35"/>
      <c r="P129" s="32"/>
    </row>
    <row r="130" spans="1:16" ht="16.5" customHeight="1">
      <c r="A130" s="25" t="s">
        <v>70</v>
      </c>
      <c r="B130" s="26">
        <v>21009946</v>
      </c>
      <c r="C130" s="27" t="s">
        <v>253</v>
      </c>
      <c r="D130" s="26" t="s">
        <v>76</v>
      </c>
      <c r="E130" s="28">
        <v>45</v>
      </c>
      <c r="F130" s="29" t="s">
        <v>73</v>
      </c>
      <c r="G130" s="30">
        <f t="shared" si="6"/>
        <v>46.35</v>
      </c>
      <c r="H130" s="31">
        <f t="shared" si="7"/>
        <v>43.65</v>
      </c>
      <c r="I130" s="31">
        <f t="shared" si="8"/>
        <v>49.05</v>
      </c>
      <c r="J130" s="31">
        <f t="shared" si="10"/>
        <v>40.950000000000003</v>
      </c>
      <c r="K130" s="32">
        <f t="shared" si="11"/>
        <v>45</v>
      </c>
      <c r="L130" s="32"/>
      <c r="M130" s="33">
        <f t="shared" si="9"/>
        <v>4.05</v>
      </c>
      <c r="N130" s="33">
        <v>3.8</v>
      </c>
      <c r="O130" s="25"/>
      <c r="P130" s="32"/>
    </row>
    <row r="131" spans="1:16" ht="16.5" customHeight="1">
      <c r="A131" s="35" t="s">
        <v>70</v>
      </c>
      <c r="B131" s="36">
        <v>20281720</v>
      </c>
      <c r="C131" s="37" t="s">
        <v>254</v>
      </c>
      <c r="D131" s="36" t="s">
        <v>76</v>
      </c>
      <c r="E131" s="38">
        <v>120</v>
      </c>
      <c r="F131" s="30" t="s">
        <v>73</v>
      </c>
      <c r="G131" s="30">
        <f t="shared" ref="G131:G194" si="12">IF(P131="TL tuyệt đối",K131*103%,K131+1/3*M131)</f>
        <v>121.8</v>
      </c>
      <c r="H131" s="31">
        <f t="shared" ref="H131:H194" si="13">IF(P131="TL tuyệt đối",K131*101%,K131-1/3*M131)</f>
        <v>118.2</v>
      </c>
      <c r="I131" s="31">
        <f t="shared" ref="I131:I194" si="14">IF(P131="TL tuyệt đối", K131*105%,K131+M131)</f>
        <v>125.4</v>
      </c>
      <c r="J131" s="31">
        <f t="shared" si="10"/>
        <v>114.6</v>
      </c>
      <c r="K131" s="32">
        <f t="shared" si="11"/>
        <v>120</v>
      </c>
      <c r="L131" s="32"/>
      <c r="M131" s="33">
        <f t="shared" ref="M131:M194" si="15">IF(P131="TL tuyệt đối",0, IF(K131&lt;5,0,IF(K131&lt;50,K131*9%,IF(K131&lt;100,4.5,IF(K131&lt;200,4.5%*K131,IF(K131&lt;300,9,IF(K131&lt;500,K131*3%,IF(K131&lt;1000,15,))))))))</f>
        <v>5.3999999999999995</v>
      </c>
      <c r="N131" s="33" t="e">
        <v>#N/A</v>
      </c>
      <c r="O131" s="35"/>
      <c r="P131" s="32"/>
    </row>
    <row r="132" spans="1:16" ht="16.5" customHeight="1">
      <c r="A132" s="25" t="s">
        <v>70</v>
      </c>
      <c r="B132" s="26">
        <v>21009948</v>
      </c>
      <c r="C132" s="27" t="s">
        <v>255</v>
      </c>
      <c r="D132" s="26" t="s">
        <v>76</v>
      </c>
      <c r="E132" s="28">
        <v>200</v>
      </c>
      <c r="F132" s="29" t="s">
        <v>73</v>
      </c>
      <c r="G132" s="30">
        <f t="shared" si="12"/>
        <v>203</v>
      </c>
      <c r="H132" s="31">
        <f t="shared" si="13"/>
        <v>197</v>
      </c>
      <c r="I132" s="31">
        <f t="shared" si="14"/>
        <v>209</v>
      </c>
      <c r="J132" s="31">
        <f t="shared" ref="J132:J195" si="16">K132-M132</f>
        <v>191</v>
      </c>
      <c r="K132" s="32">
        <f t="shared" ref="K132:K195" si="17">IF(F132="ml",E132*L132,E132)</f>
        <v>200</v>
      </c>
      <c r="L132" s="32"/>
      <c r="M132" s="33">
        <f t="shared" si="15"/>
        <v>9</v>
      </c>
      <c r="N132" s="33" t="e">
        <v>#N/A</v>
      </c>
      <c r="O132" s="25"/>
      <c r="P132" s="32"/>
    </row>
    <row r="133" spans="1:16" ht="16.5" customHeight="1">
      <c r="A133" s="35" t="s">
        <v>70</v>
      </c>
      <c r="B133" s="36">
        <v>21009950</v>
      </c>
      <c r="C133" s="37" t="s">
        <v>256</v>
      </c>
      <c r="D133" s="36" t="s">
        <v>76</v>
      </c>
      <c r="E133" s="38">
        <v>250</v>
      </c>
      <c r="F133" s="30" t="s">
        <v>73</v>
      </c>
      <c r="G133" s="30">
        <f t="shared" si="12"/>
        <v>253</v>
      </c>
      <c r="H133" s="31">
        <f t="shared" si="13"/>
        <v>247</v>
      </c>
      <c r="I133" s="31">
        <f t="shared" si="14"/>
        <v>259</v>
      </c>
      <c r="J133" s="31">
        <f t="shared" si="16"/>
        <v>241</v>
      </c>
      <c r="K133" s="32">
        <f t="shared" si="17"/>
        <v>250</v>
      </c>
      <c r="L133" s="32"/>
      <c r="M133" s="33">
        <f t="shared" si="15"/>
        <v>9</v>
      </c>
      <c r="N133" s="33" t="e">
        <v>#N/A</v>
      </c>
      <c r="O133" s="35"/>
      <c r="P133" s="32"/>
    </row>
    <row r="134" spans="1:16" ht="16.5" customHeight="1">
      <c r="A134" s="25" t="s">
        <v>193</v>
      </c>
      <c r="B134" s="26">
        <v>21018294</v>
      </c>
      <c r="C134" s="27" t="s">
        <v>257</v>
      </c>
      <c r="D134" s="26" t="s">
        <v>76</v>
      </c>
      <c r="E134" s="28">
        <v>200</v>
      </c>
      <c r="F134" s="29" t="s">
        <v>73</v>
      </c>
      <c r="G134" s="30">
        <f t="shared" si="12"/>
        <v>203</v>
      </c>
      <c r="H134" s="31">
        <f t="shared" si="13"/>
        <v>197</v>
      </c>
      <c r="I134" s="31">
        <f t="shared" si="14"/>
        <v>209</v>
      </c>
      <c r="J134" s="31">
        <f t="shared" si="16"/>
        <v>191</v>
      </c>
      <c r="K134" s="32">
        <f t="shared" si="17"/>
        <v>200</v>
      </c>
      <c r="L134" s="32"/>
      <c r="M134" s="33">
        <f t="shared" si="15"/>
        <v>9</v>
      </c>
      <c r="N134" s="33" t="e">
        <v>#N/A</v>
      </c>
      <c r="O134" s="25"/>
      <c r="P134" s="32"/>
    </row>
    <row r="135" spans="1:16" ht="16.5" customHeight="1">
      <c r="A135" s="35" t="s">
        <v>130</v>
      </c>
      <c r="B135" s="36">
        <v>21042287</v>
      </c>
      <c r="C135" s="37" t="s">
        <v>258</v>
      </c>
      <c r="D135" s="36" t="s">
        <v>76</v>
      </c>
      <c r="E135" s="38">
        <v>25</v>
      </c>
      <c r="F135" s="30" t="s">
        <v>73</v>
      </c>
      <c r="G135" s="30">
        <f t="shared" si="12"/>
        <v>25.75</v>
      </c>
      <c r="H135" s="31">
        <f t="shared" si="13"/>
        <v>24.25</v>
      </c>
      <c r="I135" s="31">
        <f t="shared" si="14"/>
        <v>27.25</v>
      </c>
      <c r="J135" s="31">
        <f t="shared" si="16"/>
        <v>22.75</v>
      </c>
      <c r="K135" s="32">
        <f t="shared" si="17"/>
        <v>25</v>
      </c>
      <c r="L135" s="32"/>
      <c r="M135" s="33">
        <f t="shared" si="15"/>
        <v>2.25</v>
      </c>
      <c r="N135" s="33" t="e">
        <v>#N/A</v>
      </c>
      <c r="O135" s="35"/>
      <c r="P135" s="32"/>
    </row>
    <row r="136" spans="1:16" ht="16.5" customHeight="1">
      <c r="A136" s="25" t="s">
        <v>203</v>
      </c>
      <c r="B136" s="26">
        <v>20290142</v>
      </c>
      <c r="C136" s="27" t="s">
        <v>259</v>
      </c>
      <c r="D136" s="26" t="s">
        <v>247</v>
      </c>
      <c r="E136" s="28">
        <v>125</v>
      </c>
      <c r="F136" s="29" t="s">
        <v>73</v>
      </c>
      <c r="G136" s="30">
        <f t="shared" si="12"/>
        <v>126.875</v>
      </c>
      <c r="H136" s="31">
        <f t="shared" si="13"/>
        <v>123.125</v>
      </c>
      <c r="I136" s="31">
        <f t="shared" si="14"/>
        <v>130.625</v>
      </c>
      <c r="J136" s="31">
        <f t="shared" si="16"/>
        <v>119.375</v>
      </c>
      <c r="K136" s="32">
        <f t="shared" si="17"/>
        <v>125</v>
      </c>
      <c r="L136" s="32"/>
      <c r="M136" s="33">
        <f t="shared" si="15"/>
        <v>5.625</v>
      </c>
      <c r="N136" s="33" t="e">
        <v>#N/A</v>
      </c>
      <c r="O136" s="25"/>
      <c r="P136" s="32"/>
    </row>
    <row r="137" spans="1:16" ht="16.5" customHeight="1">
      <c r="A137" s="35" t="s">
        <v>260</v>
      </c>
      <c r="B137" s="36">
        <v>21041697</v>
      </c>
      <c r="C137" s="37" t="s">
        <v>261</v>
      </c>
      <c r="D137" s="36" t="s">
        <v>262</v>
      </c>
      <c r="E137" s="38">
        <v>75</v>
      </c>
      <c r="F137" s="30" t="s">
        <v>73</v>
      </c>
      <c r="G137" s="30">
        <f t="shared" si="12"/>
        <v>76.5</v>
      </c>
      <c r="H137" s="31">
        <f t="shared" si="13"/>
        <v>73.5</v>
      </c>
      <c r="I137" s="31">
        <f t="shared" si="14"/>
        <v>79.5</v>
      </c>
      <c r="J137" s="31">
        <f t="shared" si="16"/>
        <v>70.5</v>
      </c>
      <c r="K137" s="32">
        <f t="shared" si="17"/>
        <v>75</v>
      </c>
      <c r="L137" s="32"/>
      <c r="M137" s="33">
        <f t="shared" si="15"/>
        <v>4.5</v>
      </c>
      <c r="N137" s="33">
        <v>4.5999999999999996</v>
      </c>
      <c r="O137" s="35"/>
      <c r="P137" s="32"/>
    </row>
    <row r="138" spans="1:16" ht="16.5" customHeight="1">
      <c r="A138" s="25" t="s">
        <v>260</v>
      </c>
      <c r="B138" s="26">
        <v>21041698</v>
      </c>
      <c r="C138" s="27" t="s">
        <v>263</v>
      </c>
      <c r="D138" s="26" t="s">
        <v>262</v>
      </c>
      <c r="E138" s="28">
        <v>160</v>
      </c>
      <c r="F138" s="29" t="s">
        <v>73</v>
      </c>
      <c r="G138" s="30">
        <f t="shared" si="12"/>
        <v>162.4</v>
      </c>
      <c r="H138" s="31">
        <f t="shared" si="13"/>
        <v>157.6</v>
      </c>
      <c r="I138" s="31">
        <f t="shared" si="14"/>
        <v>167.2</v>
      </c>
      <c r="J138" s="31">
        <f t="shared" si="16"/>
        <v>152.80000000000001</v>
      </c>
      <c r="K138" s="32">
        <f t="shared" si="17"/>
        <v>160</v>
      </c>
      <c r="L138" s="32"/>
      <c r="M138" s="33">
        <f t="shared" si="15"/>
        <v>7.1999999999999993</v>
      </c>
      <c r="N138" s="33">
        <v>7.3</v>
      </c>
      <c r="O138" s="25"/>
      <c r="P138" s="32"/>
    </row>
    <row r="139" spans="1:16" ht="16.5" customHeight="1">
      <c r="A139" s="35" t="s">
        <v>264</v>
      </c>
      <c r="B139" s="36">
        <v>21016320</v>
      </c>
      <c r="C139" s="37" t="s">
        <v>265</v>
      </c>
      <c r="D139" s="36" t="s">
        <v>266</v>
      </c>
      <c r="E139" s="38">
        <v>50</v>
      </c>
      <c r="F139" s="30" t="s">
        <v>82</v>
      </c>
      <c r="G139" s="30">
        <f t="shared" si="12"/>
        <v>77</v>
      </c>
      <c r="H139" s="31">
        <f t="shared" si="13"/>
        <v>74</v>
      </c>
      <c r="I139" s="31">
        <f t="shared" si="14"/>
        <v>80</v>
      </c>
      <c r="J139" s="31">
        <f t="shared" si="16"/>
        <v>71</v>
      </c>
      <c r="K139" s="32">
        <f t="shared" si="17"/>
        <v>75.5</v>
      </c>
      <c r="L139" s="40">
        <v>1.51</v>
      </c>
      <c r="M139" s="33">
        <f t="shared" si="15"/>
        <v>4.5</v>
      </c>
      <c r="N139" s="33">
        <v>5.5</v>
      </c>
      <c r="O139" s="35"/>
      <c r="P139" s="32"/>
    </row>
    <row r="140" spans="1:16" ht="16.5" customHeight="1">
      <c r="A140" s="25" t="s">
        <v>264</v>
      </c>
      <c r="B140" s="26">
        <v>21016321</v>
      </c>
      <c r="C140" s="27" t="s">
        <v>267</v>
      </c>
      <c r="D140" s="26" t="s">
        <v>266</v>
      </c>
      <c r="E140" s="28">
        <v>100</v>
      </c>
      <c r="F140" s="29" t="s">
        <v>82</v>
      </c>
      <c r="G140" s="30">
        <f t="shared" si="12"/>
        <v>153.26499999999999</v>
      </c>
      <c r="H140" s="31">
        <f t="shared" si="13"/>
        <v>148.73500000000001</v>
      </c>
      <c r="I140" s="31">
        <f t="shared" si="14"/>
        <v>157.79499999999999</v>
      </c>
      <c r="J140" s="31">
        <f t="shared" si="16"/>
        <v>144.20500000000001</v>
      </c>
      <c r="K140" s="32">
        <f t="shared" si="17"/>
        <v>151</v>
      </c>
      <c r="L140" s="40">
        <v>1.51</v>
      </c>
      <c r="M140" s="33">
        <f t="shared" si="15"/>
        <v>6.7949999999999999</v>
      </c>
      <c r="N140" s="33">
        <v>8.8000000000000007</v>
      </c>
      <c r="O140" s="25"/>
      <c r="P140" s="32"/>
    </row>
    <row r="141" spans="1:16" ht="16.5" customHeight="1">
      <c r="A141" s="35" t="s">
        <v>268</v>
      </c>
      <c r="B141" s="36">
        <v>21016322</v>
      </c>
      <c r="C141" s="37" t="s">
        <v>269</v>
      </c>
      <c r="D141" s="36" t="s">
        <v>266</v>
      </c>
      <c r="E141" s="38">
        <v>50</v>
      </c>
      <c r="F141" s="30" t="s">
        <v>82</v>
      </c>
      <c r="G141" s="30">
        <f t="shared" si="12"/>
        <v>77</v>
      </c>
      <c r="H141" s="31">
        <f t="shared" si="13"/>
        <v>74</v>
      </c>
      <c r="I141" s="31">
        <f t="shared" si="14"/>
        <v>80</v>
      </c>
      <c r="J141" s="31">
        <f t="shared" si="16"/>
        <v>71</v>
      </c>
      <c r="K141" s="32">
        <f t="shared" si="17"/>
        <v>75.5</v>
      </c>
      <c r="L141" s="40">
        <v>1.51</v>
      </c>
      <c r="M141" s="33">
        <f t="shared" si="15"/>
        <v>4.5</v>
      </c>
      <c r="N141" s="33">
        <v>5.5</v>
      </c>
      <c r="O141" s="35"/>
      <c r="P141" s="32"/>
    </row>
    <row r="142" spans="1:16" ht="16.5" customHeight="1">
      <c r="A142" s="25" t="s">
        <v>268</v>
      </c>
      <c r="B142" s="26">
        <v>21016323</v>
      </c>
      <c r="C142" s="27" t="s">
        <v>270</v>
      </c>
      <c r="D142" s="26" t="s">
        <v>266</v>
      </c>
      <c r="E142" s="28">
        <v>100</v>
      </c>
      <c r="F142" s="29" t="s">
        <v>82</v>
      </c>
      <c r="G142" s="30">
        <f t="shared" si="12"/>
        <v>153.26499999999999</v>
      </c>
      <c r="H142" s="31">
        <f t="shared" si="13"/>
        <v>148.73500000000001</v>
      </c>
      <c r="I142" s="31">
        <f t="shared" si="14"/>
        <v>157.79499999999999</v>
      </c>
      <c r="J142" s="31">
        <f t="shared" si="16"/>
        <v>144.20500000000001</v>
      </c>
      <c r="K142" s="32">
        <f t="shared" si="17"/>
        <v>151</v>
      </c>
      <c r="L142" s="40">
        <v>1.51</v>
      </c>
      <c r="M142" s="33">
        <f t="shared" si="15"/>
        <v>6.7949999999999999</v>
      </c>
      <c r="N142" s="33">
        <v>8.8000000000000007</v>
      </c>
      <c r="O142" s="25"/>
      <c r="P142" s="32"/>
    </row>
    <row r="143" spans="1:16" ht="16.5" customHeight="1">
      <c r="A143" s="35" t="s">
        <v>271</v>
      </c>
      <c r="B143" s="36">
        <v>21016324</v>
      </c>
      <c r="C143" s="37" t="s">
        <v>272</v>
      </c>
      <c r="D143" s="36" t="s">
        <v>266</v>
      </c>
      <c r="E143" s="38">
        <v>50</v>
      </c>
      <c r="F143" s="30" t="s">
        <v>82</v>
      </c>
      <c r="G143" s="30">
        <f t="shared" si="12"/>
        <v>77</v>
      </c>
      <c r="H143" s="31">
        <f t="shared" si="13"/>
        <v>74</v>
      </c>
      <c r="I143" s="31">
        <f t="shared" si="14"/>
        <v>80</v>
      </c>
      <c r="J143" s="31">
        <f t="shared" si="16"/>
        <v>71</v>
      </c>
      <c r="K143" s="32">
        <f t="shared" si="17"/>
        <v>75.5</v>
      </c>
      <c r="L143" s="40">
        <v>1.51</v>
      </c>
      <c r="M143" s="33">
        <f t="shared" si="15"/>
        <v>4.5</v>
      </c>
      <c r="N143" s="33">
        <v>5.5</v>
      </c>
      <c r="O143" s="35"/>
      <c r="P143" s="32"/>
    </row>
    <row r="144" spans="1:16" ht="16.5" customHeight="1">
      <c r="A144" s="25" t="s">
        <v>271</v>
      </c>
      <c r="B144" s="26">
        <v>21016325</v>
      </c>
      <c r="C144" s="27" t="s">
        <v>273</v>
      </c>
      <c r="D144" s="26" t="s">
        <v>266</v>
      </c>
      <c r="E144" s="28">
        <v>100</v>
      </c>
      <c r="F144" s="29" t="s">
        <v>82</v>
      </c>
      <c r="G144" s="30">
        <f t="shared" si="12"/>
        <v>153.26499999999999</v>
      </c>
      <c r="H144" s="31">
        <f t="shared" si="13"/>
        <v>148.73500000000001</v>
      </c>
      <c r="I144" s="31">
        <f t="shared" si="14"/>
        <v>157.79499999999999</v>
      </c>
      <c r="J144" s="31">
        <f t="shared" si="16"/>
        <v>144.20500000000001</v>
      </c>
      <c r="K144" s="32">
        <f t="shared" si="17"/>
        <v>151</v>
      </c>
      <c r="L144" s="40">
        <v>1.51</v>
      </c>
      <c r="M144" s="33">
        <f t="shared" si="15"/>
        <v>6.7949999999999999</v>
      </c>
      <c r="N144" s="33">
        <v>8.8000000000000007</v>
      </c>
      <c r="O144" s="25"/>
      <c r="P144" s="32"/>
    </row>
    <row r="145" spans="1:20" ht="16.5" customHeight="1">
      <c r="A145" s="35" t="s">
        <v>145</v>
      </c>
      <c r="B145" s="36">
        <v>20288107</v>
      </c>
      <c r="C145" s="37" t="s">
        <v>274</v>
      </c>
      <c r="D145" s="36" t="s">
        <v>176</v>
      </c>
      <c r="E145" s="38">
        <v>50</v>
      </c>
      <c r="F145" s="30" t="s">
        <v>82</v>
      </c>
      <c r="G145" s="30">
        <f t="shared" si="12"/>
        <v>77</v>
      </c>
      <c r="H145" s="31">
        <f t="shared" si="13"/>
        <v>74</v>
      </c>
      <c r="I145" s="31">
        <f t="shared" si="14"/>
        <v>80</v>
      </c>
      <c r="J145" s="31">
        <f t="shared" si="16"/>
        <v>71</v>
      </c>
      <c r="K145" s="32">
        <f t="shared" si="17"/>
        <v>75.5</v>
      </c>
      <c r="L145" s="40">
        <v>1.51</v>
      </c>
      <c r="M145" s="33">
        <f t="shared" si="15"/>
        <v>4.5</v>
      </c>
      <c r="N145" s="33" t="e">
        <v>#N/A</v>
      </c>
      <c r="O145" s="35"/>
      <c r="P145" s="32"/>
    </row>
    <row r="146" spans="1:20" ht="16.5" customHeight="1">
      <c r="A146" s="25" t="s">
        <v>275</v>
      </c>
      <c r="B146" s="26">
        <v>21006542</v>
      </c>
      <c r="C146" s="27" t="s">
        <v>276</v>
      </c>
      <c r="D146" s="26" t="s">
        <v>76</v>
      </c>
      <c r="E146" s="28">
        <v>150</v>
      </c>
      <c r="F146" s="29" t="s">
        <v>73</v>
      </c>
      <c r="G146" s="30">
        <f t="shared" si="12"/>
        <v>152.25</v>
      </c>
      <c r="H146" s="31">
        <f t="shared" si="13"/>
        <v>147.75</v>
      </c>
      <c r="I146" s="31">
        <f t="shared" si="14"/>
        <v>156.75</v>
      </c>
      <c r="J146" s="31">
        <f t="shared" si="16"/>
        <v>143.25</v>
      </c>
      <c r="K146" s="32">
        <f t="shared" si="17"/>
        <v>150</v>
      </c>
      <c r="L146" s="32"/>
      <c r="M146" s="33">
        <f t="shared" si="15"/>
        <v>6.75</v>
      </c>
      <c r="N146" s="33" t="e">
        <v>#N/A</v>
      </c>
      <c r="O146" s="25"/>
      <c r="P146" s="32"/>
    </row>
    <row r="147" spans="1:20" ht="16.5" customHeight="1">
      <c r="A147" s="35" t="s">
        <v>277</v>
      </c>
      <c r="B147" s="36">
        <v>21014484</v>
      </c>
      <c r="C147" s="37" t="s">
        <v>278</v>
      </c>
      <c r="D147" s="36" t="s">
        <v>76</v>
      </c>
      <c r="E147" s="38">
        <v>150</v>
      </c>
      <c r="F147" s="30" t="s">
        <v>73</v>
      </c>
      <c r="G147" s="30">
        <f t="shared" si="12"/>
        <v>152.25</v>
      </c>
      <c r="H147" s="31">
        <f t="shared" si="13"/>
        <v>147.75</v>
      </c>
      <c r="I147" s="31">
        <f t="shared" si="14"/>
        <v>156.75</v>
      </c>
      <c r="J147" s="31">
        <f t="shared" si="16"/>
        <v>143.25</v>
      </c>
      <c r="K147" s="32">
        <f t="shared" si="17"/>
        <v>150</v>
      </c>
      <c r="L147" s="32"/>
      <c r="M147" s="33">
        <f t="shared" si="15"/>
        <v>6.75</v>
      </c>
      <c r="N147" s="33" t="e">
        <v>#N/A</v>
      </c>
      <c r="O147" s="35"/>
      <c r="P147" s="32"/>
    </row>
    <row r="148" spans="1:20" ht="16.5" customHeight="1">
      <c r="A148" s="25" t="s">
        <v>217</v>
      </c>
      <c r="B148" s="26">
        <v>20288115</v>
      </c>
      <c r="C148" s="27" t="s">
        <v>279</v>
      </c>
      <c r="D148" s="26" t="s">
        <v>176</v>
      </c>
      <c r="E148" s="28">
        <v>100</v>
      </c>
      <c r="F148" s="29" t="s">
        <v>82</v>
      </c>
      <c r="G148" s="30">
        <f t="shared" si="12"/>
        <v>131.94999999999999</v>
      </c>
      <c r="H148" s="31">
        <f t="shared" si="13"/>
        <v>128.05000000000001</v>
      </c>
      <c r="I148" s="31">
        <f t="shared" si="14"/>
        <v>135.85</v>
      </c>
      <c r="J148" s="31">
        <f t="shared" si="16"/>
        <v>124.15</v>
      </c>
      <c r="K148" s="32">
        <f t="shared" si="17"/>
        <v>130</v>
      </c>
      <c r="L148" s="40">
        <v>1.3</v>
      </c>
      <c r="M148" s="33">
        <f t="shared" si="15"/>
        <v>5.85</v>
      </c>
      <c r="N148" s="33">
        <v>6.8</v>
      </c>
      <c r="O148" s="25"/>
      <c r="P148" s="32"/>
    </row>
    <row r="149" spans="1:20" s="51" customFormat="1" ht="16.5" customHeight="1">
      <c r="A149" s="46" t="s">
        <v>280</v>
      </c>
      <c r="B149" s="47">
        <v>21006934</v>
      </c>
      <c r="C149" s="48" t="s">
        <v>281</v>
      </c>
      <c r="D149" s="47" t="s">
        <v>76</v>
      </c>
      <c r="E149" s="49">
        <v>300</v>
      </c>
      <c r="F149" s="50" t="s">
        <v>82</v>
      </c>
      <c r="G149" s="30">
        <f t="shared" si="12"/>
        <v>0</v>
      </c>
      <c r="H149" s="31">
        <f t="shared" si="13"/>
        <v>0</v>
      </c>
      <c r="I149" s="31">
        <f t="shared" si="14"/>
        <v>0</v>
      </c>
      <c r="J149" s="31">
        <f t="shared" si="16"/>
        <v>0</v>
      </c>
      <c r="K149" s="32">
        <f t="shared" si="17"/>
        <v>0</v>
      </c>
      <c r="L149" s="40"/>
      <c r="M149" s="33">
        <f t="shared" si="15"/>
        <v>0</v>
      </c>
      <c r="N149" s="33" t="e">
        <v>#N/A</v>
      </c>
      <c r="O149" s="46"/>
      <c r="P149" s="32"/>
      <c r="Q149" s="23"/>
      <c r="R149" s="23"/>
      <c r="S149" s="23"/>
      <c r="T149" s="23"/>
    </row>
    <row r="150" spans="1:20" ht="16.5" customHeight="1">
      <c r="A150" s="25" t="s">
        <v>275</v>
      </c>
      <c r="B150" s="26">
        <v>21048363</v>
      </c>
      <c r="C150" s="27" t="s">
        <v>282</v>
      </c>
      <c r="D150" s="26" t="s">
        <v>76</v>
      </c>
      <c r="E150" s="28">
        <v>30</v>
      </c>
      <c r="F150" s="29" t="s">
        <v>73</v>
      </c>
      <c r="G150" s="30">
        <f t="shared" si="12"/>
        <v>30.9</v>
      </c>
      <c r="H150" s="31">
        <f t="shared" si="13"/>
        <v>29.1</v>
      </c>
      <c r="I150" s="31">
        <f t="shared" si="14"/>
        <v>32.700000000000003</v>
      </c>
      <c r="J150" s="31">
        <f t="shared" si="16"/>
        <v>27.3</v>
      </c>
      <c r="K150" s="32">
        <f t="shared" si="17"/>
        <v>30</v>
      </c>
      <c r="L150" s="32"/>
      <c r="M150" s="33">
        <f t="shared" si="15"/>
        <v>2.6999999999999997</v>
      </c>
      <c r="N150" s="33">
        <v>4</v>
      </c>
      <c r="O150" s="25"/>
      <c r="P150" s="32"/>
    </row>
    <row r="151" spans="1:20" ht="16.5" customHeight="1">
      <c r="A151" s="35" t="s">
        <v>277</v>
      </c>
      <c r="B151" s="36">
        <v>21047206</v>
      </c>
      <c r="C151" s="37" t="s">
        <v>283</v>
      </c>
      <c r="D151" s="36" t="s">
        <v>76</v>
      </c>
      <c r="E151" s="38">
        <v>30</v>
      </c>
      <c r="F151" s="30" t="s">
        <v>73</v>
      </c>
      <c r="G151" s="30">
        <f t="shared" si="12"/>
        <v>30.9</v>
      </c>
      <c r="H151" s="31">
        <f t="shared" si="13"/>
        <v>29.1</v>
      </c>
      <c r="I151" s="31">
        <f t="shared" si="14"/>
        <v>32.700000000000003</v>
      </c>
      <c r="J151" s="31">
        <f t="shared" si="16"/>
        <v>27.3</v>
      </c>
      <c r="K151" s="32">
        <f t="shared" si="17"/>
        <v>30</v>
      </c>
      <c r="L151" s="32"/>
      <c r="M151" s="33">
        <f t="shared" si="15"/>
        <v>2.6999999999999997</v>
      </c>
      <c r="N151" s="33" t="e">
        <v>#N/A</v>
      </c>
      <c r="O151" s="35"/>
      <c r="P151" s="32"/>
    </row>
    <row r="152" spans="1:20" ht="16.5" customHeight="1">
      <c r="A152" s="25" t="s">
        <v>74</v>
      </c>
      <c r="B152" s="26">
        <v>21048035</v>
      </c>
      <c r="C152" s="27" t="s">
        <v>284</v>
      </c>
      <c r="D152" s="26" t="s">
        <v>76</v>
      </c>
      <c r="E152" s="28">
        <v>200</v>
      </c>
      <c r="F152" s="29" t="s">
        <v>73</v>
      </c>
      <c r="G152" s="30">
        <f t="shared" si="12"/>
        <v>203</v>
      </c>
      <c r="H152" s="31">
        <f t="shared" si="13"/>
        <v>197</v>
      </c>
      <c r="I152" s="31">
        <f t="shared" si="14"/>
        <v>209</v>
      </c>
      <c r="J152" s="31">
        <f t="shared" si="16"/>
        <v>191</v>
      </c>
      <c r="K152" s="32">
        <f t="shared" si="17"/>
        <v>200</v>
      </c>
      <c r="L152" s="32"/>
      <c r="M152" s="33">
        <f t="shared" si="15"/>
        <v>9</v>
      </c>
      <c r="N152" s="33" t="e">
        <v>#N/A</v>
      </c>
      <c r="O152" s="25"/>
      <c r="P152" s="32"/>
    </row>
    <row r="153" spans="1:20" ht="16.5" customHeight="1">
      <c r="A153" s="35" t="s">
        <v>70</v>
      </c>
      <c r="B153" s="36">
        <v>21049123</v>
      </c>
      <c r="C153" s="37" t="s">
        <v>285</v>
      </c>
      <c r="D153" s="36" t="s">
        <v>286</v>
      </c>
      <c r="E153" s="38">
        <v>45</v>
      </c>
      <c r="F153" s="30" t="s">
        <v>73</v>
      </c>
      <c r="G153" s="30">
        <f t="shared" si="12"/>
        <v>46.35</v>
      </c>
      <c r="H153" s="31">
        <f t="shared" si="13"/>
        <v>43.65</v>
      </c>
      <c r="I153" s="31">
        <f t="shared" si="14"/>
        <v>49.05</v>
      </c>
      <c r="J153" s="31">
        <f t="shared" si="16"/>
        <v>40.950000000000003</v>
      </c>
      <c r="K153" s="32">
        <f t="shared" si="17"/>
        <v>45</v>
      </c>
      <c r="L153" s="32"/>
      <c r="M153" s="33">
        <f t="shared" si="15"/>
        <v>4.05</v>
      </c>
      <c r="N153" s="33" t="e">
        <v>#N/A</v>
      </c>
      <c r="O153" s="35"/>
      <c r="P153" s="32"/>
    </row>
    <row r="154" spans="1:20" ht="16.5" customHeight="1">
      <c r="A154" s="25" t="s">
        <v>70</v>
      </c>
      <c r="B154" s="26">
        <v>21049121</v>
      </c>
      <c r="C154" s="27" t="s">
        <v>287</v>
      </c>
      <c r="D154" s="26" t="s">
        <v>286</v>
      </c>
      <c r="E154" s="28">
        <v>120</v>
      </c>
      <c r="F154" s="29" t="s">
        <v>73</v>
      </c>
      <c r="G154" s="30">
        <f t="shared" si="12"/>
        <v>121.8</v>
      </c>
      <c r="H154" s="31">
        <f t="shared" si="13"/>
        <v>118.2</v>
      </c>
      <c r="I154" s="31">
        <f t="shared" si="14"/>
        <v>125.4</v>
      </c>
      <c r="J154" s="31">
        <f t="shared" si="16"/>
        <v>114.6</v>
      </c>
      <c r="K154" s="32">
        <f t="shared" si="17"/>
        <v>120</v>
      </c>
      <c r="L154" s="32"/>
      <c r="M154" s="33">
        <f t="shared" si="15"/>
        <v>5.3999999999999995</v>
      </c>
      <c r="N154" s="33" t="e">
        <v>#N/A</v>
      </c>
      <c r="O154" s="25"/>
      <c r="P154" s="32"/>
    </row>
    <row r="155" spans="1:20" ht="16.5" customHeight="1">
      <c r="A155" s="35" t="s">
        <v>70</v>
      </c>
      <c r="B155" s="36">
        <v>21049119</v>
      </c>
      <c r="C155" s="37" t="s">
        <v>288</v>
      </c>
      <c r="D155" s="36" t="s">
        <v>286</v>
      </c>
      <c r="E155" s="38">
        <v>200</v>
      </c>
      <c r="F155" s="30" t="s">
        <v>73</v>
      </c>
      <c r="G155" s="30">
        <f t="shared" si="12"/>
        <v>203</v>
      </c>
      <c r="H155" s="31">
        <f t="shared" si="13"/>
        <v>197</v>
      </c>
      <c r="I155" s="31">
        <f t="shared" si="14"/>
        <v>209</v>
      </c>
      <c r="J155" s="31">
        <f t="shared" si="16"/>
        <v>191</v>
      </c>
      <c r="K155" s="32">
        <f t="shared" si="17"/>
        <v>200</v>
      </c>
      <c r="L155" s="32"/>
      <c r="M155" s="33">
        <f t="shared" si="15"/>
        <v>9</v>
      </c>
      <c r="N155" s="33" t="e">
        <v>#N/A</v>
      </c>
      <c r="O155" s="35"/>
      <c r="P155" s="32"/>
    </row>
    <row r="156" spans="1:20" ht="16.5" customHeight="1">
      <c r="A156" s="25" t="s">
        <v>209</v>
      </c>
      <c r="B156" s="52">
        <v>20290390</v>
      </c>
      <c r="C156" s="48" t="s">
        <v>228</v>
      </c>
      <c r="D156" s="26" t="s">
        <v>289</v>
      </c>
      <c r="E156" s="38">
        <v>30</v>
      </c>
      <c r="F156" s="30" t="s">
        <v>73</v>
      </c>
      <c r="G156" s="30">
        <f t="shared" si="12"/>
        <v>30.9</v>
      </c>
      <c r="H156" s="31">
        <f t="shared" si="13"/>
        <v>29.1</v>
      </c>
      <c r="I156" s="31">
        <f t="shared" si="14"/>
        <v>32.700000000000003</v>
      </c>
      <c r="J156" s="31">
        <f t="shared" si="16"/>
        <v>27.3</v>
      </c>
      <c r="K156" s="32">
        <f t="shared" si="17"/>
        <v>30</v>
      </c>
      <c r="L156" s="32"/>
      <c r="M156" s="33">
        <f t="shared" si="15"/>
        <v>2.6999999999999997</v>
      </c>
      <c r="N156" s="33" t="e">
        <v>#N/A</v>
      </c>
      <c r="O156" s="25"/>
      <c r="P156" s="32" t="s">
        <v>211</v>
      </c>
    </row>
    <row r="157" spans="1:20" ht="16.5" customHeight="1">
      <c r="A157" s="35" t="s">
        <v>130</v>
      </c>
      <c r="B157" s="36">
        <v>21040885</v>
      </c>
      <c r="C157" s="37" t="s">
        <v>290</v>
      </c>
      <c r="D157" s="36" t="s">
        <v>76</v>
      </c>
      <c r="E157" s="38">
        <v>25</v>
      </c>
      <c r="F157" s="30" t="s">
        <v>73</v>
      </c>
      <c r="G157" s="30">
        <f t="shared" si="12"/>
        <v>25.75</v>
      </c>
      <c r="H157" s="31">
        <f t="shared" si="13"/>
        <v>24.25</v>
      </c>
      <c r="I157" s="31">
        <f t="shared" si="14"/>
        <v>27.25</v>
      </c>
      <c r="J157" s="31">
        <f t="shared" si="16"/>
        <v>22.75</v>
      </c>
      <c r="K157" s="32">
        <f t="shared" si="17"/>
        <v>25</v>
      </c>
      <c r="L157" s="32"/>
      <c r="M157" s="33">
        <f t="shared" si="15"/>
        <v>2.25</v>
      </c>
      <c r="N157" s="33" t="e">
        <v>#N/A</v>
      </c>
      <c r="O157" s="35"/>
      <c r="P157" s="32"/>
    </row>
    <row r="158" spans="1:20" ht="16.5" customHeight="1">
      <c r="A158" s="25" t="s">
        <v>217</v>
      </c>
      <c r="B158" s="26">
        <v>20289807</v>
      </c>
      <c r="C158" s="27" t="s">
        <v>218</v>
      </c>
      <c r="D158" s="26" t="s">
        <v>289</v>
      </c>
      <c r="E158" s="28">
        <v>100</v>
      </c>
      <c r="F158" s="29" t="s">
        <v>82</v>
      </c>
      <c r="G158" s="30">
        <f t="shared" si="12"/>
        <v>131.94999999999999</v>
      </c>
      <c r="H158" s="31">
        <f t="shared" si="13"/>
        <v>128.05000000000001</v>
      </c>
      <c r="I158" s="31">
        <f t="shared" si="14"/>
        <v>135.85</v>
      </c>
      <c r="J158" s="31">
        <f t="shared" si="16"/>
        <v>124.15</v>
      </c>
      <c r="K158" s="32">
        <f t="shared" si="17"/>
        <v>130</v>
      </c>
      <c r="L158" s="40">
        <v>1.3</v>
      </c>
      <c r="M158" s="33">
        <f t="shared" si="15"/>
        <v>5.85</v>
      </c>
      <c r="N158" s="33" t="e">
        <v>#N/A</v>
      </c>
      <c r="O158" s="25"/>
      <c r="P158" s="32"/>
    </row>
    <row r="159" spans="1:20" ht="16.5" customHeight="1">
      <c r="A159" s="35" t="s">
        <v>291</v>
      </c>
      <c r="B159" s="36">
        <v>21029671</v>
      </c>
      <c r="C159" s="37" t="s">
        <v>292</v>
      </c>
      <c r="D159" s="36" t="s">
        <v>293</v>
      </c>
      <c r="E159" s="38">
        <v>75</v>
      </c>
      <c r="F159" s="30" t="s">
        <v>82</v>
      </c>
      <c r="G159" s="30">
        <f t="shared" si="12"/>
        <v>0</v>
      </c>
      <c r="H159" s="31">
        <f t="shared" si="13"/>
        <v>0</v>
      </c>
      <c r="I159" s="31">
        <f t="shared" si="14"/>
        <v>0</v>
      </c>
      <c r="J159" s="31">
        <f t="shared" si="16"/>
        <v>0</v>
      </c>
      <c r="K159" s="32">
        <f t="shared" si="17"/>
        <v>0</v>
      </c>
      <c r="L159" s="40"/>
      <c r="M159" s="33">
        <f t="shared" si="15"/>
        <v>0</v>
      </c>
      <c r="N159" s="33" t="e">
        <v>#N/A</v>
      </c>
      <c r="O159" s="35"/>
      <c r="P159" s="32"/>
    </row>
    <row r="160" spans="1:20" ht="16.5" customHeight="1">
      <c r="A160" s="25" t="s">
        <v>74</v>
      </c>
      <c r="B160" s="26">
        <v>20288113</v>
      </c>
      <c r="C160" s="27" t="s">
        <v>294</v>
      </c>
      <c r="D160" s="26" t="s">
        <v>176</v>
      </c>
      <c r="E160" s="28">
        <v>150</v>
      </c>
      <c r="F160" s="29" t="s">
        <v>82</v>
      </c>
      <c r="G160" s="30">
        <f t="shared" si="12"/>
        <v>220.5</v>
      </c>
      <c r="H160" s="31">
        <f t="shared" si="13"/>
        <v>214.5</v>
      </c>
      <c r="I160" s="31">
        <f t="shared" si="14"/>
        <v>226.5</v>
      </c>
      <c r="J160" s="31">
        <f t="shared" si="16"/>
        <v>208.5</v>
      </c>
      <c r="K160" s="32">
        <f t="shared" si="17"/>
        <v>217.5</v>
      </c>
      <c r="L160" s="40">
        <v>1.45</v>
      </c>
      <c r="M160" s="33">
        <f t="shared" si="15"/>
        <v>9</v>
      </c>
      <c r="N160" s="33">
        <v>8.73</v>
      </c>
      <c r="O160" s="25"/>
      <c r="P160" s="32"/>
    </row>
    <row r="161" spans="1:16" ht="16.5" customHeight="1">
      <c r="A161" s="35" t="s">
        <v>155</v>
      </c>
      <c r="B161" s="36">
        <v>21050922</v>
      </c>
      <c r="C161" s="37" t="s">
        <v>295</v>
      </c>
      <c r="D161" s="36" t="s">
        <v>76</v>
      </c>
      <c r="E161" s="38">
        <v>30</v>
      </c>
      <c r="F161" s="30" t="s">
        <v>73</v>
      </c>
      <c r="G161" s="30">
        <f t="shared" si="12"/>
        <v>30.9</v>
      </c>
      <c r="H161" s="31">
        <f t="shared" si="13"/>
        <v>29.1</v>
      </c>
      <c r="I161" s="31">
        <f t="shared" si="14"/>
        <v>32.700000000000003</v>
      </c>
      <c r="J161" s="31">
        <f t="shared" si="16"/>
        <v>27.3</v>
      </c>
      <c r="K161" s="32">
        <f t="shared" si="17"/>
        <v>30</v>
      </c>
      <c r="L161" s="32"/>
      <c r="M161" s="33">
        <f t="shared" si="15"/>
        <v>2.6999999999999997</v>
      </c>
      <c r="N161" s="33">
        <v>4</v>
      </c>
      <c r="O161" s="35"/>
      <c r="P161" s="32"/>
    </row>
    <row r="162" spans="1:16" ht="16.5" customHeight="1">
      <c r="A162" s="25" t="s">
        <v>155</v>
      </c>
      <c r="B162" s="26">
        <v>20253984</v>
      </c>
      <c r="C162" s="27" t="s">
        <v>296</v>
      </c>
      <c r="D162" s="26" t="s">
        <v>76</v>
      </c>
      <c r="E162" s="28">
        <v>100</v>
      </c>
      <c r="F162" s="29" t="s">
        <v>73</v>
      </c>
      <c r="G162" s="30">
        <f t="shared" si="12"/>
        <v>101.5</v>
      </c>
      <c r="H162" s="31">
        <f t="shared" si="13"/>
        <v>98.5</v>
      </c>
      <c r="I162" s="31">
        <f t="shared" si="14"/>
        <v>104.5</v>
      </c>
      <c r="J162" s="31">
        <f t="shared" si="16"/>
        <v>95.5</v>
      </c>
      <c r="K162" s="32">
        <f t="shared" si="17"/>
        <v>100</v>
      </c>
      <c r="L162" s="32"/>
      <c r="M162" s="33">
        <f t="shared" si="15"/>
        <v>4.5</v>
      </c>
      <c r="N162" s="33" t="e">
        <v>#N/A</v>
      </c>
      <c r="O162" s="25"/>
      <c r="P162" s="32"/>
    </row>
    <row r="163" spans="1:16" ht="16.5" customHeight="1">
      <c r="A163" s="35" t="s">
        <v>70</v>
      </c>
      <c r="B163" s="36">
        <v>21009946</v>
      </c>
      <c r="C163" s="37" t="s">
        <v>253</v>
      </c>
      <c r="D163" s="36" t="s">
        <v>76</v>
      </c>
      <c r="E163" s="38">
        <v>45</v>
      </c>
      <c r="F163" s="30" t="s">
        <v>73</v>
      </c>
      <c r="G163" s="30">
        <f t="shared" si="12"/>
        <v>46.35</v>
      </c>
      <c r="H163" s="31">
        <f t="shared" si="13"/>
        <v>43.65</v>
      </c>
      <c r="I163" s="31">
        <f t="shared" si="14"/>
        <v>49.05</v>
      </c>
      <c r="J163" s="31">
        <f t="shared" si="16"/>
        <v>40.950000000000003</v>
      </c>
      <c r="K163" s="32">
        <f t="shared" si="17"/>
        <v>45</v>
      </c>
      <c r="L163" s="32"/>
      <c r="M163" s="33">
        <f t="shared" si="15"/>
        <v>4.05</v>
      </c>
      <c r="N163" s="33">
        <v>3.8</v>
      </c>
      <c r="O163" s="35"/>
      <c r="P163" s="32"/>
    </row>
    <row r="164" spans="1:16" ht="16.5" customHeight="1">
      <c r="A164" s="25" t="s">
        <v>70</v>
      </c>
      <c r="B164" s="26">
        <v>20281720</v>
      </c>
      <c r="C164" s="27" t="s">
        <v>254</v>
      </c>
      <c r="D164" s="26" t="s">
        <v>76</v>
      </c>
      <c r="E164" s="28">
        <v>120</v>
      </c>
      <c r="F164" s="29" t="s">
        <v>73</v>
      </c>
      <c r="G164" s="30">
        <f t="shared" si="12"/>
        <v>121.8</v>
      </c>
      <c r="H164" s="31">
        <f t="shared" si="13"/>
        <v>118.2</v>
      </c>
      <c r="I164" s="31">
        <f t="shared" si="14"/>
        <v>125.4</v>
      </c>
      <c r="J164" s="31">
        <f t="shared" si="16"/>
        <v>114.6</v>
      </c>
      <c r="K164" s="32">
        <f t="shared" si="17"/>
        <v>120</v>
      </c>
      <c r="L164" s="32"/>
      <c r="M164" s="33">
        <f t="shared" si="15"/>
        <v>5.3999999999999995</v>
      </c>
      <c r="N164" s="33" t="e">
        <v>#N/A</v>
      </c>
      <c r="O164" s="25"/>
      <c r="P164" s="32"/>
    </row>
    <row r="165" spans="1:16" ht="16.5" customHeight="1">
      <c r="A165" s="35" t="s">
        <v>70</v>
      </c>
      <c r="B165" s="36">
        <v>21009948</v>
      </c>
      <c r="C165" s="37" t="s">
        <v>255</v>
      </c>
      <c r="D165" s="36" t="s">
        <v>76</v>
      </c>
      <c r="E165" s="38">
        <v>200</v>
      </c>
      <c r="F165" s="30" t="s">
        <v>73</v>
      </c>
      <c r="G165" s="30">
        <f t="shared" si="12"/>
        <v>203</v>
      </c>
      <c r="H165" s="31">
        <f t="shared" si="13"/>
        <v>197</v>
      </c>
      <c r="I165" s="31">
        <f t="shared" si="14"/>
        <v>209</v>
      </c>
      <c r="J165" s="31">
        <f t="shared" si="16"/>
        <v>191</v>
      </c>
      <c r="K165" s="32">
        <f t="shared" si="17"/>
        <v>200</v>
      </c>
      <c r="L165" s="32"/>
      <c r="M165" s="33">
        <f t="shared" si="15"/>
        <v>9</v>
      </c>
      <c r="N165" s="33" t="e">
        <v>#N/A</v>
      </c>
      <c r="O165" s="35"/>
      <c r="P165" s="32"/>
    </row>
    <row r="166" spans="1:16" ht="16.5" customHeight="1">
      <c r="A166" s="25" t="s">
        <v>130</v>
      </c>
      <c r="B166" s="26">
        <v>21056269</v>
      </c>
      <c r="C166" s="27" t="s">
        <v>297</v>
      </c>
      <c r="D166" s="26" t="s">
        <v>76</v>
      </c>
      <c r="E166" s="28">
        <v>170</v>
      </c>
      <c r="F166" s="29" t="s">
        <v>73</v>
      </c>
      <c r="G166" s="30">
        <f t="shared" si="12"/>
        <v>172.55</v>
      </c>
      <c r="H166" s="31">
        <f t="shared" si="13"/>
        <v>167.45</v>
      </c>
      <c r="I166" s="31">
        <f t="shared" si="14"/>
        <v>177.65</v>
      </c>
      <c r="J166" s="31">
        <f t="shared" si="16"/>
        <v>162.35</v>
      </c>
      <c r="K166" s="32">
        <f t="shared" si="17"/>
        <v>170</v>
      </c>
      <c r="L166" s="32"/>
      <c r="M166" s="33">
        <f t="shared" si="15"/>
        <v>7.6499999999999995</v>
      </c>
      <c r="N166" s="33" t="e">
        <v>#N/A</v>
      </c>
      <c r="O166" s="25"/>
      <c r="P166" s="32"/>
    </row>
    <row r="167" spans="1:16" ht="16.5" customHeight="1">
      <c r="A167" s="35" t="s">
        <v>298</v>
      </c>
      <c r="B167" s="36">
        <v>21045882</v>
      </c>
      <c r="C167" s="37" t="s">
        <v>299</v>
      </c>
      <c r="D167" s="36" t="s">
        <v>87</v>
      </c>
      <c r="E167" s="38">
        <v>100</v>
      </c>
      <c r="F167" s="30" t="s">
        <v>73</v>
      </c>
      <c r="G167" s="30">
        <f t="shared" si="12"/>
        <v>103</v>
      </c>
      <c r="H167" s="31">
        <f t="shared" si="13"/>
        <v>101</v>
      </c>
      <c r="I167" s="31">
        <f t="shared" si="14"/>
        <v>105</v>
      </c>
      <c r="J167" s="31">
        <f t="shared" si="16"/>
        <v>100</v>
      </c>
      <c r="K167" s="32">
        <f t="shared" si="17"/>
        <v>100</v>
      </c>
      <c r="L167" s="32"/>
      <c r="M167" s="33">
        <f t="shared" si="15"/>
        <v>0</v>
      </c>
      <c r="N167" s="33" t="e">
        <v>#N/A</v>
      </c>
      <c r="O167" s="35"/>
      <c r="P167" s="41" t="s">
        <v>88</v>
      </c>
    </row>
    <row r="168" spans="1:16" ht="16.5" customHeight="1">
      <c r="A168" s="25" t="s">
        <v>130</v>
      </c>
      <c r="B168" s="26">
        <v>21053205</v>
      </c>
      <c r="C168" s="27" t="s">
        <v>300</v>
      </c>
      <c r="D168" s="26" t="s">
        <v>301</v>
      </c>
      <c r="E168" s="28">
        <v>60</v>
      </c>
      <c r="F168" s="29" t="s">
        <v>73</v>
      </c>
      <c r="G168" s="30">
        <f t="shared" si="12"/>
        <v>61.5</v>
      </c>
      <c r="H168" s="31">
        <f t="shared" si="13"/>
        <v>58.5</v>
      </c>
      <c r="I168" s="31">
        <f t="shared" si="14"/>
        <v>64.5</v>
      </c>
      <c r="J168" s="31">
        <f t="shared" si="16"/>
        <v>55.5</v>
      </c>
      <c r="K168" s="32">
        <f t="shared" si="17"/>
        <v>60</v>
      </c>
      <c r="L168" s="32"/>
      <c r="M168" s="33">
        <f t="shared" si="15"/>
        <v>4.5</v>
      </c>
      <c r="N168" s="33" t="e">
        <v>#N/A</v>
      </c>
      <c r="O168" s="25"/>
      <c r="P168" s="32"/>
    </row>
    <row r="169" spans="1:16" ht="16.5" customHeight="1">
      <c r="A169" s="35" t="s">
        <v>302</v>
      </c>
      <c r="B169" s="36">
        <v>21032577</v>
      </c>
      <c r="C169" s="37" t="s">
        <v>303</v>
      </c>
      <c r="D169" s="36" t="s">
        <v>87</v>
      </c>
      <c r="E169" s="38">
        <v>40</v>
      </c>
      <c r="F169" s="30" t="s">
        <v>73</v>
      </c>
      <c r="G169" s="30">
        <f t="shared" si="12"/>
        <v>41.2</v>
      </c>
      <c r="H169" s="31">
        <f t="shared" si="13"/>
        <v>40.4</v>
      </c>
      <c r="I169" s="31">
        <f t="shared" si="14"/>
        <v>42</v>
      </c>
      <c r="J169" s="31">
        <f t="shared" si="16"/>
        <v>40</v>
      </c>
      <c r="K169" s="32">
        <f t="shared" si="17"/>
        <v>40</v>
      </c>
      <c r="L169" s="32"/>
      <c r="M169" s="33">
        <f t="shared" si="15"/>
        <v>0</v>
      </c>
      <c r="N169" s="33" t="e">
        <v>#N/A</v>
      </c>
      <c r="O169" s="35"/>
      <c r="P169" s="41" t="s">
        <v>88</v>
      </c>
    </row>
    <row r="170" spans="1:16" ht="16.5" customHeight="1">
      <c r="A170" s="25" t="s">
        <v>203</v>
      </c>
      <c r="B170" s="26">
        <v>21032579</v>
      </c>
      <c r="C170" s="27" t="s">
        <v>304</v>
      </c>
      <c r="D170" s="26" t="s">
        <v>104</v>
      </c>
      <c r="E170" s="28">
        <v>40</v>
      </c>
      <c r="F170" s="29" t="s">
        <v>73</v>
      </c>
      <c r="G170" s="30">
        <f t="shared" si="12"/>
        <v>41.2</v>
      </c>
      <c r="H170" s="31">
        <f t="shared" si="13"/>
        <v>38.799999999999997</v>
      </c>
      <c r="I170" s="31">
        <f t="shared" si="14"/>
        <v>43.6</v>
      </c>
      <c r="J170" s="31">
        <f t="shared" si="16"/>
        <v>36.4</v>
      </c>
      <c r="K170" s="32">
        <f t="shared" si="17"/>
        <v>40</v>
      </c>
      <c r="L170" s="32"/>
      <c r="M170" s="33">
        <f t="shared" si="15"/>
        <v>3.5999999999999996</v>
      </c>
      <c r="N170" s="33" t="e">
        <v>#N/A</v>
      </c>
      <c r="O170" s="25"/>
      <c r="P170" s="32"/>
    </row>
    <row r="171" spans="1:16" ht="16.5" customHeight="1">
      <c r="A171" s="35" t="s">
        <v>203</v>
      </c>
      <c r="B171" s="36">
        <v>21032580</v>
      </c>
      <c r="C171" s="37" t="s">
        <v>305</v>
      </c>
      <c r="D171" s="36" t="s">
        <v>104</v>
      </c>
      <c r="E171" s="38">
        <v>160</v>
      </c>
      <c r="F171" s="30" t="s">
        <v>73</v>
      </c>
      <c r="G171" s="30">
        <f t="shared" si="12"/>
        <v>162.4</v>
      </c>
      <c r="H171" s="31">
        <f t="shared" si="13"/>
        <v>157.6</v>
      </c>
      <c r="I171" s="31">
        <f t="shared" si="14"/>
        <v>167.2</v>
      </c>
      <c r="J171" s="31">
        <f t="shared" si="16"/>
        <v>152.80000000000001</v>
      </c>
      <c r="K171" s="32">
        <f t="shared" si="17"/>
        <v>160</v>
      </c>
      <c r="L171" s="32"/>
      <c r="M171" s="33">
        <f t="shared" si="15"/>
        <v>7.1999999999999993</v>
      </c>
      <c r="N171" s="33" t="e">
        <v>#N/A</v>
      </c>
      <c r="O171" s="35"/>
      <c r="P171" s="32"/>
    </row>
    <row r="172" spans="1:16" ht="16.5" customHeight="1">
      <c r="A172" s="25" t="s">
        <v>145</v>
      </c>
      <c r="B172" s="26">
        <v>20288110</v>
      </c>
      <c r="C172" s="27" t="s">
        <v>175</v>
      </c>
      <c r="D172" s="26" t="s">
        <v>176</v>
      </c>
      <c r="E172" s="28">
        <v>150</v>
      </c>
      <c r="F172" s="29" t="s">
        <v>82</v>
      </c>
      <c r="G172" s="30">
        <f t="shared" si="12"/>
        <v>229.5</v>
      </c>
      <c r="H172" s="31">
        <f t="shared" si="13"/>
        <v>223.5</v>
      </c>
      <c r="I172" s="31">
        <f t="shared" si="14"/>
        <v>235.5</v>
      </c>
      <c r="J172" s="31">
        <f t="shared" si="16"/>
        <v>217.5</v>
      </c>
      <c r="K172" s="32">
        <f t="shared" si="17"/>
        <v>226.5</v>
      </c>
      <c r="L172" s="40">
        <v>1.51</v>
      </c>
      <c r="M172" s="33">
        <f t="shared" si="15"/>
        <v>9</v>
      </c>
      <c r="N172" s="33">
        <v>8.77</v>
      </c>
      <c r="O172" s="25"/>
      <c r="P172" s="32"/>
    </row>
    <row r="173" spans="1:16" ht="16.5" customHeight="1">
      <c r="A173" s="35" t="s">
        <v>214</v>
      </c>
      <c r="B173" s="36">
        <v>21020224</v>
      </c>
      <c r="C173" s="37" t="s">
        <v>306</v>
      </c>
      <c r="D173" s="36" t="s">
        <v>307</v>
      </c>
      <c r="E173" s="38">
        <v>60</v>
      </c>
      <c r="F173" s="30" t="s">
        <v>73</v>
      </c>
      <c r="G173" s="30">
        <f t="shared" si="12"/>
        <v>61.5</v>
      </c>
      <c r="H173" s="31">
        <f t="shared" si="13"/>
        <v>58.5</v>
      </c>
      <c r="I173" s="31">
        <f t="shared" si="14"/>
        <v>64.5</v>
      </c>
      <c r="J173" s="31">
        <f t="shared" si="16"/>
        <v>55.5</v>
      </c>
      <c r="K173" s="32">
        <f t="shared" si="17"/>
        <v>60</v>
      </c>
      <c r="L173" s="32"/>
      <c r="M173" s="33">
        <f t="shared" si="15"/>
        <v>4.5</v>
      </c>
      <c r="N173" s="33" t="e">
        <v>#N/A</v>
      </c>
      <c r="O173" s="35"/>
      <c r="P173" s="32"/>
    </row>
    <row r="174" spans="1:16" ht="16.5" customHeight="1">
      <c r="A174" s="25" t="s">
        <v>308</v>
      </c>
      <c r="B174" s="26">
        <v>21020230</v>
      </c>
      <c r="C174" s="27" t="s">
        <v>309</v>
      </c>
      <c r="D174" s="26" t="s">
        <v>307</v>
      </c>
      <c r="E174" s="28">
        <v>60</v>
      </c>
      <c r="F174" s="29" t="s">
        <v>73</v>
      </c>
      <c r="G174" s="30">
        <f t="shared" si="12"/>
        <v>61.5</v>
      </c>
      <c r="H174" s="31">
        <f t="shared" si="13"/>
        <v>58.5</v>
      </c>
      <c r="I174" s="31">
        <f t="shared" si="14"/>
        <v>64.5</v>
      </c>
      <c r="J174" s="31">
        <f t="shared" si="16"/>
        <v>55.5</v>
      </c>
      <c r="K174" s="32">
        <f t="shared" si="17"/>
        <v>60</v>
      </c>
      <c r="L174" s="32"/>
      <c r="M174" s="33">
        <f t="shared" si="15"/>
        <v>4.5</v>
      </c>
      <c r="N174" s="33" t="e">
        <v>#N/A</v>
      </c>
      <c r="O174" s="25"/>
      <c r="P174" s="32"/>
    </row>
    <row r="175" spans="1:16" ht="16.5" customHeight="1">
      <c r="A175" s="35" t="s">
        <v>310</v>
      </c>
      <c r="B175" s="36">
        <v>21020228</v>
      </c>
      <c r="C175" s="37" t="s">
        <v>311</v>
      </c>
      <c r="D175" s="36" t="s">
        <v>307</v>
      </c>
      <c r="E175" s="38">
        <v>60</v>
      </c>
      <c r="F175" s="30" t="s">
        <v>73</v>
      </c>
      <c r="G175" s="30">
        <f t="shared" si="12"/>
        <v>61.5</v>
      </c>
      <c r="H175" s="31">
        <f t="shared" si="13"/>
        <v>58.5</v>
      </c>
      <c r="I175" s="31">
        <f t="shared" si="14"/>
        <v>64.5</v>
      </c>
      <c r="J175" s="31">
        <f t="shared" si="16"/>
        <v>55.5</v>
      </c>
      <c r="K175" s="32">
        <f t="shared" si="17"/>
        <v>60</v>
      </c>
      <c r="L175" s="32"/>
      <c r="M175" s="33">
        <f t="shared" si="15"/>
        <v>4.5</v>
      </c>
      <c r="N175" s="33" t="e">
        <v>#N/A</v>
      </c>
      <c r="O175" s="35"/>
      <c r="P175" s="32"/>
    </row>
    <row r="176" spans="1:16" ht="16.5" customHeight="1">
      <c r="A176" s="25" t="s">
        <v>203</v>
      </c>
      <c r="B176" s="26">
        <v>21020222</v>
      </c>
      <c r="C176" s="27" t="s">
        <v>312</v>
      </c>
      <c r="D176" s="26" t="s">
        <v>307</v>
      </c>
      <c r="E176" s="28">
        <v>60</v>
      </c>
      <c r="F176" s="29" t="s">
        <v>73</v>
      </c>
      <c r="G176" s="30">
        <f t="shared" si="12"/>
        <v>61.5</v>
      </c>
      <c r="H176" s="31">
        <f t="shared" si="13"/>
        <v>58.5</v>
      </c>
      <c r="I176" s="31">
        <f t="shared" si="14"/>
        <v>64.5</v>
      </c>
      <c r="J176" s="31">
        <f t="shared" si="16"/>
        <v>55.5</v>
      </c>
      <c r="K176" s="32">
        <f t="shared" si="17"/>
        <v>60</v>
      </c>
      <c r="L176" s="32"/>
      <c r="M176" s="33">
        <f t="shared" si="15"/>
        <v>4.5</v>
      </c>
      <c r="N176" s="33" t="e">
        <v>#N/A</v>
      </c>
      <c r="O176" s="25"/>
      <c r="P176" s="32"/>
    </row>
    <row r="177" spans="1:16" ht="16.5" customHeight="1">
      <c r="A177" s="35" t="s">
        <v>313</v>
      </c>
      <c r="B177" s="36">
        <v>21020226</v>
      </c>
      <c r="C177" s="37" t="s">
        <v>314</v>
      </c>
      <c r="D177" s="36" t="s">
        <v>307</v>
      </c>
      <c r="E177" s="38">
        <v>60</v>
      </c>
      <c r="F177" s="30" t="s">
        <v>73</v>
      </c>
      <c r="G177" s="30">
        <f t="shared" si="12"/>
        <v>61.5</v>
      </c>
      <c r="H177" s="31">
        <f t="shared" si="13"/>
        <v>58.5</v>
      </c>
      <c r="I177" s="31">
        <f t="shared" si="14"/>
        <v>64.5</v>
      </c>
      <c r="J177" s="31">
        <f t="shared" si="16"/>
        <v>55.5</v>
      </c>
      <c r="K177" s="32">
        <f t="shared" si="17"/>
        <v>60</v>
      </c>
      <c r="L177" s="32"/>
      <c r="M177" s="33">
        <f t="shared" si="15"/>
        <v>4.5</v>
      </c>
      <c r="N177" s="33" t="e">
        <v>#N/A</v>
      </c>
      <c r="O177" s="35"/>
      <c r="P177" s="32"/>
    </row>
    <row r="178" spans="1:16" ht="16.5" customHeight="1">
      <c r="A178" s="25" t="s">
        <v>310</v>
      </c>
      <c r="B178" s="26">
        <v>21020229</v>
      </c>
      <c r="C178" s="27" t="s">
        <v>315</v>
      </c>
      <c r="D178" s="26" t="s">
        <v>307</v>
      </c>
      <c r="E178" s="28">
        <v>125</v>
      </c>
      <c r="F178" s="29" t="s">
        <v>73</v>
      </c>
      <c r="G178" s="30">
        <f t="shared" si="12"/>
        <v>126.875</v>
      </c>
      <c r="H178" s="31">
        <f t="shared" si="13"/>
        <v>123.125</v>
      </c>
      <c r="I178" s="31">
        <f t="shared" si="14"/>
        <v>130.625</v>
      </c>
      <c r="J178" s="31">
        <f t="shared" si="16"/>
        <v>119.375</v>
      </c>
      <c r="K178" s="32">
        <f t="shared" si="17"/>
        <v>125</v>
      </c>
      <c r="L178" s="32"/>
      <c r="M178" s="33">
        <f t="shared" si="15"/>
        <v>5.625</v>
      </c>
      <c r="N178" s="33" t="e">
        <v>#N/A</v>
      </c>
      <c r="O178" s="25"/>
      <c r="P178" s="32"/>
    </row>
    <row r="179" spans="1:16" ht="16.5" customHeight="1">
      <c r="A179" s="35" t="s">
        <v>308</v>
      </c>
      <c r="B179" s="36">
        <v>21020231</v>
      </c>
      <c r="C179" s="37" t="s">
        <v>316</v>
      </c>
      <c r="D179" s="36" t="s">
        <v>307</v>
      </c>
      <c r="E179" s="38">
        <v>125</v>
      </c>
      <c r="F179" s="30" t="s">
        <v>73</v>
      </c>
      <c r="G179" s="30">
        <f t="shared" si="12"/>
        <v>126.875</v>
      </c>
      <c r="H179" s="31">
        <f t="shared" si="13"/>
        <v>123.125</v>
      </c>
      <c r="I179" s="31">
        <f t="shared" si="14"/>
        <v>130.625</v>
      </c>
      <c r="J179" s="31">
        <f t="shared" si="16"/>
        <v>119.375</v>
      </c>
      <c r="K179" s="32">
        <f t="shared" si="17"/>
        <v>125</v>
      </c>
      <c r="L179" s="32"/>
      <c r="M179" s="33">
        <f t="shared" si="15"/>
        <v>5.625</v>
      </c>
      <c r="N179" s="33" t="e">
        <v>#N/A</v>
      </c>
      <c r="O179" s="35"/>
      <c r="P179" s="32"/>
    </row>
    <row r="180" spans="1:16" ht="16.5" customHeight="1">
      <c r="A180" s="25" t="s">
        <v>203</v>
      </c>
      <c r="B180" s="26">
        <v>21020223</v>
      </c>
      <c r="C180" s="27" t="s">
        <v>317</v>
      </c>
      <c r="D180" s="26" t="s">
        <v>307</v>
      </c>
      <c r="E180" s="28">
        <v>125</v>
      </c>
      <c r="F180" s="29" t="s">
        <v>73</v>
      </c>
      <c r="G180" s="30">
        <f t="shared" si="12"/>
        <v>126.875</v>
      </c>
      <c r="H180" s="31">
        <f t="shared" si="13"/>
        <v>123.125</v>
      </c>
      <c r="I180" s="31">
        <f t="shared" si="14"/>
        <v>130.625</v>
      </c>
      <c r="J180" s="31">
        <f t="shared" si="16"/>
        <v>119.375</v>
      </c>
      <c r="K180" s="32">
        <f t="shared" si="17"/>
        <v>125</v>
      </c>
      <c r="L180" s="32"/>
      <c r="M180" s="33">
        <f t="shared" si="15"/>
        <v>5.625</v>
      </c>
      <c r="N180" s="33" t="e">
        <v>#N/A</v>
      </c>
      <c r="O180" s="25"/>
      <c r="P180" s="32"/>
    </row>
    <row r="181" spans="1:16" ht="16.5" customHeight="1">
      <c r="A181" s="35" t="s">
        <v>313</v>
      </c>
      <c r="B181" s="36">
        <v>21020227</v>
      </c>
      <c r="C181" s="37" t="s">
        <v>318</v>
      </c>
      <c r="D181" s="36" t="s">
        <v>307</v>
      </c>
      <c r="E181" s="38">
        <v>125</v>
      </c>
      <c r="F181" s="30" t="s">
        <v>73</v>
      </c>
      <c r="G181" s="30">
        <f t="shared" si="12"/>
        <v>126.875</v>
      </c>
      <c r="H181" s="31">
        <f t="shared" si="13"/>
        <v>123.125</v>
      </c>
      <c r="I181" s="31">
        <f t="shared" si="14"/>
        <v>130.625</v>
      </c>
      <c r="J181" s="31">
        <f t="shared" si="16"/>
        <v>119.375</v>
      </c>
      <c r="K181" s="32">
        <f t="shared" si="17"/>
        <v>125</v>
      </c>
      <c r="L181" s="32"/>
      <c r="M181" s="33">
        <f t="shared" si="15"/>
        <v>5.625</v>
      </c>
      <c r="N181" s="33" t="e">
        <v>#N/A</v>
      </c>
      <c r="O181" s="35"/>
      <c r="P181" s="32"/>
    </row>
    <row r="182" spans="1:16" ht="16.5" customHeight="1">
      <c r="A182" s="25" t="s">
        <v>214</v>
      </c>
      <c r="B182" s="26">
        <v>21020225</v>
      </c>
      <c r="C182" s="27" t="s">
        <v>319</v>
      </c>
      <c r="D182" s="26" t="s">
        <v>307</v>
      </c>
      <c r="E182" s="28">
        <v>125</v>
      </c>
      <c r="F182" s="29" t="s">
        <v>73</v>
      </c>
      <c r="G182" s="30">
        <f t="shared" si="12"/>
        <v>126.875</v>
      </c>
      <c r="H182" s="31">
        <f t="shared" si="13"/>
        <v>123.125</v>
      </c>
      <c r="I182" s="31">
        <f t="shared" si="14"/>
        <v>130.625</v>
      </c>
      <c r="J182" s="31">
        <f t="shared" si="16"/>
        <v>119.375</v>
      </c>
      <c r="K182" s="32">
        <f t="shared" si="17"/>
        <v>125</v>
      </c>
      <c r="L182" s="32"/>
      <c r="M182" s="33">
        <f t="shared" si="15"/>
        <v>5.625</v>
      </c>
      <c r="N182" s="33" t="e">
        <v>#N/A</v>
      </c>
      <c r="O182" s="25"/>
      <c r="P182" s="32"/>
    </row>
    <row r="183" spans="1:16" ht="16.5" customHeight="1">
      <c r="A183" s="35" t="s">
        <v>320</v>
      </c>
      <c r="B183" s="36">
        <v>21021515</v>
      </c>
      <c r="C183" s="37" t="s">
        <v>321</v>
      </c>
      <c r="D183" s="36" t="s">
        <v>307</v>
      </c>
      <c r="E183" s="38">
        <v>50</v>
      </c>
      <c r="F183" s="30" t="s">
        <v>82</v>
      </c>
      <c r="G183" s="30">
        <f t="shared" si="12"/>
        <v>77.5</v>
      </c>
      <c r="H183" s="31">
        <f t="shared" si="13"/>
        <v>74.5</v>
      </c>
      <c r="I183" s="31">
        <f t="shared" si="14"/>
        <v>80.5</v>
      </c>
      <c r="J183" s="31">
        <f t="shared" si="16"/>
        <v>71.5</v>
      </c>
      <c r="K183" s="32">
        <f t="shared" si="17"/>
        <v>76</v>
      </c>
      <c r="L183" s="40">
        <v>1.52</v>
      </c>
      <c r="M183" s="33">
        <f t="shared" si="15"/>
        <v>4.5</v>
      </c>
      <c r="N183" s="33">
        <v>5.4</v>
      </c>
      <c r="O183" s="35"/>
      <c r="P183" s="32"/>
    </row>
    <row r="184" spans="1:16" ht="16.5" customHeight="1">
      <c r="A184" s="25" t="s">
        <v>320</v>
      </c>
      <c r="B184" s="26">
        <v>21021516</v>
      </c>
      <c r="C184" s="27" t="s">
        <v>322</v>
      </c>
      <c r="D184" s="26" t="s">
        <v>307</v>
      </c>
      <c r="E184" s="28">
        <v>100</v>
      </c>
      <c r="F184" s="29" t="s">
        <v>82</v>
      </c>
      <c r="G184" s="30">
        <f t="shared" si="12"/>
        <v>154.28</v>
      </c>
      <c r="H184" s="31">
        <f t="shared" si="13"/>
        <v>149.72</v>
      </c>
      <c r="I184" s="31">
        <f t="shared" si="14"/>
        <v>158.84</v>
      </c>
      <c r="J184" s="31">
        <f t="shared" si="16"/>
        <v>145.16</v>
      </c>
      <c r="K184" s="32">
        <f t="shared" si="17"/>
        <v>152</v>
      </c>
      <c r="L184" s="40">
        <v>1.52</v>
      </c>
      <c r="M184" s="33">
        <f t="shared" si="15"/>
        <v>6.84</v>
      </c>
      <c r="N184" s="33">
        <v>6.8</v>
      </c>
      <c r="O184" s="25"/>
      <c r="P184" s="32"/>
    </row>
    <row r="185" spans="1:16" ht="16.5" customHeight="1">
      <c r="A185" s="35" t="s">
        <v>323</v>
      </c>
      <c r="B185" s="36">
        <v>21021519</v>
      </c>
      <c r="C185" s="37" t="s">
        <v>324</v>
      </c>
      <c r="D185" s="36" t="s">
        <v>307</v>
      </c>
      <c r="E185" s="38">
        <v>50</v>
      </c>
      <c r="F185" s="30" t="s">
        <v>82</v>
      </c>
      <c r="G185" s="30">
        <f t="shared" si="12"/>
        <v>78.5</v>
      </c>
      <c r="H185" s="31">
        <f t="shared" si="13"/>
        <v>75.5</v>
      </c>
      <c r="I185" s="31">
        <f t="shared" si="14"/>
        <v>81.5</v>
      </c>
      <c r="J185" s="31">
        <f t="shared" si="16"/>
        <v>72.5</v>
      </c>
      <c r="K185" s="32">
        <f t="shared" si="17"/>
        <v>77</v>
      </c>
      <c r="L185" s="40">
        <v>1.54</v>
      </c>
      <c r="M185" s="33">
        <f t="shared" si="15"/>
        <v>4.5</v>
      </c>
      <c r="N185" s="33">
        <v>5.5</v>
      </c>
      <c r="O185" s="35"/>
      <c r="P185" s="32"/>
    </row>
    <row r="186" spans="1:16" ht="16.5" customHeight="1">
      <c r="A186" s="25" t="s">
        <v>323</v>
      </c>
      <c r="B186" s="26">
        <v>21021520</v>
      </c>
      <c r="C186" s="27" t="s">
        <v>325</v>
      </c>
      <c r="D186" s="26" t="s">
        <v>307</v>
      </c>
      <c r="E186" s="28">
        <v>100</v>
      </c>
      <c r="F186" s="29" t="s">
        <v>82</v>
      </c>
      <c r="G186" s="30">
        <f t="shared" si="12"/>
        <v>156.31</v>
      </c>
      <c r="H186" s="31">
        <f t="shared" si="13"/>
        <v>151.69</v>
      </c>
      <c r="I186" s="31">
        <f t="shared" si="14"/>
        <v>160.93</v>
      </c>
      <c r="J186" s="31">
        <f t="shared" si="16"/>
        <v>147.07</v>
      </c>
      <c r="K186" s="32">
        <f t="shared" si="17"/>
        <v>154</v>
      </c>
      <c r="L186" s="40">
        <v>1.54</v>
      </c>
      <c r="M186" s="33">
        <f t="shared" si="15"/>
        <v>6.93</v>
      </c>
      <c r="N186" s="33">
        <v>7</v>
      </c>
      <c r="O186" s="25"/>
      <c r="P186" s="32"/>
    </row>
    <row r="187" spans="1:16" ht="16.5" customHeight="1">
      <c r="A187" s="35" t="s">
        <v>195</v>
      </c>
      <c r="B187" s="36">
        <v>21005690</v>
      </c>
      <c r="C187" s="37" t="s">
        <v>326</v>
      </c>
      <c r="D187" s="36" t="s">
        <v>76</v>
      </c>
      <c r="E187" s="38">
        <v>210</v>
      </c>
      <c r="F187" s="30" t="s">
        <v>73</v>
      </c>
      <c r="G187" s="30">
        <f t="shared" si="12"/>
        <v>213</v>
      </c>
      <c r="H187" s="31">
        <f t="shared" si="13"/>
        <v>207</v>
      </c>
      <c r="I187" s="31">
        <f t="shared" si="14"/>
        <v>219</v>
      </c>
      <c r="J187" s="31">
        <f t="shared" si="16"/>
        <v>201</v>
      </c>
      <c r="K187" s="32">
        <f t="shared" si="17"/>
        <v>210</v>
      </c>
      <c r="L187" s="32"/>
      <c r="M187" s="33">
        <f t="shared" si="15"/>
        <v>9</v>
      </c>
      <c r="N187" s="33" t="e">
        <v>#N/A</v>
      </c>
      <c r="O187" s="35"/>
      <c r="P187" s="32"/>
    </row>
    <row r="188" spans="1:16" ht="16.5" customHeight="1">
      <c r="A188" s="25" t="s">
        <v>199</v>
      </c>
      <c r="B188" s="26">
        <v>21005694</v>
      </c>
      <c r="C188" s="27" t="s">
        <v>327</v>
      </c>
      <c r="D188" s="26" t="s">
        <v>76</v>
      </c>
      <c r="E188" s="28">
        <v>210</v>
      </c>
      <c r="F188" s="29" t="s">
        <v>73</v>
      </c>
      <c r="G188" s="30">
        <f t="shared" si="12"/>
        <v>213</v>
      </c>
      <c r="H188" s="31">
        <f t="shared" si="13"/>
        <v>207</v>
      </c>
      <c r="I188" s="31">
        <f t="shared" si="14"/>
        <v>219</v>
      </c>
      <c r="J188" s="31">
        <f t="shared" si="16"/>
        <v>201</v>
      </c>
      <c r="K188" s="32">
        <f t="shared" si="17"/>
        <v>210</v>
      </c>
      <c r="L188" s="32"/>
      <c r="M188" s="33">
        <f t="shared" si="15"/>
        <v>9</v>
      </c>
      <c r="N188" s="33" t="e">
        <v>#N/A</v>
      </c>
      <c r="O188" s="25"/>
      <c r="P188" s="32"/>
    </row>
    <row r="189" spans="1:16" ht="16.5" customHeight="1">
      <c r="A189" s="35" t="s">
        <v>328</v>
      </c>
      <c r="B189" s="36">
        <v>21063372</v>
      </c>
      <c r="C189" s="37" t="s">
        <v>329</v>
      </c>
      <c r="D189" s="36" t="s">
        <v>76</v>
      </c>
      <c r="E189" s="38">
        <v>250</v>
      </c>
      <c r="F189" s="30" t="s">
        <v>82</v>
      </c>
      <c r="G189" s="30">
        <f t="shared" si="12"/>
        <v>265.5</v>
      </c>
      <c r="H189" s="31">
        <f t="shared" si="13"/>
        <v>259.5</v>
      </c>
      <c r="I189" s="31">
        <f t="shared" si="14"/>
        <v>271.5</v>
      </c>
      <c r="J189" s="31">
        <f t="shared" si="16"/>
        <v>253.5</v>
      </c>
      <c r="K189" s="32">
        <f t="shared" si="17"/>
        <v>262.5</v>
      </c>
      <c r="L189" s="40">
        <v>1.05</v>
      </c>
      <c r="M189" s="33">
        <f t="shared" si="15"/>
        <v>9</v>
      </c>
      <c r="N189" s="33" t="e">
        <v>#N/A</v>
      </c>
      <c r="O189" s="35"/>
      <c r="P189" s="32"/>
    </row>
    <row r="190" spans="1:16" ht="16.5" customHeight="1">
      <c r="A190" s="25" t="s">
        <v>330</v>
      </c>
      <c r="B190" s="26">
        <v>21021517</v>
      </c>
      <c r="C190" s="27" t="s">
        <v>331</v>
      </c>
      <c r="D190" s="26" t="s">
        <v>307</v>
      </c>
      <c r="E190" s="28">
        <v>50</v>
      </c>
      <c r="F190" s="29" t="s">
        <v>82</v>
      </c>
      <c r="G190" s="30">
        <f t="shared" si="12"/>
        <v>77.5</v>
      </c>
      <c r="H190" s="31">
        <f t="shared" si="13"/>
        <v>74.5</v>
      </c>
      <c r="I190" s="31">
        <f t="shared" si="14"/>
        <v>80.5</v>
      </c>
      <c r="J190" s="31">
        <f t="shared" si="16"/>
        <v>71.5</v>
      </c>
      <c r="K190" s="32">
        <f t="shared" si="17"/>
        <v>76</v>
      </c>
      <c r="L190" s="40">
        <v>1.52</v>
      </c>
      <c r="M190" s="33">
        <f t="shared" si="15"/>
        <v>4.5</v>
      </c>
      <c r="N190" s="33">
        <v>5.5</v>
      </c>
      <c r="O190" s="25"/>
      <c r="P190" s="32"/>
    </row>
    <row r="191" spans="1:16" ht="16.5" customHeight="1">
      <c r="A191" s="35" t="s">
        <v>330</v>
      </c>
      <c r="B191" s="36">
        <v>21021518</v>
      </c>
      <c r="C191" s="37" t="s">
        <v>332</v>
      </c>
      <c r="D191" s="36" t="s">
        <v>307</v>
      </c>
      <c r="E191" s="38">
        <v>100</v>
      </c>
      <c r="F191" s="30" t="s">
        <v>82</v>
      </c>
      <c r="G191" s="30">
        <f t="shared" si="12"/>
        <v>154.28</v>
      </c>
      <c r="H191" s="31">
        <f t="shared" si="13"/>
        <v>149.72</v>
      </c>
      <c r="I191" s="31">
        <f t="shared" si="14"/>
        <v>158.84</v>
      </c>
      <c r="J191" s="31">
        <f t="shared" si="16"/>
        <v>145.16</v>
      </c>
      <c r="K191" s="32">
        <f t="shared" si="17"/>
        <v>152</v>
      </c>
      <c r="L191" s="40">
        <v>1.52</v>
      </c>
      <c r="M191" s="33">
        <f t="shared" si="15"/>
        <v>6.84</v>
      </c>
      <c r="N191" s="33">
        <v>9</v>
      </c>
      <c r="O191" s="35"/>
      <c r="P191" s="32"/>
    </row>
    <row r="192" spans="1:16" ht="16.5" customHeight="1">
      <c r="A192" s="25" t="s">
        <v>333</v>
      </c>
      <c r="B192" s="26">
        <v>21016936</v>
      </c>
      <c r="C192" s="27" t="s">
        <v>334</v>
      </c>
      <c r="D192" s="26" t="s">
        <v>307</v>
      </c>
      <c r="E192" s="28">
        <v>125</v>
      </c>
      <c r="F192" s="29" t="s">
        <v>73</v>
      </c>
      <c r="G192" s="30">
        <f t="shared" si="12"/>
        <v>126.875</v>
      </c>
      <c r="H192" s="31">
        <f t="shared" si="13"/>
        <v>123.125</v>
      </c>
      <c r="I192" s="31">
        <f t="shared" si="14"/>
        <v>130.625</v>
      </c>
      <c r="J192" s="31">
        <f t="shared" si="16"/>
        <v>119.375</v>
      </c>
      <c r="K192" s="32">
        <f t="shared" si="17"/>
        <v>125</v>
      </c>
      <c r="L192" s="32"/>
      <c r="M192" s="33">
        <f t="shared" si="15"/>
        <v>5.625</v>
      </c>
      <c r="N192" s="33" t="e">
        <v>#N/A</v>
      </c>
      <c r="O192" s="25"/>
      <c r="P192" s="32"/>
    </row>
    <row r="193" spans="1:16" ht="16.5" customHeight="1">
      <c r="A193" s="35" t="s">
        <v>209</v>
      </c>
      <c r="B193" s="36">
        <v>21021521</v>
      </c>
      <c r="C193" s="37" t="s">
        <v>335</v>
      </c>
      <c r="D193" s="36" t="s">
        <v>307</v>
      </c>
      <c r="E193" s="38">
        <v>100</v>
      </c>
      <c r="F193" s="30" t="s">
        <v>82</v>
      </c>
      <c r="G193" s="30">
        <f t="shared" si="12"/>
        <v>131.94999999999999</v>
      </c>
      <c r="H193" s="31">
        <f t="shared" si="13"/>
        <v>128.05000000000001</v>
      </c>
      <c r="I193" s="31">
        <f t="shared" si="14"/>
        <v>135.85</v>
      </c>
      <c r="J193" s="31">
        <f t="shared" si="16"/>
        <v>124.15</v>
      </c>
      <c r="K193" s="32">
        <f t="shared" si="17"/>
        <v>130</v>
      </c>
      <c r="L193" s="40">
        <v>1.3</v>
      </c>
      <c r="M193" s="33">
        <f t="shared" si="15"/>
        <v>5.85</v>
      </c>
      <c r="N193" s="33">
        <v>9</v>
      </c>
      <c r="O193" s="35"/>
      <c r="P193" s="32"/>
    </row>
    <row r="194" spans="1:16" ht="16.5" customHeight="1">
      <c r="A194" s="25" t="s">
        <v>217</v>
      </c>
      <c r="B194" s="26">
        <v>21021522</v>
      </c>
      <c r="C194" s="27" t="s">
        <v>336</v>
      </c>
      <c r="D194" s="26" t="s">
        <v>307</v>
      </c>
      <c r="E194" s="28">
        <v>100</v>
      </c>
      <c r="F194" s="29" t="s">
        <v>82</v>
      </c>
      <c r="G194" s="30">
        <f t="shared" si="12"/>
        <v>131.94999999999999</v>
      </c>
      <c r="H194" s="31">
        <f t="shared" si="13"/>
        <v>128.05000000000001</v>
      </c>
      <c r="I194" s="31">
        <f t="shared" si="14"/>
        <v>135.85</v>
      </c>
      <c r="J194" s="31">
        <f t="shared" si="16"/>
        <v>124.15</v>
      </c>
      <c r="K194" s="32">
        <f t="shared" si="17"/>
        <v>130</v>
      </c>
      <c r="L194" s="40">
        <v>1.3</v>
      </c>
      <c r="M194" s="33">
        <f t="shared" si="15"/>
        <v>5.85</v>
      </c>
      <c r="N194" s="33">
        <v>9</v>
      </c>
      <c r="O194" s="25"/>
      <c r="P194" s="32"/>
    </row>
    <row r="195" spans="1:16" ht="16.5" customHeight="1">
      <c r="A195" s="35" t="s">
        <v>337</v>
      </c>
      <c r="B195" s="36">
        <v>21021513</v>
      </c>
      <c r="C195" s="37" t="s">
        <v>338</v>
      </c>
      <c r="D195" s="36" t="s">
        <v>307</v>
      </c>
      <c r="E195" s="38">
        <v>50</v>
      </c>
      <c r="F195" s="30" t="s">
        <v>82</v>
      </c>
      <c r="G195" s="30">
        <f t="shared" ref="G195:G258" si="18">IF(P195="TL tuyệt đối",K195*103%,K195+1/3*M195)</f>
        <v>77.5</v>
      </c>
      <c r="H195" s="31">
        <f t="shared" ref="H195:H258" si="19">IF(P195="TL tuyệt đối",K195*101%,K195-1/3*M195)</f>
        <v>74.5</v>
      </c>
      <c r="I195" s="31">
        <f t="shared" ref="I195:I258" si="20">IF(P195="TL tuyệt đối", K195*105%,K195+M195)</f>
        <v>80.5</v>
      </c>
      <c r="J195" s="31">
        <f t="shared" si="16"/>
        <v>71.5</v>
      </c>
      <c r="K195" s="32">
        <f t="shared" si="17"/>
        <v>76</v>
      </c>
      <c r="L195" s="40">
        <v>1.52</v>
      </c>
      <c r="M195" s="33">
        <f t="shared" ref="M195:M258" si="21">IF(P195="TL tuyệt đối",0, IF(K195&lt;5,0,IF(K195&lt;50,K195*9%,IF(K195&lt;100,4.5,IF(K195&lt;200,4.5%*K195,IF(K195&lt;300,9,IF(K195&lt;500,K195*3%,IF(K195&lt;1000,15,))))))))</f>
        <v>4.5</v>
      </c>
      <c r="N195" s="33">
        <v>5.4</v>
      </c>
      <c r="O195" s="35"/>
      <c r="P195" s="32"/>
    </row>
    <row r="196" spans="1:16" ht="16.5" customHeight="1">
      <c r="A196" s="25" t="s">
        <v>337</v>
      </c>
      <c r="B196" s="26">
        <v>21021514</v>
      </c>
      <c r="C196" s="27" t="s">
        <v>339</v>
      </c>
      <c r="D196" s="26" t="s">
        <v>307</v>
      </c>
      <c r="E196" s="28">
        <v>100</v>
      </c>
      <c r="F196" s="29" t="s">
        <v>82</v>
      </c>
      <c r="G196" s="30">
        <f t="shared" si="18"/>
        <v>154.28</v>
      </c>
      <c r="H196" s="31">
        <f t="shared" si="19"/>
        <v>149.72</v>
      </c>
      <c r="I196" s="31">
        <f t="shared" si="20"/>
        <v>158.84</v>
      </c>
      <c r="J196" s="31">
        <f t="shared" ref="J196:J259" si="22">K196-M196</f>
        <v>145.16</v>
      </c>
      <c r="K196" s="32">
        <f t="shared" ref="K196:K259" si="23">IF(F196="ml",E196*L196,E196)</f>
        <v>152</v>
      </c>
      <c r="L196" s="40">
        <v>1.52</v>
      </c>
      <c r="M196" s="33">
        <f t="shared" si="21"/>
        <v>6.84</v>
      </c>
      <c r="N196" s="33">
        <v>6.8</v>
      </c>
      <c r="O196" s="25"/>
      <c r="P196" s="32"/>
    </row>
    <row r="197" spans="1:16" ht="16.5" customHeight="1">
      <c r="A197" s="35" t="s">
        <v>74</v>
      </c>
      <c r="B197" s="36">
        <v>21053714</v>
      </c>
      <c r="C197" s="37" t="s">
        <v>340</v>
      </c>
      <c r="D197" s="36" t="s">
        <v>76</v>
      </c>
      <c r="E197" s="38">
        <v>100</v>
      </c>
      <c r="F197" s="30" t="s">
        <v>73</v>
      </c>
      <c r="G197" s="30">
        <f t="shared" si="18"/>
        <v>101.5</v>
      </c>
      <c r="H197" s="31">
        <f t="shared" si="19"/>
        <v>98.5</v>
      </c>
      <c r="I197" s="31">
        <f t="shared" si="20"/>
        <v>104.5</v>
      </c>
      <c r="J197" s="31">
        <f t="shared" si="22"/>
        <v>95.5</v>
      </c>
      <c r="K197" s="32">
        <f t="shared" si="23"/>
        <v>100</v>
      </c>
      <c r="L197" s="32"/>
      <c r="M197" s="33">
        <f t="shared" si="21"/>
        <v>4.5</v>
      </c>
      <c r="N197" s="33" t="e">
        <v>#N/A</v>
      </c>
      <c r="O197" s="35"/>
      <c r="P197" s="32"/>
    </row>
    <row r="198" spans="1:16" ht="16.5" customHeight="1">
      <c r="A198" s="25" t="s">
        <v>74</v>
      </c>
      <c r="B198" s="26">
        <v>21053731</v>
      </c>
      <c r="C198" s="27" t="s">
        <v>341</v>
      </c>
      <c r="D198" s="26" t="s">
        <v>76</v>
      </c>
      <c r="E198" s="28">
        <v>200</v>
      </c>
      <c r="F198" s="29" t="s">
        <v>73</v>
      </c>
      <c r="G198" s="30">
        <f t="shared" si="18"/>
        <v>203</v>
      </c>
      <c r="H198" s="31">
        <f t="shared" si="19"/>
        <v>197</v>
      </c>
      <c r="I198" s="31">
        <f t="shared" si="20"/>
        <v>209</v>
      </c>
      <c r="J198" s="31">
        <f t="shared" si="22"/>
        <v>191</v>
      </c>
      <c r="K198" s="32">
        <f t="shared" si="23"/>
        <v>200</v>
      </c>
      <c r="L198" s="32"/>
      <c r="M198" s="33">
        <f t="shared" si="21"/>
        <v>9</v>
      </c>
      <c r="N198" s="33" t="e">
        <v>#N/A</v>
      </c>
      <c r="O198" s="25"/>
      <c r="P198" s="32"/>
    </row>
    <row r="199" spans="1:16" ht="16.5" customHeight="1">
      <c r="A199" s="25" t="s">
        <v>342</v>
      </c>
      <c r="B199" s="26">
        <v>21045888</v>
      </c>
      <c r="C199" s="27" t="s">
        <v>343</v>
      </c>
      <c r="D199" s="26" t="s">
        <v>76</v>
      </c>
      <c r="E199" s="28">
        <v>90</v>
      </c>
      <c r="F199" s="29" t="s">
        <v>73</v>
      </c>
      <c r="G199" s="30">
        <f t="shared" si="18"/>
        <v>91.5</v>
      </c>
      <c r="H199" s="31">
        <f t="shared" si="19"/>
        <v>88.5</v>
      </c>
      <c r="I199" s="31">
        <f t="shared" si="20"/>
        <v>94.5</v>
      </c>
      <c r="J199" s="31">
        <f t="shared" si="22"/>
        <v>85.5</v>
      </c>
      <c r="K199" s="32">
        <f t="shared" si="23"/>
        <v>90</v>
      </c>
      <c r="L199" s="32"/>
      <c r="M199" s="33">
        <f t="shared" si="21"/>
        <v>4.5</v>
      </c>
      <c r="N199" s="33" t="e">
        <v>#N/A</v>
      </c>
      <c r="O199" s="25"/>
      <c r="P199" s="32"/>
    </row>
    <row r="200" spans="1:16" ht="16.5" customHeight="1">
      <c r="A200" s="35" t="s">
        <v>342</v>
      </c>
      <c r="B200" s="36">
        <v>21045890</v>
      </c>
      <c r="C200" s="37" t="s">
        <v>344</v>
      </c>
      <c r="D200" s="36" t="s">
        <v>76</v>
      </c>
      <c r="E200" s="38">
        <v>180</v>
      </c>
      <c r="F200" s="30" t="s">
        <v>73</v>
      </c>
      <c r="G200" s="30">
        <f t="shared" si="18"/>
        <v>182.7</v>
      </c>
      <c r="H200" s="31">
        <f t="shared" si="19"/>
        <v>177.3</v>
      </c>
      <c r="I200" s="31">
        <f t="shared" si="20"/>
        <v>188.1</v>
      </c>
      <c r="J200" s="31">
        <f t="shared" si="22"/>
        <v>171.9</v>
      </c>
      <c r="K200" s="32">
        <f t="shared" si="23"/>
        <v>180</v>
      </c>
      <c r="L200" s="32"/>
      <c r="M200" s="33">
        <f t="shared" si="21"/>
        <v>8.1</v>
      </c>
      <c r="N200" s="33" t="e">
        <v>#N/A</v>
      </c>
      <c r="O200" s="35"/>
      <c r="P200" s="32"/>
    </row>
    <row r="201" spans="1:16" ht="16.5" customHeight="1">
      <c r="A201" s="25" t="s">
        <v>345</v>
      </c>
      <c r="B201" s="26">
        <v>21034953</v>
      </c>
      <c r="C201" s="27" t="s">
        <v>346</v>
      </c>
      <c r="D201" s="26" t="s">
        <v>76</v>
      </c>
      <c r="E201" s="28">
        <v>100</v>
      </c>
      <c r="F201" s="29" t="s">
        <v>73</v>
      </c>
      <c r="G201" s="30">
        <f t="shared" si="18"/>
        <v>101.5</v>
      </c>
      <c r="H201" s="31">
        <f t="shared" si="19"/>
        <v>98.5</v>
      </c>
      <c r="I201" s="31">
        <f t="shared" si="20"/>
        <v>104.5</v>
      </c>
      <c r="J201" s="31">
        <f t="shared" si="22"/>
        <v>95.5</v>
      </c>
      <c r="K201" s="32">
        <f t="shared" si="23"/>
        <v>100</v>
      </c>
      <c r="L201" s="32"/>
      <c r="M201" s="33">
        <f t="shared" si="21"/>
        <v>4.5</v>
      </c>
      <c r="N201" s="33" t="e">
        <v>#N/A</v>
      </c>
      <c r="O201" s="25"/>
      <c r="P201" s="32"/>
    </row>
    <row r="202" spans="1:16" ht="16.5" customHeight="1">
      <c r="A202" s="35" t="s">
        <v>193</v>
      </c>
      <c r="B202" s="36">
        <v>21083784</v>
      </c>
      <c r="C202" s="37" t="s">
        <v>347</v>
      </c>
      <c r="D202" s="36" t="s">
        <v>76</v>
      </c>
      <c r="E202" s="38">
        <v>100</v>
      </c>
      <c r="F202" s="30" t="s">
        <v>73</v>
      </c>
      <c r="G202" s="30">
        <f t="shared" si="18"/>
        <v>101.5</v>
      </c>
      <c r="H202" s="31">
        <f t="shared" si="19"/>
        <v>98.5</v>
      </c>
      <c r="I202" s="31">
        <f t="shared" si="20"/>
        <v>104.5</v>
      </c>
      <c r="J202" s="31">
        <f t="shared" si="22"/>
        <v>95.5</v>
      </c>
      <c r="K202" s="32">
        <f t="shared" si="23"/>
        <v>100</v>
      </c>
      <c r="L202" s="32"/>
      <c r="M202" s="33">
        <f t="shared" si="21"/>
        <v>4.5</v>
      </c>
      <c r="N202" s="33" t="e">
        <v>#N/A</v>
      </c>
      <c r="O202" s="35"/>
      <c r="P202" s="32"/>
    </row>
    <row r="203" spans="1:16" ht="16.5" customHeight="1">
      <c r="A203" s="25" t="s">
        <v>280</v>
      </c>
      <c r="B203" s="26">
        <v>21063373</v>
      </c>
      <c r="C203" s="27" t="s">
        <v>348</v>
      </c>
      <c r="D203" s="26" t="s">
        <v>349</v>
      </c>
      <c r="E203" s="28">
        <v>250</v>
      </c>
      <c r="F203" s="29" t="s">
        <v>82</v>
      </c>
      <c r="G203" s="30">
        <f t="shared" si="18"/>
        <v>0</v>
      </c>
      <c r="H203" s="31">
        <f t="shared" si="19"/>
        <v>0</v>
      </c>
      <c r="I203" s="31">
        <f t="shared" si="20"/>
        <v>0</v>
      </c>
      <c r="J203" s="31">
        <f t="shared" si="22"/>
        <v>0</v>
      </c>
      <c r="K203" s="32">
        <f t="shared" si="23"/>
        <v>0</v>
      </c>
      <c r="L203" s="40"/>
      <c r="M203" s="33">
        <f t="shared" si="21"/>
        <v>0</v>
      </c>
      <c r="N203" s="33" t="e">
        <v>#N/A</v>
      </c>
      <c r="O203" s="25"/>
      <c r="P203" s="32"/>
    </row>
    <row r="204" spans="1:16" ht="16.5" customHeight="1">
      <c r="A204" s="35" t="s">
        <v>193</v>
      </c>
      <c r="B204" s="36">
        <v>21026261</v>
      </c>
      <c r="C204" s="37" t="s">
        <v>350</v>
      </c>
      <c r="D204" s="36" t="s">
        <v>76</v>
      </c>
      <c r="E204" s="38">
        <v>30</v>
      </c>
      <c r="F204" s="30" t="s">
        <v>73</v>
      </c>
      <c r="G204" s="30">
        <f t="shared" si="18"/>
        <v>30.9</v>
      </c>
      <c r="H204" s="31">
        <f t="shared" si="19"/>
        <v>29.1</v>
      </c>
      <c r="I204" s="31">
        <f t="shared" si="20"/>
        <v>32.700000000000003</v>
      </c>
      <c r="J204" s="31">
        <f t="shared" si="22"/>
        <v>27.3</v>
      </c>
      <c r="K204" s="32">
        <f t="shared" si="23"/>
        <v>30</v>
      </c>
      <c r="L204" s="32"/>
      <c r="M204" s="33">
        <f t="shared" si="21"/>
        <v>2.6999999999999997</v>
      </c>
      <c r="N204" s="33">
        <v>4</v>
      </c>
      <c r="O204" s="35"/>
      <c r="P204" s="32"/>
    </row>
    <row r="205" spans="1:16" ht="16.5" customHeight="1">
      <c r="A205" s="25" t="s">
        <v>130</v>
      </c>
      <c r="B205" s="26">
        <v>21062457</v>
      </c>
      <c r="C205" s="27" t="s">
        <v>351</v>
      </c>
      <c r="D205" s="26" t="s">
        <v>76</v>
      </c>
      <c r="E205" s="28">
        <v>170</v>
      </c>
      <c r="F205" s="29" t="s">
        <v>73</v>
      </c>
      <c r="G205" s="30">
        <f t="shared" si="18"/>
        <v>172.55</v>
      </c>
      <c r="H205" s="31">
        <f t="shared" si="19"/>
        <v>167.45</v>
      </c>
      <c r="I205" s="31">
        <f t="shared" si="20"/>
        <v>177.65</v>
      </c>
      <c r="J205" s="31">
        <f t="shared" si="22"/>
        <v>162.35</v>
      </c>
      <c r="K205" s="32">
        <f t="shared" si="23"/>
        <v>170</v>
      </c>
      <c r="L205" s="32"/>
      <c r="M205" s="33">
        <f t="shared" si="21"/>
        <v>7.6499999999999995</v>
      </c>
      <c r="N205" s="33">
        <v>9.9</v>
      </c>
      <c r="O205" s="25"/>
      <c r="P205" s="32"/>
    </row>
    <row r="206" spans="1:16" ht="16.5" customHeight="1">
      <c r="A206" s="35" t="s">
        <v>195</v>
      </c>
      <c r="B206" s="36">
        <v>21062461</v>
      </c>
      <c r="C206" s="37" t="s">
        <v>352</v>
      </c>
      <c r="D206" s="36" t="s">
        <v>76</v>
      </c>
      <c r="E206" s="38">
        <v>210</v>
      </c>
      <c r="F206" s="30" t="s">
        <v>73</v>
      </c>
      <c r="G206" s="30">
        <f t="shared" si="18"/>
        <v>213</v>
      </c>
      <c r="H206" s="31">
        <f t="shared" si="19"/>
        <v>207</v>
      </c>
      <c r="I206" s="31">
        <f t="shared" si="20"/>
        <v>219</v>
      </c>
      <c r="J206" s="31">
        <f t="shared" si="22"/>
        <v>201</v>
      </c>
      <c r="K206" s="32">
        <f t="shared" si="23"/>
        <v>210</v>
      </c>
      <c r="L206" s="32"/>
      <c r="M206" s="33">
        <f t="shared" si="21"/>
        <v>9</v>
      </c>
      <c r="N206" s="33" t="e">
        <v>#N/A</v>
      </c>
      <c r="O206" s="35"/>
      <c r="P206" s="32"/>
    </row>
    <row r="207" spans="1:16" ht="16.5" customHeight="1">
      <c r="A207" s="25" t="s">
        <v>199</v>
      </c>
      <c r="B207" s="26">
        <v>21062463</v>
      </c>
      <c r="C207" s="27" t="s">
        <v>353</v>
      </c>
      <c r="D207" s="26" t="s">
        <v>76</v>
      </c>
      <c r="E207" s="28">
        <v>150</v>
      </c>
      <c r="F207" s="29" t="s">
        <v>73</v>
      </c>
      <c r="G207" s="30">
        <f t="shared" si="18"/>
        <v>152.25</v>
      </c>
      <c r="H207" s="31">
        <f t="shared" si="19"/>
        <v>147.75</v>
      </c>
      <c r="I207" s="31">
        <f t="shared" si="20"/>
        <v>156.75</v>
      </c>
      <c r="J207" s="31">
        <f t="shared" si="22"/>
        <v>143.25</v>
      </c>
      <c r="K207" s="32">
        <f t="shared" si="23"/>
        <v>150</v>
      </c>
      <c r="L207" s="32"/>
      <c r="M207" s="33">
        <f t="shared" si="21"/>
        <v>6.75</v>
      </c>
      <c r="N207" s="33" t="e">
        <v>#N/A</v>
      </c>
      <c r="O207" s="25"/>
      <c r="P207" s="32"/>
    </row>
    <row r="208" spans="1:16" ht="16.5" customHeight="1">
      <c r="A208" s="35" t="s">
        <v>199</v>
      </c>
      <c r="B208" s="36">
        <v>21062465</v>
      </c>
      <c r="C208" s="37" t="s">
        <v>354</v>
      </c>
      <c r="D208" s="36" t="s">
        <v>76</v>
      </c>
      <c r="E208" s="38">
        <v>210</v>
      </c>
      <c r="F208" s="30" t="s">
        <v>73</v>
      </c>
      <c r="G208" s="30">
        <f t="shared" si="18"/>
        <v>213</v>
      </c>
      <c r="H208" s="31">
        <f t="shared" si="19"/>
        <v>207</v>
      </c>
      <c r="I208" s="31">
        <f t="shared" si="20"/>
        <v>219</v>
      </c>
      <c r="J208" s="31">
        <f t="shared" si="22"/>
        <v>201</v>
      </c>
      <c r="K208" s="32">
        <f t="shared" si="23"/>
        <v>210</v>
      </c>
      <c r="L208" s="32"/>
      <c r="M208" s="33">
        <f t="shared" si="21"/>
        <v>9</v>
      </c>
      <c r="N208" s="33" t="e">
        <v>#N/A</v>
      </c>
      <c r="O208" s="35"/>
      <c r="P208" s="32"/>
    </row>
    <row r="209" spans="1:16" ht="16.5" customHeight="1">
      <c r="A209" s="25" t="s">
        <v>355</v>
      </c>
      <c r="B209" s="26">
        <v>20277382</v>
      </c>
      <c r="C209" s="27" t="s">
        <v>356</v>
      </c>
      <c r="D209" s="26" t="s">
        <v>357</v>
      </c>
      <c r="E209" s="28">
        <v>12</v>
      </c>
      <c r="F209" s="29" t="s">
        <v>73</v>
      </c>
      <c r="G209" s="30">
        <f t="shared" si="18"/>
        <v>12.36</v>
      </c>
      <c r="H209" s="31">
        <f t="shared" si="19"/>
        <v>11.64</v>
      </c>
      <c r="I209" s="31">
        <f t="shared" si="20"/>
        <v>13.08</v>
      </c>
      <c r="J209" s="31">
        <f t="shared" si="22"/>
        <v>10.92</v>
      </c>
      <c r="K209" s="32">
        <f t="shared" si="23"/>
        <v>12</v>
      </c>
      <c r="L209" s="32"/>
      <c r="M209" s="33">
        <f t="shared" si="21"/>
        <v>1.08</v>
      </c>
      <c r="N209" s="33" t="e">
        <v>#N/A</v>
      </c>
      <c r="O209" s="25"/>
      <c r="P209" s="41"/>
    </row>
    <row r="210" spans="1:16" ht="16.5" customHeight="1">
      <c r="A210" s="35"/>
      <c r="B210" s="36">
        <v>21103297</v>
      </c>
      <c r="C210" s="37" t="s">
        <v>358</v>
      </c>
      <c r="D210" s="36" t="s">
        <v>76</v>
      </c>
      <c r="E210" s="38">
        <v>100</v>
      </c>
      <c r="F210" s="30" t="s">
        <v>73</v>
      </c>
      <c r="G210" s="30">
        <f t="shared" si="18"/>
        <v>101.5</v>
      </c>
      <c r="H210" s="31">
        <f t="shared" si="19"/>
        <v>98.5</v>
      </c>
      <c r="I210" s="31">
        <f t="shared" si="20"/>
        <v>104.5</v>
      </c>
      <c r="J210" s="31">
        <f t="shared" si="22"/>
        <v>95.5</v>
      </c>
      <c r="K210" s="32">
        <f t="shared" si="23"/>
        <v>100</v>
      </c>
      <c r="L210" s="32"/>
      <c r="M210" s="33">
        <f t="shared" si="21"/>
        <v>4.5</v>
      </c>
      <c r="N210" s="33" t="e">
        <v>#N/A</v>
      </c>
      <c r="O210" s="35"/>
      <c r="P210" s="32"/>
    </row>
    <row r="211" spans="1:16" ht="16.5" customHeight="1">
      <c r="A211" s="25"/>
      <c r="B211" s="26">
        <v>21103299</v>
      </c>
      <c r="C211" s="27" t="s">
        <v>359</v>
      </c>
      <c r="D211" s="36" t="s">
        <v>76</v>
      </c>
      <c r="E211" s="28">
        <v>200</v>
      </c>
      <c r="F211" s="29" t="s">
        <v>73</v>
      </c>
      <c r="G211" s="30">
        <f t="shared" si="18"/>
        <v>203</v>
      </c>
      <c r="H211" s="31">
        <f t="shared" si="19"/>
        <v>197</v>
      </c>
      <c r="I211" s="31">
        <f t="shared" si="20"/>
        <v>209</v>
      </c>
      <c r="J211" s="31">
        <f t="shared" si="22"/>
        <v>191</v>
      </c>
      <c r="K211" s="32">
        <f t="shared" si="23"/>
        <v>200</v>
      </c>
      <c r="L211" s="32"/>
      <c r="M211" s="33">
        <f t="shared" si="21"/>
        <v>9</v>
      </c>
      <c r="N211" s="33" t="e">
        <v>#N/A</v>
      </c>
      <c r="O211" s="25"/>
      <c r="P211" s="32"/>
    </row>
    <row r="212" spans="1:16" ht="16.5" customHeight="1">
      <c r="A212" s="35"/>
      <c r="B212" s="36">
        <v>21100948</v>
      </c>
      <c r="C212" s="37" t="s">
        <v>360</v>
      </c>
      <c r="D212" s="36" t="s">
        <v>262</v>
      </c>
      <c r="E212" s="38">
        <v>20</v>
      </c>
      <c r="F212" s="30" t="s">
        <v>73</v>
      </c>
      <c r="G212" s="30">
        <f t="shared" si="18"/>
        <v>20.6</v>
      </c>
      <c r="H212" s="31">
        <f t="shared" si="19"/>
        <v>19.399999999999999</v>
      </c>
      <c r="I212" s="31">
        <f t="shared" si="20"/>
        <v>21.8</v>
      </c>
      <c r="J212" s="31">
        <f t="shared" si="22"/>
        <v>18.2</v>
      </c>
      <c r="K212" s="32">
        <f t="shared" si="23"/>
        <v>20</v>
      </c>
      <c r="L212" s="32"/>
      <c r="M212" s="33">
        <f t="shared" si="21"/>
        <v>1.7999999999999998</v>
      </c>
      <c r="N212" s="33">
        <v>3.1</v>
      </c>
      <c r="O212" s="35"/>
      <c r="P212" s="32"/>
    </row>
    <row r="213" spans="1:16" ht="16.5" customHeight="1">
      <c r="A213" s="25"/>
      <c r="B213" s="26">
        <v>21049967</v>
      </c>
      <c r="C213" s="37" t="s">
        <v>361</v>
      </c>
      <c r="D213" s="36" t="s">
        <v>76</v>
      </c>
      <c r="E213" s="28">
        <v>60</v>
      </c>
      <c r="F213" s="30" t="s">
        <v>73</v>
      </c>
      <c r="G213" s="30">
        <f t="shared" si="18"/>
        <v>61.5</v>
      </c>
      <c r="H213" s="31">
        <f t="shared" si="19"/>
        <v>58.5</v>
      </c>
      <c r="I213" s="31">
        <f t="shared" si="20"/>
        <v>64.5</v>
      </c>
      <c r="J213" s="31">
        <f t="shared" si="22"/>
        <v>55.5</v>
      </c>
      <c r="K213" s="32">
        <f t="shared" si="23"/>
        <v>60</v>
      </c>
      <c r="L213" s="32"/>
      <c r="M213" s="33">
        <f t="shared" si="21"/>
        <v>4.5</v>
      </c>
      <c r="N213" s="33" t="e">
        <v>#N/A</v>
      </c>
      <c r="O213" s="25"/>
      <c r="P213" s="32"/>
    </row>
    <row r="214" spans="1:16" ht="16.5" customHeight="1">
      <c r="A214" s="35"/>
      <c r="B214" s="36">
        <v>21032552</v>
      </c>
      <c r="C214" s="37" t="s">
        <v>362</v>
      </c>
      <c r="D214" s="36" t="s">
        <v>76</v>
      </c>
      <c r="E214" s="38">
        <v>150</v>
      </c>
      <c r="F214" s="30" t="s">
        <v>73</v>
      </c>
      <c r="G214" s="30">
        <f t="shared" si="18"/>
        <v>152.25</v>
      </c>
      <c r="H214" s="31">
        <f t="shared" si="19"/>
        <v>147.75</v>
      </c>
      <c r="I214" s="31">
        <f t="shared" si="20"/>
        <v>156.75</v>
      </c>
      <c r="J214" s="31">
        <f t="shared" si="22"/>
        <v>143.25</v>
      </c>
      <c r="K214" s="32">
        <f t="shared" si="23"/>
        <v>150</v>
      </c>
      <c r="L214" s="32"/>
      <c r="M214" s="33">
        <f t="shared" si="21"/>
        <v>6.75</v>
      </c>
      <c r="N214" s="33">
        <v>9.6</v>
      </c>
      <c r="O214" s="35"/>
      <c r="P214" s="32"/>
    </row>
    <row r="215" spans="1:16" ht="16.5" customHeight="1">
      <c r="A215" s="25"/>
      <c r="B215" s="26">
        <v>21045672</v>
      </c>
      <c r="C215" s="27" t="s">
        <v>363</v>
      </c>
      <c r="D215" s="36" t="s">
        <v>76</v>
      </c>
      <c r="E215" s="28">
        <v>120</v>
      </c>
      <c r="F215" s="29" t="s">
        <v>73</v>
      </c>
      <c r="G215" s="30">
        <f t="shared" si="18"/>
        <v>121.8</v>
      </c>
      <c r="H215" s="31">
        <f t="shared" si="19"/>
        <v>118.2</v>
      </c>
      <c r="I215" s="31">
        <f t="shared" si="20"/>
        <v>125.4</v>
      </c>
      <c r="J215" s="31">
        <f t="shared" si="22"/>
        <v>114.6</v>
      </c>
      <c r="K215" s="32">
        <f t="shared" si="23"/>
        <v>120</v>
      </c>
      <c r="L215" s="32"/>
      <c r="M215" s="33">
        <f t="shared" si="21"/>
        <v>5.3999999999999995</v>
      </c>
      <c r="N215" s="33" t="e">
        <v>#N/A</v>
      </c>
      <c r="O215" s="25"/>
      <c r="P215" s="32"/>
    </row>
    <row r="216" spans="1:16" ht="16.5" customHeight="1">
      <c r="A216" s="35"/>
      <c r="B216" s="36">
        <v>21032554</v>
      </c>
      <c r="C216" s="37" t="s">
        <v>364</v>
      </c>
      <c r="D216" s="36" t="s">
        <v>76</v>
      </c>
      <c r="E216" s="38">
        <v>150</v>
      </c>
      <c r="F216" s="30" t="s">
        <v>73</v>
      </c>
      <c r="G216" s="30">
        <f t="shared" si="18"/>
        <v>152.25</v>
      </c>
      <c r="H216" s="31">
        <f t="shared" si="19"/>
        <v>147.75</v>
      </c>
      <c r="I216" s="31">
        <f t="shared" si="20"/>
        <v>156.75</v>
      </c>
      <c r="J216" s="31">
        <f t="shared" si="22"/>
        <v>143.25</v>
      </c>
      <c r="K216" s="32">
        <f t="shared" si="23"/>
        <v>150</v>
      </c>
      <c r="L216" s="32"/>
      <c r="M216" s="33">
        <f t="shared" si="21"/>
        <v>6.75</v>
      </c>
      <c r="N216" s="33">
        <v>9.6</v>
      </c>
      <c r="O216" s="35"/>
      <c r="P216" s="32"/>
    </row>
    <row r="217" spans="1:16" ht="16.5" customHeight="1">
      <c r="A217" s="25"/>
      <c r="B217" s="26">
        <v>21094432</v>
      </c>
      <c r="C217" s="27" t="s">
        <v>365</v>
      </c>
      <c r="D217" s="36" t="s">
        <v>76</v>
      </c>
      <c r="E217" s="28">
        <v>110</v>
      </c>
      <c r="F217" s="29" t="s">
        <v>73</v>
      </c>
      <c r="G217" s="30">
        <f t="shared" si="18"/>
        <v>111.65</v>
      </c>
      <c r="H217" s="31">
        <f t="shared" si="19"/>
        <v>108.35</v>
      </c>
      <c r="I217" s="31">
        <f t="shared" si="20"/>
        <v>114.95</v>
      </c>
      <c r="J217" s="31">
        <f t="shared" si="22"/>
        <v>105.05</v>
      </c>
      <c r="K217" s="32">
        <f t="shared" si="23"/>
        <v>110</v>
      </c>
      <c r="L217" s="32"/>
      <c r="M217" s="33">
        <f t="shared" si="21"/>
        <v>4.95</v>
      </c>
      <c r="N217" s="33" t="e">
        <v>#N/A</v>
      </c>
      <c r="O217" s="25"/>
      <c r="P217" s="32"/>
    </row>
    <row r="218" spans="1:16" ht="16.5" customHeight="1">
      <c r="A218" s="35"/>
      <c r="B218" s="36">
        <v>21045672</v>
      </c>
      <c r="C218" s="37" t="s">
        <v>366</v>
      </c>
      <c r="D218" s="36" t="s">
        <v>76</v>
      </c>
      <c r="E218" s="38">
        <v>120</v>
      </c>
      <c r="F218" s="30" t="s">
        <v>73</v>
      </c>
      <c r="G218" s="30">
        <f t="shared" si="18"/>
        <v>121.8</v>
      </c>
      <c r="H218" s="31">
        <f t="shared" si="19"/>
        <v>118.2</v>
      </c>
      <c r="I218" s="31">
        <f t="shared" si="20"/>
        <v>125.4</v>
      </c>
      <c r="J218" s="31">
        <f t="shared" si="22"/>
        <v>114.6</v>
      </c>
      <c r="K218" s="32">
        <f t="shared" si="23"/>
        <v>120</v>
      </c>
      <c r="L218" s="32"/>
      <c r="M218" s="33">
        <f t="shared" si="21"/>
        <v>5.3999999999999995</v>
      </c>
      <c r="N218" s="33" t="e">
        <v>#N/A</v>
      </c>
      <c r="O218" s="35"/>
      <c r="P218" s="32"/>
    </row>
    <row r="219" spans="1:16" ht="16.5" customHeight="1">
      <c r="A219" s="25"/>
      <c r="B219" s="26">
        <v>21077751</v>
      </c>
      <c r="C219" s="37" t="s">
        <v>367</v>
      </c>
      <c r="D219" s="26" t="s">
        <v>368</v>
      </c>
      <c r="E219" s="28">
        <v>250</v>
      </c>
      <c r="F219" s="29" t="s">
        <v>73</v>
      </c>
      <c r="G219" s="30">
        <f t="shared" si="18"/>
        <v>253</v>
      </c>
      <c r="H219" s="31">
        <f t="shared" si="19"/>
        <v>247</v>
      </c>
      <c r="I219" s="31">
        <f t="shared" si="20"/>
        <v>259</v>
      </c>
      <c r="J219" s="31">
        <f t="shared" si="22"/>
        <v>241</v>
      </c>
      <c r="K219" s="32">
        <f t="shared" si="23"/>
        <v>250</v>
      </c>
      <c r="L219" s="32"/>
      <c r="M219" s="33">
        <f t="shared" si="21"/>
        <v>9</v>
      </c>
      <c r="N219" s="33">
        <v>9</v>
      </c>
      <c r="O219" s="25"/>
      <c r="P219" s="32"/>
    </row>
    <row r="220" spans="1:16" ht="16.5" customHeight="1">
      <c r="A220" s="35"/>
      <c r="B220" s="36">
        <v>21077393</v>
      </c>
      <c r="C220" s="37" t="s">
        <v>369</v>
      </c>
      <c r="D220" s="36" t="s">
        <v>76</v>
      </c>
      <c r="E220" s="38">
        <v>150</v>
      </c>
      <c r="F220" s="30" t="s">
        <v>73</v>
      </c>
      <c r="G220" s="30">
        <f t="shared" si="18"/>
        <v>152.25</v>
      </c>
      <c r="H220" s="31">
        <f t="shared" si="19"/>
        <v>147.75</v>
      </c>
      <c r="I220" s="31">
        <f t="shared" si="20"/>
        <v>156.75</v>
      </c>
      <c r="J220" s="31">
        <f t="shared" si="22"/>
        <v>143.25</v>
      </c>
      <c r="K220" s="32">
        <f t="shared" si="23"/>
        <v>150</v>
      </c>
      <c r="L220" s="32"/>
      <c r="M220" s="33">
        <f t="shared" si="21"/>
        <v>6.75</v>
      </c>
      <c r="N220" s="33">
        <v>9.6</v>
      </c>
      <c r="O220" s="35"/>
      <c r="P220" s="32"/>
    </row>
    <row r="221" spans="1:16" ht="16.5" customHeight="1">
      <c r="A221" s="25"/>
      <c r="B221" s="26">
        <v>21085246</v>
      </c>
      <c r="C221" s="27" t="s">
        <v>370</v>
      </c>
      <c r="D221" s="26" t="s">
        <v>371</v>
      </c>
      <c r="E221" s="28">
        <v>160</v>
      </c>
      <c r="F221" s="29" t="s">
        <v>73</v>
      </c>
      <c r="G221" s="30">
        <f t="shared" si="18"/>
        <v>162.4</v>
      </c>
      <c r="H221" s="31">
        <f t="shared" si="19"/>
        <v>157.6</v>
      </c>
      <c r="I221" s="31">
        <f t="shared" si="20"/>
        <v>167.2</v>
      </c>
      <c r="J221" s="31">
        <f t="shared" si="22"/>
        <v>152.80000000000001</v>
      </c>
      <c r="K221" s="32">
        <f t="shared" si="23"/>
        <v>160</v>
      </c>
      <c r="L221" s="32"/>
      <c r="M221" s="33">
        <f t="shared" si="21"/>
        <v>7.1999999999999993</v>
      </c>
      <c r="N221" s="33">
        <v>7.3</v>
      </c>
      <c r="O221" s="25"/>
      <c r="P221" s="32"/>
    </row>
    <row r="222" spans="1:16" ht="16.5" customHeight="1">
      <c r="A222" s="35"/>
      <c r="B222" s="36">
        <v>21109284</v>
      </c>
      <c r="C222" s="37" t="s">
        <v>372</v>
      </c>
      <c r="D222" s="36" t="s">
        <v>76</v>
      </c>
      <c r="E222" s="38">
        <v>180</v>
      </c>
      <c r="F222" s="30" t="s">
        <v>73</v>
      </c>
      <c r="G222" s="30">
        <f t="shared" si="18"/>
        <v>182.7</v>
      </c>
      <c r="H222" s="31">
        <f t="shared" si="19"/>
        <v>177.3</v>
      </c>
      <c r="I222" s="31">
        <f t="shared" si="20"/>
        <v>188.1</v>
      </c>
      <c r="J222" s="31">
        <f t="shared" si="22"/>
        <v>171.9</v>
      </c>
      <c r="K222" s="32">
        <f t="shared" si="23"/>
        <v>180</v>
      </c>
      <c r="L222" s="32"/>
      <c r="M222" s="33">
        <f t="shared" si="21"/>
        <v>8.1</v>
      </c>
      <c r="N222" s="33">
        <v>8.4</v>
      </c>
      <c r="O222" s="35"/>
      <c r="P222" s="32"/>
    </row>
    <row r="223" spans="1:16" ht="16.5" customHeight="1">
      <c r="A223" s="25"/>
      <c r="B223" s="26">
        <v>21089810</v>
      </c>
      <c r="C223" s="27" t="s">
        <v>373</v>
      </c>
      <c r="D223" s="36" t="s">
        <v>76</v>
      </c>
      <c r="E223" s="28">
        <v>25</v>
      </c>
      <c r="F223" s="30" t="s">
        <v>73</v>
      </c>
      <c r="G223" s="30">
        <f t="shared" si="18"/>
        <v>25.75</v>
      </c>
      <c r="H223" s="31">
        <f t="shared" si="19"/>
        <v>24.25</v>
      </c>
      <c r="I223" s="31">
        <f t="shared" si="20"/>
        <v>27.25</v>
      </c>
      <c r="J223" s="31">
        <f t="shared" si="22"/>
        <v>22.75</v>
      </c>
      <c r="K223" s="32">
        <f t="shared" si="23"/>
        <v>25</v>
      </c>
      <c r="L223" s="32"/>
      <c r="M223" s="33">
        <f t="shared" si="21"/>
        <v>2.25</v>
      </c>
      <c r="N223" s="33" t="e">
        <v>#N/A</v>
      </c>
      <c r="O223" s="25"/>
      <c r="P223" s="32"/>
    </row>
    <row r="224" spans="1:16" ht="16.5" customHeight="1">
      <c r="A224" s="35"/>
      <c r="B224" s="36">
        <v>21117575</v>
      </c>
      <c r="C224" s="37" t="s">
        <v>374</v>
      </c>
      <c r="D224" s="36" t="s">
        <v>76</v>
      </c>
      <c r="E224" s="38">
        <v>200</v>
      </c>
      <c r="F224" s="30" t="s">
        <v>73</v>
      </c>
      <c r="G224" s="30">
        <f t="shared" si="18"/>
        <v>203</v>
      </c>
      <c r="H224" s="31">
        <f t="shared" si="19"/>
        <v>197</v>
      </c>
      <c r="I224" s="31">
        <f t="shared" si="20"/>
        <v>209</v>
      </c>
      <c r="J224" s="31">
        <f t="shared" si="22"/>
        <v>191</v>
      </c>
      <c r="K224" s="32">
        <f t="shared" si="23"/>
        <v>200</v>
      </c>
      <c r="L224" s="32"/>
      <c r="M224" s="33">
        <f t="shared" si="21"/>
        <v>9</v>
      </c>
      <c r="N224" s="33" t="e">
        <v>#N/A</v>
      </c>
      <c r="O224" s="35"/>
      <c r="P224" s="32"/>
    </row>
    <row r="225" spans="1:16" ht="16.5" customHeight="1">
      <c r="A225" s="25"/>
      <c r="B225" s="26">
        <v>21109289</v>
      </c>
      <c r="C225" s="27" t="s">
        <v>375</v>
      </c>
      <c r="D225" s="36" t="s">
        <v>87</v>
      </c>
      <c r="E225" s="28">
        <v>30</v>
      </c>
      <c r="F225" s="29" t="s">
        <v>73</v>
      </c>
      <c r="G225" s="30">
        <f t="shared" si="18"/>
        <v>30.900000000000002</v>
      </c>
      <c r="H225" s="31">
        <f t="shared" si="19"/>
        <v>30.3</v>
      </c>
      <c r="I225" s="31">
        <f t="shared" si="20"/>
        <v>31.5</v>
      </c>
      <c r="J225" s="31">
        <f t="shared" si="22"/>
        <v>30</v>
      </c>
      <c r="K225" s="32">
        <f t="shared" si="23"/>
        <v>30</v>
      </c>
      <c r="L225" s="32"/>
      <c r="M225" s="33">
        <f t="shared" si="21"/>
        <v>0</v>
      </c>
      <c r="N225" s="33">
        <v>4</v>
      </c>
      <c r="O225" s="25"/>
      <c r="P225" s="41" t="s">
        <v>88</v>
      </c>
    </row>
    <row r="226" spans="1:16" ht="16.5" customHeight="1">
      <c r="A226" s="35"/>
      <c r="B226" s="36">
        <v>21109290</v>
      </c>
      <c r="C226" s="37" t="s">
        <v>376</v>
      </c>
      <c r="D226" s="36" t="s">
        <v>87</v>
      </c>
      <c r="E226" s="28">
        <v>160</v>
      </c>
      <c r="F226" s="29" t="s">
        <v>73</v>
      </c>
      <c r="G226" s="30">
        <f t="shared" si="18"/>
        <v>164.8</v>
      </c>
      <c r="H226" s="31">
        <f t="shared" si="19"/>
        <v>161.6</v>
      </c>
      <c r="I226" s="31">
        <f t="shared" si="20"/>
        <v>168</v>
      </c>
      <c r="J226" s="31">
        <f t="shared" si="22"/>
        <v>160</v>
      </c>
      <c r="K226" s="32">
        <f>IF(F226="ml",E226*L226,E226)</f>
        <v>160</v>
      </c>
      <c r="L226" s="32"/>
      <c r="M226" s="33">
        <f t="shared" si="21"/>
        <v>0</v>
      </c>
      <c r="N226" s="33">
        <v>8</v>
      </c>
      <c r="O226" s="25"/>
      <c r="P226" s="41" t="s">
        <v>88</v>
      </c>
    </row>
    <row r="227" spans="1:16" ht="16.5" customHeight="1">
      <c r="A227" s="25"/>
      <c r="B227" s="26">
        <v>21089812</v>
      </c>
      <c r="C227" s="27" t="s">
        <v>377</v>
      </c>
      <c r="D227" s="36" t="s">
        <v>76</v>
      </c>
      <c r="E227" s="28">
        <v>60</v>
      </c>
      <c r="F227" s="29" t="s">
        <v>73</v>
      </c>
      <c r="G227" s="30">
        <f t="shared" si="18"/>
        <v>61.5</v>
      </c>
      <c r="H227" s="31">
        <f t="shared" si="19"/>
        <v>58.5</v>
      </c>
      <c r="I227" s="31">
        <f t="shared" si="20"/>
        <v>64.5</v>
      </c>
      <c r="J227" s="31">
        <f t="shared" si="22"/>
        <v>55.5</v>
      </c>
      <c r="K227" s="32">
        <f t="shared" si="23"/>
        <v>60</v>
      </c>
      <c r="L227" s="32"/>
      <c r="M227" s="33">
        <f t="shared" si="21"/>
        <v>4.5</v>
      </c>
      <c r="N227" s="33" t="e">
        <v>#N/A</v>
      </c>
      <c r="O227" s="25"/>
      <c r="P227" s="32"/>
    </row>
    <row r="228" spans="1:16" ht="16.5" customHeight="1">
      <c r="A228" s="35"/>
      <c r="B228" s="36">
        <v>21109291</v>
      </c>
      <c r="C228" s="37" t="s">
        <v>378</v>
      </c>
      <c r="D228" s="36" t="s">
        <v>87</v>
      </c>
      <c r="E228" s="38">
        <v>75</v>
      </c>
      <c r="F228" s="30" t="s">
        <v>73</v>
      </c>
      <c r="G228" s="30">
        <f t="shared" si="18"/>
        <v>77.25</v>
      </c>
      <c r="H228" s="31">
        <f t="shared" si="19"/>
        <v>75.75</v>
      </c>
      <c r="I228" s="31">
        <f t="shared" si="20"/>
        <v>78.75</v>
      </c>
      <c r="J228" s="31">
        <f t="shared" si="22"/>
        <v>75</v>
      </c>
      <c r="K228" s="32">
        <f t="shared" si="23"/>
        <v>75</v>
      </c>
      <c r="L228" s="32"/>
      <c r="M228" s="33">
        <f t="shared" si="21"/>
        <v>0</v>
      </c>
      <c r="N228" s="33">
        <v>6.6</v>
      </c>
      <c r="O228" s="35"/>
      <c r="P228" s="41" t="s">
        <v>88</v>
      </c>
    </row>
    <row r="229" spans="1:16" ht="16.5" customHeight="1">
      <c r="A229" s="25"/>
      <c r="B229" s="26">
        <v>21109288</v>
      </c>
      <c r="C229" s="27" t="s">
        <v>379</v>
      </c>
      <c r="D229" s="36" t="s">
        <v>87</v>
      </c>
      <c r="E229" s="38">
        <v>75</v>
      </c>
      <c r="F229" s="30" t="s">
        <v>73</v>
      </c>
      <c r="G229" s="30">
        <f t="shared" si="18"/>
        <v>77.25</v>
      </c>
      <c r="H229" s="31">
        <f t="shared" si="19"/>
        <v>75.75</v>
      </c>
      <c r="I229" s="31">
        <f t="shared" si="20"/>
        <v>78.75</v>
      </c>
      <c r="J229" s="31">
        <f t="shared" si="22"/>
        <v>75</v>
      </c>
      <c r="K229" s="32">
        <f t="shared" si="23"/>
        <v>75</v>
      </c>
      <c r="L229" s="32"/>
      <c r="M229" s="33">
        <f t="shared" si="21"/>
        <v>0</v>
      </c>
      <c r="N229" s="33">
        <v>6.6</v>
      </c>
      <c r="O229" s="35"/>
      <c r="P229" s="41" t="s">
        <v>88</v>
      </c>
    </row>
    <row r="230" spans="1:16" ht="16.5" customHeight="1">
      <c r="A230" s="35"/>
      <c r="B230" s="36">
        <v>21109398</v>
      </c>
      <c r="C230" s="37" t="s">
        <v>380</v>
      </c>
      <c r="D230" s="36" t="s">
        <v>87</v>
      </c>
      <c r="E230" s="28">
        <v>160</v>
      </c>
      <c r="F230" s="29" t="s">
        <v>73</v>
      </c>
      <c r="G230" s="30">
        <f t="shared" si="18"/>
        <v>164.8</v>
      </c>
      <c r="H230" s="31">
        <f t="shared" si="19"/>
        <v>161.6</v>
      </c>
      <c r="I230" s="31">
        <f t="shared" si="20"/>
        <v>168</v>
      </c>
      <c r="J230" s="31">
        <f t="shared" si="22"/>
        <v>160</v>
      </c>
      <c r="K230" s="32">
        <f t="shared" si="23"/>
        <v>160</v>
      </c>
      <c r="L230" s="32"/>
      <c r="M230" s="33">
        <f t="shared" si="21"/>
        <v>0</v>
      </c>
      <c r="N230" s="33">
        <v>7.9</v>
      </c>
      <c r="O230" s="35"/>
      <c r="P230" s="41" t="s">
        <v>88</v>
      </c>
    </row>
    <row r="231" spans="1:16" ht="16.5" customHeight="1">
      <c r="A231" s="25"/>
      <c r="B231" s="26">
        <v>21109287</v>
      </c>
      <c r="C231" s="27" t="s">
        <v>381</v>
      </c>
      <c r="D231" s="36" t="s">
        <v>87</v>
      </c>
      <c r="E231" s="28">
        <v>30</v>
      </c>
      <c r="F231" s="29" t="s">
        <v>73</v>
      </c>
      <c r="G231" s="30">
        <f t="shared" si="18"/>
        <v>30.900000000000002</v>
      </c>
      <c r="H231" s="31">
        <f t="shared" si="19"/>
        <v>30.3</v>
      </c>
      <c r="I231" s="31">
        <f t="shared" si="20"/>
        <v>31.5</v>
      </c>
      <c r="J231" s="31">
        <f t="shared" si="22"/>
        <v>30</v>
      </c>
      <c r="K231" s="32">
        <f t="shared" si="23"/>
        <v>30</v>
      </c>
      <c r="L231" s="32"/>
      <c r="M231" s="33">
        <f t="shared" si="21"/>
        <v>0</v>
      </c>
      <c r="N231" s="33">
        <v>4</v>
      </c>
      <c r="O231" s="25"/>
      <c r="P231" s="41" t="s">
        <v>88</v>
      </c>
    </row>
    <row r="232" spans="1:16" ht="16.5" customHeight="1">
      <c r="A232" s="35"/>
      <c r="B232" s="36">
        <v>21109286</v>
      </c>
      <c r="C232" s="37" t="s">
        <v>382</v>
      </c>
      <c r="D232" s="36" t="s">
        <v>87</v>
      </c>
      <c r="E232" s="28">
        <v>160</v>
      </c>
      <c r="F232" s="29" t="s">
        <v>73</v>
      </c>
      <c r="G232" s="30">
        <f t="shared" si="18"/>
        <v>164.8</v>
      </c>
      <c r="H232" s="31">
        <f t="shared" si="19"/>
        <v>161.6</v>
      </c>
      <c r="I232" s="31">
        <f t="shared" si="20"/>
        <v>168</v>
      </c>
      <c r="J232" s="31">
        <f t="shared" si="22"/>
        <v>160</v>
      </c>
      <c r="K232" s="32">
        <f t="shared" si="23"/>
        <v>160</v>
      </c>
      <c r="L232" s="32"/>
      <c r="M232" s="33">
        <f t="shared" si="21"/>
        <v>0</v>
      </c>
      <c r="N232" s="33">
        <v>7.9</v>
      </c>
      <c r="O232" s="35"/>
      <c r="P232" s="41" t="s">
        <v>88</v>
      </c>
    </row>
    <row r="233" spans="1:16" ht="16.5" customHeight="1">
      <c r="A233" s="25"/>
      <c r="B233" s="26">
        <v>21109397</v>
      </c>
      <c r="C233" s="27" t="s">
        <v>383</v>
      </c>
      <c r="D233" s="36" t="s">
        <v>87</v>
      </c>
      <c r="E233" s="28">
        <v>160</v>
      </c>
      <c r="F233" s="29" t="s">
        <v>73</v>
      </c>
      <c r="G233" s="30">
        <f t="shared" si="18"/>
        <v>164.8</v>
      </c>
      <c r="H233" s="31">
        <f t="shared" si="19"/>
        <v>161.6</v>
      </c>
      <c r="I233" s="31">
        <f t="shared" si="20"/>
        <v>168</v>
      </c>
      <c r="J233" s="31">
        <f t="shared" si="22"/>
        <v>160</v>
      </c>
      <c r="K233" s="32">
        <f t="shared" si="23"/>
        <v>160</v>
      </c>
      <c r="L233" s="32"/>
      <c r="M233" s="33">
        <f t="shared" si="21"/>
        <v>0</v>
      </c>
      <c r="N233" s="33">
        <v>8</v>
      </c>
      <c r="O233" s="25"/>
      <c r="P233" s="41" t="s">
        <v>88</v>
      </c>
    </row>
    <row r="234" spans="1:16" ht="16.5" customHeight="1">
      <c r="A234" s="35"/>
      <c r="B234" s="36">
        <v>21109286</v>
      </c>
      <c r="C234" s="37" t="s">
        <v>382</v>
      </c>
      <c r="D234" s="36" t="s">
        <v>87</v>
      </c>
      <c r="E234" s="28">
        <v>160</v>
      </c>
      <c r="F234" s="29" t="s">
        <v>73</v>
      </c>
      <c r="G234" s="30">
        <f t="shared" si="18"/>
        <v>164.8</v>
      </c>
      <c r="H234" s="31">
        <f t="shared" si="19"/>
        <v>161.6</v>
      </c>
      <c r="I234" s="31">
        <f t="shared" si="20"/>
        <v>168</v>
      </c>
      <c r="J234" s="31">
        <f t="shared" si="22"/>
        <v>160</v>
      </c>
      <c r="K234" s="32">
        <f t="shared" si="23"/>
        <v>160</v>
      </c>
      <c r="L234" s="32"/>
      <c r="M234" s="33">
        <f t="shared" si="21"/>
        <v>0</v>
      </c>
      <c r="N234" s="33">
        <v>7.9</v>
      </c>
      <c r="O234" s="35"/>
      <c r="P234" s="41" t="s">
        <v>88</v>
      </c>
    </row>
    <row r="235" spans="1:16" ht="16.5" customHeight="1">
      <c r="A235" s="25"/>
      <c r="B235" s="26">
        <v>21077395</v>
      </c>
      <c r="C235" s="27" t="s">
        <v>384</v>
      </c>
      <c r="D235" s="26" t="s">
        <v>76</v>
      </c>
      <c r="E235" s="53">
        <v>30</v>
      </c>
      <c r="F235" s="29" t="s">
        <v>73</v>
      </c>
      <c r="G235" s="30">
        <f t="shared" si="18"/>
        <v>30.9</v>
      </c>
      <c r="H235" s="31">
        <f t="shared" si="19"/>
        <v>29.1</v>
      </c>
      <c r="I235" s="31">
        <f t="shared" si="20"/>
        <v>32.700000000000003</v>
      </c>
      <c r="J235" s="31">
        <f t="shared" si="22"/>
        <v>27.3</v>
      </c>
      <c r="K235" s="32">
        <f t="shared" si="23"/>
        <v>30</v>
      </c>
      <c r="L235" s="32"/>
      <c r="M235" s="33">
        <f t="shared" si="21"/>
        <v>2.6999999999999997</v>
      </c>
      <c r="N235" s="33" t="e">
        <v>#N/A</v>
      </c>
      <c r="O235" s="25"/>
      <c r="P235" s="32"/>
    </row>
    <row r="236" spans="1:16" ht="16.5" customHeight="1">
      <c r="B236" s="30">
        <v>21103283</v>
      </c>
      <c r="C236" s="37" t="s">
        <v>256</v>
      </c>
      <c r="D236" s="36" t="s">
        <v>76</v>
      </c>
      <c r="E236" s="55">
        <v>250</v>
      </c>
      <c r="F236" s="30" t="s">
        <v>73</v>
      </c>
      <c r="G236" s="30">
        <f t="shared" si="18"/>
        <v>253</v>
      </c>
      <c r="H236" s="31">
        <f t="shared" si="19"/>
        <v>247</v>
      </c>
      <c r="I236" s="31">
        <f t="shared" si="20"/>
        <v>259</v>
      </c>
      <c r="J236" s="31">
        <f t="shared" si="22"/>
        <v>241</v>
      </c>
      <c r="K236" s="32">
        <f t="shared" si="23"/>
        <v>250</v>
      </c>
      <c r="L236" s="32"/>
      <c r="M236" s="33">
        <f t="shared" si="21"/>
        <v>9</v>
      </c>
      <c r="N236" s="33">
        <v>9</v>
      </c>
      <c r="O236" s="35"/>
      <c r="P236" s="32" t="s">
        <v>385</v>
      </c>
    </row>
    <row r="237" spans="1:16" ht="16.5" customHeight="1">
      <c r="B237" s="30">
        <v>21116068</v>
      </c>
      <c r="C237" s="54" t="s">
        <v>386</v>
      </c>
      <c r="D237" s="36" t="s">
        <v>76</v>
      </c>
      <c r="E237" s="53">
        <v>60</v>
      </c>
      <c r="F237" s="29" t="s">
        <v>73</v>
      </c>
      <c r="G237" s="30">
        <f t="shared" si="18"/>
        <v>61.5</v>
      </c>
      <c r="H237" s="31">
        <f t="shared" si="19"/>
        <v>58.5</v>
      </c>
      <c r="I237" s="31">
        <f t="shared" si="20"/>
        <v>64.5</v>
      </c>
      <c r="J237" s="31">
        <f t="shared" si="22"/>
        <v>55.5</v>
      </c>
      <c r="K237" s="32">
        <f t="shared" si="23"/>
        <v>60</v>
      </c>
      <c r="L237" s="32"/>
      <c r="M237" s="33">
        <f t="shared" si="21"/>
        <v>4.5</v>
      </c>
      <c r="N237" s="33" t="e">
        <v>#N/A</v>
      </c>
      <c r="P237" s="32" t="s">
        <v>385</v>
      </c>
    </row>
    <row r="238" spans="1:16" ht="16.5" customHeight="1">
      <c r="B238" s="30">
        <v>21113004</v>
      </c>
      <c r="C238" s="54" t="s">
        <v>387</v>
      </c>
      <c r="D238" s="36" t="s">
        <v>76</v>
      </c>
      <c r="E238" s="30">
        <v>300</v>
      </c>
      <c r="F238" s="30" t="s">
        <v>82</v>
      </c>
      <c r="G238" s="30">
        <f t="shared" si="18"/>
        <v>315.12</v>
      </c>
      <c r="H238" s="31">
        <f t="shared" si="19"/>
        <v>308.88</v>
      </c>
      <c r="I238" s="31">
        <f t="shared" si="20"/>
        <v>321.36</v>
      </c>
      <c r="J238" s="31">
        <f t="shared" si="22"/>
        <v>302.64</v>
      </c>
      <c r="K238" s="32">
        <f t="shared" si="23"/>
        <v>312</v>
      </c>
      <c r="L238" s="56">
        <v>1.04</v>
      </c>
      <c r="M238" s="33">
        <f t="shared" si="21"/>
        <v>9.36</v>
      </c>
      <c r="N238" s="33" t="e">
        <v>#N/A</v>
      </c>
      <c r="P238" s="32"/>
    </row>
    <row r="239" spans="1:16" ht="16.5" customHeight="1">
      <c r="B239" s="30">
        <v>21113005</v>
      </c>
      <c r="C239" s="54" t="s">
        <v>388</v>
      </c>
      <c r="D239" s="36" t="s">
        <v>76</v>
      </c>
      <c r="E239" s="30">
        <v>500</v>
      </c>
      <c r="F239" s="29" t="s">
        <v>82</v>
      </c>
      <c r="G239" s="30">
        <f t="shared" si="18"/>
        <v>525</v>
      </c>
      <c r="H239" s="31">
        <f t="shared" si="19"/>
        <v>515</v>
      </c>
      <c r="I239" s="31">
        <f t="shared" si="20"/>
        <v>535</v>
      </c>
      <c r="J239" s="31">
        <f t="shared" si="22"/>
        <v>505</v>
      </c>
      <c r="K239" s="32">
        <f t="shared" si="23"/>
        <v>520</v>
      </c>
      <c r="L239" s="56">
        <v>1.04</v>
      </c>
      <c r="M239" s="33">
        <f t="shared" si="21"/>
        <v>15</v>
      </c>
      <c r="N239" s="33">
        <v>43.89</v>
      </c>
      <c r="P239" s="32"/>
    </row>
    <row r="240" spans="1:16" ht="16.5" customHeight="1">
      <c r="B240" s="30">
        <v>21119124</v>
      </c>
      <c r="C240" s="54" t="s">
        <v>389</v>
      </c>
      <c r="D240" s="36" t="s">
        <v>76</v>
      </c>
      <c r="E240" s="30">
        <v>60</v>
      </c>
      <c r="F240" s="30" t="s">
        <v>73</v>
      </c>
      <c r="G240" s="30">
        <f t="shared" si="18"/>
        <v>61.5</v>
      </c>
      <c r="H240" s="31">
        <f t="shared" si="19"/>
        <v>58.5</v>
      </c>
      <c r="I240" s="31">
        <f t="shared" si="20"/>
        <v>64.5</v>
      </c>
      <c r="J240" s="31">
        <f t="shared" si="22"/>
        <v>55.5</v>
      </c>
      <c r="K240" s="32">
        <f t="shared" si="23"/>
        <v>60</v>
      </c>
      <c r="M240" s="33">
        <f t="shared" si="21"/>
        <v>4.5</v>
      </c>
      <c r="N240" s="33">
        <v>4.5999999999999996</v>
      </c>
      <c r="P240" s="32" t="s">
        <v>385</v>
      </c>
    </row>
    <row r="241" spans="2:16" ht="16.5" customHeight="1">
      <c r="B241" s="58">
        <v>21123910</v>
      </c>
      <c r="C241" s="59" t="s">
        <v>390</v>
      </c>
      <c r="D241" s="36" t="s">
        <v>76</v>
      </c>
      <c r="E241" s="30">
        <v>110</v>
      </c>
      <c r="F241" s="30" t="s">
        <v>73</v>
      </c>
      <c r="G241" s="30">
        <f t="shared" si="18"/>
        <v>111.65</v>
      </c>
      <c r="H241" s="31">
        <f t="shared" si="19"/>
        <v>108.35</v>
      </c>
      <c r="I241" s="31">
        <f t="shared" si="20"/>
        <v>114.95</v>
      </c>
      <c r="J241" s="31">
        <f t="shared" si="22"/>
        <v>105.05</v>
      </c>
      <c r="K241" s="32">
        <f t="shared" si="23"/>
        <v>110</v>
      </c>
      <c r="M241" s="33">
        <f t="shared" si="21"/>
        <v>4.95</v>
      </c>
      <c r="N241" s="33">
        <v>6</v>
      </c>
      <c r="P241" s="32"/>
    </row>
    <row r="242" spans="2:16" ht="16.5" customHeight="1">
      <c r="B242" s="30">
        <v>21116532</v>
      </c>
      <c r="C242" s="54" t="s">
        <v>391</v>
      </c>
      <c r="D242" s="36" t="s">
        <v>76</v>
      </c>
      <c r="E242" s="30">
        <v>500</v>
      </c>
      <c r="F242" s="30" t="s">
        <v>82</v>
      </c>
      <c r="G242" s="30">
        <f t="shared" si="18"/>
        <v>525</v>
      </c>
      <c r="H242" s="31">
        <f t="shared" si="19"/>
        <v>515</v>
      </c>
      <c r="I242" s="31">
        <f t="shared" si="20"/>
        <v>535</v>
      </c>
      <c r="J242" s="31">
        <f t="shared" si="22"/>
        <v>505</v>
      </c>
      <c r="K242" s="32">
        <f t="shared" si="23"/>
        <v>520</v>
      </c>
      <c r="L242" s="56">
        <v>1.04</v>
      </c>
      <c r="M242" s="33">
        <f t="shared" si="21"/>
        <v>15</v>
      </c>
      <c r="N242" s="33">
        <v>43.89</v>
      </c>
      <c r="P242" s="32"/>
    </row>
    <row r="243" spans="2:16" ht="16.5" customHeight="1">
      <c r="B243" s="30">
        <v>21116531</v>
      </c>
      <c r="C243" s="54" t="s">
        <v>392</v>
      </c>
      <c r="D243" s="36" t="s">
        <v>76</v>
      </c>
      <c r="E243" s="30">
        <v>300</v>
      </c>
      <c r="F243" s="30" t="s">
        <v>82</v>
      </c>
      <c r="G243" s="30">
        <f t="shared" si="18"/>
        <v>315.12</v>
      </c>
      <c r="H243" s="31">
        <f t="shared" si="19"/>
        <v>308.88</v>
      </c>
      <c r="I243" s="31">
        <f t="shared" si="20"/>
        <v>321.36</v>
      </c>
      <c r="J243" s="31">
        <f t="shared" si="22"/>
        <v>302.64</v>
      </c>
      <c r="K243" s="32">
        <f t="shared" si="23"/>
        <v>312</v>
      </c>
      <c r="L243" s="56">
        <v>1.04</v>
      </c>
      <c r="M243" s="33">
        <f t="shared" si="21"/>
        <v>9.36</v>
      </c>
      <c r="N243" s="33" t="e">
        <v>#N/A</v>
      </c>
      <c r="P243" s="32"/>
    </row>
    <row r="244" spans="2:16" ht="16.5" customHeight="1">
      <c r="B244" s="30">
        <v>21085245</v>
      </c>
      <c r="C244" s="54" t="s">
        <v>393</v>
      </c>
      <c r="D244" s="26" t="s">
        <v>371</v>
      </c>
      <c r="E244" s="30">
        <v>75</v>
      </c>
      <c r="F244" s="30" t="s">
        <v>73</v>
      </c>
      <c r="G244" s="30">
        <f t="shared" si="18"/>
        <v>76.5</v>
      </c>
      <c r="H244" s="31">
        <f t="shared" si="19"/>
        <v>73.5</v>
      </c>
      <c r="I244" s="31">
        <f t="shared" si="20"/>
        <v>79.5</v>
      </c>
      <c r="J244" s="31">
        <f t="shared" si="22"/>
        <v>70.5</v>
      </c>
      <c r="K244" s="32">
        <f t="shared" si="23"/>
        <v>75</v>
      </c>
      <c r="M244" s="33">
        <f t="shared" si="21"/>
        <v>4.5</v>
      </c>
      <c r="N244" s="33">
        <v>4.5999999999999996</v>
      </c>
      <c r="P244" s="32"/>
    </row>
    <row r="245" spans="2:16" ht="16.5" customHeight="1">
      <c r="B245" s="30">
        <v>21116067</v>
      </c>
      <c r="C245" s="54" t="s">
        <v>394</v>
      </c>
      <c r="D245" s="36" t="s">
        <v>76</v>
      </c>
      <c r="E245" s="30">
        <v>30</v>
      </c>
      <c r="F245" s="30" t="s">
        <v>73</v>
      </c>
      <c r="G245" s="30">
        <f t="shared" si="18"/>
        <v>30.9</v>
      </c>
      <c r="H245" s="31">
        <f t="shared" si="19"/>
        <v>29.1</v>
      </c>
      <c r="I245" s="31">
        <f t="shared" si="20"/>
        <v>32.700000000000003</v>
      </c>
      <c r="J245" s="31">
        <f t="shared" si="22"/>
        <v>27.3</v>
      </c>
      <c r="K245" s="32">
        <f t="shared" si="23"/>
        <v>30</v>
      </c>
      <c r="L245" s="32"/>
      <c r="M245" s="33">
        <f t="shared" si="21"/>
        <v>2.6999999999999997</v>
      </c>
      <c r="N245" s="33" t="e">
        <v>#N/A</v>
      </c>
      <c r="P245" s="32"/>
    </row>
    <row r="246" spans="2:16" ht="16.5" customHeight="1">
      <c r="B246" s="30">
        <v>21110888</v>
      </c>
      <c r="C246" s="54" t="s">
        <v>395</v>
      </c>
      <c r="D246" s="26" t="s">
        <v>247</v>
      </c>
      <c r="E246" s="30">
        <v>125</v>
      </c>
      <c r="F246" s="30" t="s">
        <v>73</v>
      </c>
      <c r="G246" s="30">
        <f t="shared" si="18"/>
        <v>126.875</v>
      </c>
      <c r="H246" s="31">
        <f t="shared" si="19"/>
        <v>123.125</v>
      </c>
      <c r="I246" s="31">
        <f t="shared" si="20"/>
        <v>130.625</v>
      </c>
      <c r="J246" s="31">
        <f t="shared" si="22"/>
        <v>119.375</v>
      </c>
      <c r="K246" s="32">
        <f t="shared" si="23"/>
        <v>125</v>
      </c>
      <c r="M246" s="33">
        <f t="shared" si="21"/>
        <v>5.625</v>
      </c>
      <c r="N246" s="33" t="e">
        <v>#N/A</v>
      </c>
      <c r="P246" s="32" t="s">
        <v>385</v>
      </c>
    </row>
    <row r="247" spans="2:16" ht="16.5" customHeight="1">
      <c r="B247" s="30">
        <v>21110896</v>
      </c>
      <c r="C247" s="54" t="s">
        <v>396</v>
      </c>
      <c r="D247" s="26" t="s">
        <v>247</v>
      </c>
      <c r="E247" s="30">
        <v>125</v>
      </c>
      <c r="F247" s="30" t="s">
        <v>73</v>
      </c>
      <c r="G247" s="30">
        <f t="shared" si="18"/>
        <v>126.875</v>
      </c>
      <c r="H247" s="31">
        <f t="shared" si="19"/>
        <v>123.125</v>
      </c>
      <c r="I247" s="31">
        <f t="shared" si="20"/>
        <v>130.625</v>
      </c>
      <c r="J247" s="31">
        <f t="shared" si="22"/>
        <v>119.375</v>
      </c>
      <c r="K247" s="32">
        <f t="shared" si="23"/>
        <v>125</v>
      </c>
      <c r="M247" s="33">
        <f t="shared" si="21"/>
        <v>5.625</v>
      </c>
      <c r="N247" s="33">
        <v>7</v>
      </c>
      <c r="P247" s="32" t="s">
        <v>385</v>
      </c>
    </row>
    <row r="248" spans="2:16" ht="16.5" customHeight="1">
      <c r="B248" s="30">
        <v>21110898</v>
      </c>
      <c r="C248" s="54" t="s">
        <v>397</v>
      </c>
      <c r="D248" s="26" t="s">
        <v>247</v>
      </c>
      <c r="E248" s="30">
        <v>60</v>
      </c>
      <c r="F248" s="30" t="s">
        <v>73</v>
      </c>
      <c r="G248" s="30">
        <f t="shared" si="18"/>
        <v>61.5</v>
      </c>
      <c r="H248" s="31">
        <f t="shared" si="19"/>
        <v>58.5</v>
      </c>
      <c r="I248" s="31">
        <f t="shared" si="20"/>
        <v>64.5</v>
      </c>
      <c r="J248" s="31">
        <f t="shared" si="22"/>
        <v>55.5</v>
      </c>
      <c r="K248" s="32">
        <f t="shared" si="23"/>
        <v>60</v>
      </c>
      <c r="M248" s="33">
        <f t="shared" si="21"/>
        <v>4.5</v>
      </c>
      <c r="N248" s="33">
        <v>4.5999999999999996</v>
      </c>
      <c r="P248" s="32" t="s">
        <v>385</v>
      </c>
    </row>
    <row r="249" spans="2:16" ht="16.5" customHeight="1">
      <c r="B249" s="30">
        <v>21110894</v>
      </c>
      <c r="C249" s="54" t="s">
        <v>398</v>
      </c>
      <c r="D249" s="26" t="s">
        <v>247</v>
      </c>
      <c r="E249" s="30">
        <v>30</v>
      </c>
      <c r="F249" s="30" t="s">
        <v>73</v>
      </c>
      <c r="G249" s="30">
        <f t="shared" si="18"/>
        <v>30.9</v>
      </c>
      <c r="H249" s="31">
        <f t="shared" si="19"/>
        <v>29.1</v>
      </c>
      <c r="I249" s="31">
        <f t="shared" si="20"/>
        <v>32.700000000000003</v>
      </c>
      <c r="J249" s="31">
        <f t="shared" si="22"/>
        <v>27.3</v>
      </c>
      <c r="K249" s="32">
        <f t="shared" si="23"/>
        <v>30</v>
      </c>
      <c r="M249" s="33">
        <f t="shared" si="21"/>
        <v>2.6999999999999997</v>
      </c>
      <c r="N249" s="33">
        <v>3.7</v>
      </c>
      <c r="P249" s="32"/>
    </row>
    <row r="250" spans="2:16" ht="16.5" customHeight="1">
      <c r="B250" s="30">
        <v>21110891</v>
      </c>
      <c r="C250" s="54" t="s">
        <v>399</v>
      </c>
      <c r="D250" s="26" t="s">
        <v>247</v>
      </c>
      <c r="E250" s="30">
        <v>125</v>
      </c>
      <c r="F250" s="30" t="s">
        <v>73</v>
      </c>
      <c r="G250" s="30">
        <f t="shared" si="18"/>
        <v>126.875</v>
      </c>
      <c r="H250" s="31">
        <f t="shared" si="19"/>
        <v>123.125</v>
      </c>
      <c r="I250" s="31">
        <f t="shared" si="20"/>
        <v>130.625</v>
      </c>
      <c r="J250" s="31">
        <f t="shared" si="22"/>
        <v>119.375</v>
      </c>
      <c r="K250" s="32">
        <f t="shared" si="23"/>
        <v>125</v>
      </c>
      <c r="M250" s="33">
        <f t="shared" si="21"/>
        <v>5.625</v>
      </c>
      <c r="N250" s="33">
        <v>7</v>
      </c>
      <c r="P250" s="32"/>
    </row>
    <row r="251" spans="2:16" ht="16.5" customHeight="1">
      <c r="B251" s="30">
        <v>21110889</v>
      </c>
      <c r="C251" s="54" t="s">
        <v>400</v>
      </c>
      <c r="D251" s="26" t="s">
        <v>247</v>
      </c>
      <c r="E251" s="30">
        <v>30</v>
      </c>
      <c r="F251" s="30" t="s">
        <v>73</v>
      </c>
      <c r="G251" s="30">
        <f t="shared" si="18"/>
        <v>30.9</v>
      </c>
      <c r="H251" s="31">
        <f t="shared" si="19"/>
        <v>29.1</v>
      </c>
      <c r="I251" s="31">
        <f t="shared" si="20"/>
        <v>32.700000000000003</v>
      </c>
      <c r="J251" s="31">
        <f t="shared" si="22"/>
        <v>27.3</v>
      </c>
      <c r="K251" s="32">
        <f t="shared" si="23"/>
        <v>30</v>
      </c>
      <c r="M251" s="33">
        <f t="shared" si="21"/>
        <v>2.6999999999999997</v>
      </c>
      <c r="N251" s="33">
        <v>3.7</v>
      </c>
      <c r="P251" s="32"/>
    </row>
    <row r="252" spans="2:16" ht="16.5" customHeight="1">
      <c r="B252" s="30">
        <v>21115912</v>
      </c>
      <c r="C252" s="54" t="s">
        <v>401</v>
      </c>
      <c r="D252" s="36" t="s">
        <v>76</v>
      </c>
      <c r="E252" s="30">
        <v>100</v>
      </c>
      <c r="F252" s="30" t="s">
        <v>73</v>
      </c>
      <c r="G252" s="30">
        <f t="shared" si="18"/>
        <v>101.5</v>
      </c>
      <c r="H252" s="31">
        <f t="shared" si="19"/>
        <v>98.5</v>
      </c>
      <c r="I252" s="31">
        <f t="shared" si="20"/>
        <v>104.5</v>
      </c>
      <c r="J252" s="31">
        <f t="shared" si="22"/>
        <v>95.5</v>
      </c>
      <c r="K252" s="32">
        <f t="shared" si="23"/>
        <v>100</v>
      </c>
      <c r="M252" s="33">
        <f t="shared" si="21"/>
        <v>4.5</v>
      </c>
      <c r="N252" s="33">
        <v>8.4</v>
      </c>
      <c r="P252" s="32"/>
    </row>
    <row r="253" spans="2:16" ht="16.5" customHeight="1">
      <c r="B253" s="30">
        <v>21117574</v>
      </c>
      <c r="C253" s="54" t="s">
        <v>402</v>
      </c>
      <c r="D253" s="36" t="s">
        <v>76</v>
      </c>
      <c r="E253" s="30">
        <v>210</v>
      </c>
      <c r="F253" s="30" t="s">
        <v>73</v>
      </c>
      <c r="G253" s="30">
        <f t="shared" si="18"/>
        <v>213</v>
      </c>
      <c r="H253" s="31">
        <f t="shared" si="19"/>
        <v>207</v>
      </c>
      <c r="I253" s="31">
        <f t="shared" si="20"/>
        <v>219</v>
      </c>
      <c r="J253" s="31">
        <f t="shared" si="22"/>
        <v>201</v>
      </c>
      <c r="K253" s="32">
        <f t="shared" si="23"/>
        <v>210</v>
      </c>
      <c r="M253" s="33">
        <f t="shared" si="21"/>
        <v>9</v>
      </c>
      <c r="N253" s="33" t="e">
        <v>#N/A</v>
      </c>
      <c r="P253" s="32"/>
    </row>
    <row r="254" spans="2:16" ht="16.5" customHeight="1">
      <c r="B254" s="30">
        <v>21127426</v>
      </c>
      <c r="C254" s="54" t="s">
        <v>403</v>
      </c>
      <c r="D254" s="60" t="s">
        <v>104</v>
      </c>
      <c r="E254" s="30">
        <v>30</v>
      </c>
      <c r="F254" s="30" t="s">
        <v>73</v>
      </c>
      <c r="G254" s="30">
        <f t="shared" si="18"/>
        <v>30.9</v>
      </c>
      <c r="H254" s="31">
        <f t="shared" si="19"/>
        <v>29.1</v>
      </c>
      <c r="I254" s="31">
        <f t="shared" si="20"/>
        <v>32.700000000000003</v>
      </c>
      <c r="J254" s="31">
        <f t="shared" si="22"/>
        <v>27.3</v>
      </c>
      <c r="K254" s="32">
        <f t="shared" si="23"/>
        <v>30</v>
      </c>
      <c r="M254" s="33">
        <f t="shared" si="21"/>
        <v>2.6999999999999997</v>
      </c>
      <c r="N254" s="33" t="e">
        <v>#N/A</v>
      </c>
      <c r="P254" s="32"/>
    </row>
    <row r="255" spans="2:16" ht="16.5" customHeight="1">
      <c r="B255" s="30">
        <v>20288110</v>
      </c>
      <c r="C255" s="54" t="s">
        <v>175</v>
      </c>
      <c r="D255" s="26" t="s">
        <v>205</v>
      </c>
      <c r="E255" s="30">
        <v>150</v>
      </c>
      <c r="F255" s="30" t="s">
        <v>82</v>
      </c>
      <c r="G255" s="30">
        <f t="shared" si="18"/>
        <v>0</v>
      </c>
      <c r="H255" s="31">
        <f t="shared" si="19"/>
        <v>0</v>
      </c>
      <c r="I255" s="31">
        <f t="shared" si="20"/>
        <v>0</v>
      </c>
      <c r="J255" s="31">
        <f t="shared" si="22"/>
        <v>0</v>
      </c>
      <c r="K255" s="32">
        <f t="shared" si="23"/>
        <v>0</v>
      </c>
      <c r="M255" s="33">
        <f t="shared" si="21"/>
        <v>0</v>
      </c>
      <c r="N255" s="33">
        <v>8.77</v>
      </c>
      <c r="P255" s="32"/>
    </row>
    <row r="256" spans="2:16" ht="16.5" customHeight="1">
      <c r="B256" s="30">
        <v>21160261</v>
      </c>
      <c r="C256" s="54" t="s">
        <v>404</v>
      </c>
      <c r="D256" s="36" t="s">
        <v>76</v>
      </c>
      <c r="E256" s="30">
        <v>240</v>
      </c>
      <c r="F256" s="30" t="s">
        <v>73</v>
      </c>
      <c r="G256" s="30">
        <f t="shared" si="18"/>
        <v>243</v>
      </c>
      <c r="H256" s="31">
        <f t="shared" si="19"/>
        <v>237</v>
      </c>
      <c r="I256" s="31">
        <f t="shared" si="20"/>
        <v>249</v>
      </c>
      <c r="J256" s="31">
        <f t="shared" si="22"/>
        <v>231</v>
      </c>
      <c r="K256" s="32">
        <f t="shared" si="23"/>
        <v>240</v>
      </c>
      <c r="M256" s="33">
        <f t="shared" si="21"/>
        <v>9</v>
      </c>
      <c r="N256" s="33">
        <v>9</v>
      </c>
      <c r="P256" s="32" t="s">
        <v>385</v>
      </c>
    </row>
    <row r="257" spans="2:16" ht="16.5" customHeight="1">
      <c r="B257" s="30">
        <v>21160260</v>
      </c>
      <c r="C257" s="54" t="s">
        <v>405</v>
      </c>
      <c r="D257" s="36" t="s">
        <v>76</v>
      </c>
      <c r="E257" s="30">
        <v>240</v>
      </c>
      <c r="F257" s="30" t="s">
        <v>73</v>
      </c>
      <c r="G257" s="30">
        <f t="shared" si="18"/>
        <v>243</v>
      </c>
      <c r="H257" s="31">
        <f t="shared" si="19"/>
        <v>237</v>
      </c>
      <c r="I257" s="31">
        <f t="shared" si="20"/>
        <v>249</v>
      </c>
      <c r="J257" s="31">
        <f t="shared" si="22"/>
        <v>231</v>
      </c>
      <c r="K257" s="32">
        <f t="shared" si="23"/>
        <v>240</v>
      </c>
      <c r="M257" s="33">
        <f t="shared" si="21"/>
        <v>9</v>
      </c>
      <c r="N257" s="33">
        <v>9.1999999999999993</v>
      </c>
      <c r="P257" s="32" t="s">
        <v>385</v>
      </c>
    </row>
    <row r="258" spans="2:16" ht="16.5" customHeight="1">
      <c r="B258" s="30">
        <v>21160262</v>
      </c>
      <c r="C258" s="54" t="s">
        <v>406</v>
      </c>
      <c r="D258" s="36" t="s">
        <v>76</v>
      </c>
      <c r="E258" s="30">
        <v>230</v>
      </c>
      <c r="F258" s="30" t="s">
        <v>73</v>
      </c>
      <c r="G258" s="30">
        <f t="shared" si="18"/>
        <v>233</v>
      </c>
      <c r="H258" s="31">
        <f t="shared" si="19"/>
        <v>227</v>
      </c>
      <c r="I258" s="31">
        <f t="shared" si="20"/>
        <v>239</v>
      </c>
      <c r="J258" s="31">
        <f t="shared" si="22"/>
        <v>221</v>
      </c>
      <c r="K258" s="32">
        <f t="shared" si="23"/>
        <v>230</v>
      </c>
      <c r="M258" s="33">
        <f t="shared" si="21"/>
        <v>9</v>
      </c>
      <c r="N258" s="33">
        <v>9.1</v>
      </c>
      <c r="P258" s="32"/>
    </row>
    <row r="259" spans="2:16" ht="16.5" customHeight="1">
      <c r="B259" s="30">
        <v>21160263</v>
      </c>
      <c r="C259" s="54" t="s">
        <v>407</v>
      </c>
      <c r="D259" s="36" t="s">
        <v>76</v>
      </c>
      <c r="E259" s="30">
        <v>230</v>
      </c>
      <c r="F259" s="30" t="s">
        <v>73</v>
      </c>
      <c r="G259" s="30">
        <f t="shared" ref="G259:G322" si="24">IF(P259="TL tuyệt đối",K259*103%,K259+1/3*M259)</f>
        <v>233</v>
      </c>
      <c r="H259" s="31">
        <f t="shared" ref="H259:H322" si="25">IF(P259="TL tuyệt đối",K259*101%,K259-1/3*M259)</f>
        <v>227</v>
      </c>
      <c r="I259" s="31">
        <f t="shared" ref="I259:I322" si="26">IF(P259="TL tuyệt đối", K259*105%,K259+M259)</f>
        <v>239</v>
      </c>
      <c r="J259" s="31">
        <f t="shared" si="22"/>
        <v>221</v>
      </c>
      <c r="K259" s="32">
        <f t="shared" si="23"/>
        <v>230</v>
      </c>
      <c r="M259" s="33">
        <f t="shared" ref="M259:M322" si="27">IF(P259="TL tuyệt đối",0, IF(K259&lt;5,0,IF(K259&lt;50,K259*9%,IF(K259&lt;100,4.5,IF(K259&lt;200,4.5%*K259,IF(K259&lt;300,9,IF(K259&lt;500,K259*3%,IF(K259&lt;1000,15,))))))))</f>
        <v>9</v>
      </c>
      <c r="N259" s="33">
        <v>9.1</v>
      </c>
      <c r="P259" s="32"/>
    </row>
    <row r="260" spans="2:16" ht="16.5" customHeight="1">
      <c r="B260" s="30">
        <v>21115915</v>
      </c>
      <c r="C260" s="54" t="s">
        <v>408</v>
      </c>
      <c r="D260" s="13" t="s">
        <v>357</v>
      </c>
      <c r="E260" s="30">
        <v>100</v>
      </c>
      <c r="F260" s="30" t="s">
        <v>73</v>
      </c>
      <c r="G260" s="30">
        <f t="shared" si="24"/>
        <v>101.5</v>
      </c>
      <c r="H260" s="31">
        <f t="shared" si="25"/>
        <v>98.5</v>
      </c>
      <c r="I260" s="31">
        <f t="shared" si="26"/>
        <v>104.5</v>
      </c>
      <c r="J260" s="31">
        <f t="shared" ref="J260:J323" si="28">K260-M260</f>
        <v>95.5</v>
      </c>
      <c r="K260" s="32">
        <f t="shared" ref="K260:K323" si="29">IF(F260="ml",E260*L260,E260)</f>
        <v>100</v>
      </c>
      <c r="M260" s="33">
        <f t="shared" si="27"/>
        <v>4.5</v>
      </c>
      <c r="N260" s="33">
        <v>8.4</v>
      </c>
      <c r="P260" s="32"/>
    </row>
    <row r="261" spans="2:16" ht="16.5" customHeight="1">
      <c r="B261" s="30">
        <v>21157581</v>
      </c>
      <c r="C261" s="54" t="s">
        <v>409</v>
      </c>
      <c r="D261" s="36" t="s">
        <v>87</v>
      </c>
      <c r="E261" s="30">
        <v>50</v>
      </c>
      <c r="F261" s="30" t="s">
        <v>73</v>
      </c>
      <c r="G261" s="30">
        <f t="shared" si="24"/>
        <v>51.5</v>
      </c>
      <c r="H261" s="31">
        <f t="shared" si="25"/>
        <v>50.5</v>
      </c>
      <c r="I261" s="31">
        <f t="shared" si="26"/>
        <v>52.5</v>
      </c>
      <c r="J261" s="31">
        <f t="shared" si="28"/>
        <v>50</v>
      </c>
      <c r="K261" s="32">
        <f t="shared" si="29"/>
        <v>50</v>
      </c>
      <c r="M261" s="33">
        <f t="shared" si="27"/>
        <v>0</v>
      </c>
      <c r="N261" s="33">
        <v>5.7</v>
      </c>
      <c r="P261" s="41" t="s">
        <v>88</v>
      </c>
    </row>
    <row r="262" spans="2:16" ht="16.5" customHeight="1">
      <c r="B262" s="30">
        <v>21062459</v>
      </c>
      <c r="C262" s="54" t="s">
        <v>410</v>
      </c>
      <c r="D262" s="36" t="s">
        <v>76</v>
      </c>
      <c r="E262" s="30">
        <v>150</v>
      </c>
      <c r="F262" s="30" t="s">
        <v>73</v>
      </c>
      <c r="G262" s="30">
        <f t="shared" si="24"/>
        <v>152.25</v>
      </c>
      <c r="H262" s="31">
        <f t="shared" si="25"/>
        <v>147.75</v>
      </c>
      <c r="I262" s="31">
        <f t="shared" si="26"/>
        <v>156.75</v>
      </c>
      <c r="J262" s="31">
        <f t="shared" si="28"/>
        <v>143.25</v>
      </c>
      <c r="K262" s="32">
        <f t="shared" si="29"/>
        <v>150</v>
      </c>
      <c r="M262" s="33">
        <f t="shared" si="27"/>
        <v>6.75</v>
      </c>
      <c r="N262" s="33" t="e">
        <v>#N/A</v>
      </c>
      <c r="P262" s="32"/>
    </row>
    <row r="263" spans="2:16" ht="16.5" customHeight="1">
      <c r="B263" s="30">
        <v>21161219</v>
      </c>
      <c r="C263" s="54" t="s">
        <v>411</v>
      </c>
      <c r="D263" s="36" t="s">
        <v>76</v>
      </c>
      <c r="E263" s="30">
        <v>200</v>
      </c>
      <c r="F263" s="30" t="s">
        <v>73</v>
      </c>
      <c r="G263" s="30">
        <f t="shared" si="24"/>
        <v>203</v>
      </c>
      <c r="H263" s="31">
        <f t="shared" si="25"/>
        <v>197</v>
      </c>
      <c r="I263" s="31">
        <f t="shared" si="26"/>
        <v>209</v>
      </c>
      <c r="J263" s="31">
        <f t="shared" si="28"/>
        <v>191</v>
      </c>
      <c r="K263" s="32">
        <f t="shared" si="29"/>
        <v>200</v>
      </c>
      <c r="M263" s="33">
        <f t="shared" si="27"/>
        <v>9</v>
      </c>
      <c r="N263" s="33" t="e">
        <v>#N/A</v>
      </c>
      <c r="P263" s="32" t="s">
        <v>385</v>
      </c>
    </row>
    <row r="264" spans="2:16" ht="16.5" customHeight="1">
      <c r="B264" s="30">
        <v>21161220</v>
      </c>
      <c r="C264" s="54" t="s">
        <v>412</v>
      </c>
      <c r="D264" s="36" t="s">
        <v>76</v>
      </c>
      <c r="E264" s="30">
        <v>200</v>
      </c>
      <c r="F264" s="30" t="s">
        <v>73</v>
      </c>
      <c r="G264" s="30">
        <f t="shared" si="24"/>
        <v>203</v>
      </c>
      <c r="H264" s="31">
        <f t="shared" si="25"/>
        <v>197</v>
      </c>
      <c r="I264" s="31">
        <f t="shared" si="26"/>
        <v>209</v>
      </c>
      <c r="J264" s="31">
        <f t="shared" si="28"/>
        <v>191</v>
      </c>
      <c r="K264" s="32">
        <f t="shared" si="29"/>
        <v>200</v>
      </c>
      <c r="M264" s="33">
        <f t="shared" si="27"/>
        <v>9</v>
      </c>
      <c r="N264" s="33" t="e">
        <v>#N/A</v>
      </c>
      <c r="P264" s="32" t="s">
        <v>385</v>
      </c>
    </row>
    <row r="265" spans="2:16" ht="16.5" customHeight="1">
      <c r="B265" s="30">
        <v>21160265</v>
      </c>
      <c r="C265" s="54" t="s">
        <v>413</v>
      </c>
      <c r="D265" s="36" t="s">
        <v>76</v>
      </c>
      <c r="E265" s="30">
        <v>200</v>
      </c>
      <c r="F265" s="30" t="s">
        <v>73</v>
      </c>
      <c r="G265" s="30">
        <f t="shared" si="24"/>
        <v>203</v>
      </c>
      <c r="H265" s="31">
        <f t="shared" si="25"/>
        <v>197</v>
      </c>
      <c r="I265" s="31">
        <f t="shared" si="26"/>
        <v>209</v>
      </c>
      <c r="J265" s="31">
        <f t="shared" si="28"/>
        <v>191</v>
      </c>
      <c r="K265" s="32">
        <f t="shared" si="29"/>
        <v>200</v>
      </c>
      <c r="M265" s="33">
        <f t="shared" si="27"/>
        <v>9</v>
      </c>
      <c r="N265" s="33">
        <v>8</v>
      </c>
      <c r="P265" s="32" t="s">
        <v>385</v>
      </c>
    </row>
    <row r="266" spans="2:16" ht="16.5" customHeight="1">
      <c r="B266" s="30" t="s">
        <v>414</v>
      </c>
      <c r="C266" s="54" t="s">
        <v>415</v>
      </c>
      <c r="D266" s="13" t="s">
        <v>357</v>
      </c>
      <c r="E266" s="30">
        <v>145</v>
      </c>
      <c r="F266" s="30" t="s">
        <v>73</v>
      </c>
      <c r="G266" s="30">
        <f t="shared" si="24"/>
        <v>147.17500000000001</v>
      </c>
      <c r="H266" s="31">
        <f t="shared" si="25"/>
        <v>142.82499999999999</v>
      </c>
      <c r="I266" s="31">
        <f t="shared" si="26"/>
        <v>151.52500000000001</v>
      </c>
      <c r="J266" s="31">
        <f t="shared" si="28"/>
        <v>138.47499999999999</v>
      </c>
      <c r="K266" s="32">
        <f t="shared" si="29"/>
        <v>145</v>
      </c>
      <c r="M266" s="33">
        <f t="shared" si="27"/>
        <v>6.5249999999999995</v>
      </c>
      <c r="N266" s="33" t="e">
        <v>#N/A</v>
      </c>
      <c r="P266" s="32"/>
    </row>
    <row r="267" spans="2:16" ht="16.5" customHeight="1">
      <c r="B267" s="30" t="s">
        <v>416</v>
      </c>
      <c r="C267" s="61" t="s">
        <v>417</v>
      </c>
      <c r="D267" s="13" t="s">
        <v>357</v>
      </c>
      <c r="E267" s="30">
        <v>95</v>
      </c>
      <c r="F267" s="30" t="s">
        <v>73</v>
      </c>
      <c r="G267" s="30">
        <f t="shared" si="24"/>
        <v>96.5</v>
      </c>
      <c r="H267" s="31">
        <f t="shared" si="25"/>
        <v>93.5</v>
      </c>
      <c r="I267" s="31">
        <f t="shared" si="26"/>
        <v>99.5</v>
      </c>
      <c r="J267" s="31">
        <f t="shared" si="28"/>
        <v>90.5</v>
      </c>
      <c r="K267" s="32">
        <f t="shared" si="29"/>
        <v>95</v>
      </c>
      <c r="M267" s="33">
        <f t="shared" si="27"/>
        <v>4.5</v>
      </c>
      <c r="N267" s="33" t="e">
        <v>#N/A</v>
      </c>
      <c r="P267" s="32"/>
    </row>
    <row r="268" spans="2:16" ht="16.5" customHeight="1">
      <c r="B268" s="30">
        <v>32000543</v>
      </c>
      <c r="C268" s="54" t="s">
        <v>418</v>
      </c>
      <c r="D268" s="36" t="s">
        <v>76</v>
      </c>
      <c r="E268" s="62">
        <v>90</v>
      </c>
      <c r="F268" s="63" t="s">
        <v>73</v>
      </c>
      <c r="G268" s="30">
        <f t="shared" si="24"/>
        <v>91.5</v>
      </c>
      <c r="H268" s="31">
        <f t="shared" si="25"/>
        <v>88.5</v>
      </c>
      <c r="I268" s="31">
        <f t="shared" si="26"/>
        <v>94.5</v>
      </c>
      <c r="J268" s="31">
        <f t="shared" si="28"/>
        <v>85.5</v>
      </c>
      <c r="K268" s="32">
        <f t="shared" si="29"/>
        <v>90</v>
      </c>
      <c r="M268" s="33">
        <f t="shared" si="27"/>
        <v>4.5</v>
      </c>
      <c r="N268" s="33">
        <v>6</v>
      </c>
      <c r="P268" s="32"/>
    </row>
    <row r="269" spans="2:16" ht="16.5" customHeight="1">
      <c r="B269" s="30">
        <v>21128674</v>
      </c>
      <c r="C269" s="54" t="s">
        <v>419</v>
      </c>
      <c r="D269" s="26" t="s">
        <v>205</v>
      </c>
      <c r="E269" s="30">
        <v>125</v>
      </c>
      <c r="F269" s="30" t="s">
        <v>73</v>
      </c>
      <c r="G269" s="30">
        <f t="shared" si="24"/>
        <v>126.875</v>
      </c>
      <c r="H269" s="31">
        <f t="shared" si="25"/>
        <v>123.125</v>
      </c>
      <c r="I269" s="31">
        <f t="shared" si="26"/>
        <v>130.625</v>
      </c>
      <c r="J269" s="31">
        <f t="shared" si="28"/>
        <v>119.375</v>
      </c>
      <c r="K269" s="32">
        <f t="shared" si="29"/>
        <v>125</v>
      </c>
      <c r="M269" s="33">
        <f t="shared" si="27"/>
        <v>5.625</v>
      </c>
      <c r="N269" s="33">
        <v>7.2</v>
      </c>
      <c r="P269" s="32" t="s">
        <v>385</v>
      </c>
    </row>
    <row r="270" spans="2:16" ht="16.5" customHeight="1">
      <c r="B270" s="30">
        <v>21128673</v>
      </c>
      <c r="C270" s="54" t="s">
        <v>420</v>
      </c>
      <c r="D270" s="26" t="s">
        <v>205</v>
      </c>
      <c r="E270" s="30">
        <v>125</v>
      </c>
      <c r="F270" s="30" t="s">
        <v>73</v>
      </c>
      <c r="G270" s="30">
        <f t="shared" si="24"/>
        <v>126.875</v>
      </c>
      <c r="H270" s="31">
        <f t="shared" si="25"/>
        <v>123.125</v>
      </c>
      <c r="I270" s="31">
        <f t="shared" si="26"/>
        <v>130.625</v>
      </c>
      <c r="J270" s="31">
        <f t="shared" si="28"/>
        <v>119.375</v>
      </c>
      <c r="K270" s="32">
        <f t="shared" si="29"/>
        <v>125</v>
      </c>
      <c r="M270" s="33">
        <f t="shared" si="27"/>
        <v>5.625</v>
      </c>
      <c r="N270" s="33">
        <v>7.2</v>
      </c>
      <c r="P270" s="32" t="s">
        <v>385</v>
      </c>
    </row>
    <row r="271" spans="2:16" ht="16.5" customHeight="1">
      <c r="B271" s="30">
        <v>21137525</v>
      </c>
      <c r="C271" s="54" t="s">
        <v>421</v>
      </c>
      <c r="D271" s="13" t="s">
        <v>357</v>
      </c>
      <c r="E271" s="30">
        <v>22</v>
      </c>
      <c r="F271" s="30" t="s">
        <v>73</v>
      </c>
      <c r="G271" s="30">
        <f t="shared" si="24"/>
        <v>22.66</v>
      </c>
      <c r="H271" s="31">
        <f t="shared" si="25"/>
        <v>21.34</v>
      </c>
      <c r="I271" s="31">
        <f t="shared" si="26"/>
        <v>23.98</v>
      </c>
      <c r="J271" s="31">
        <f t="shared" si="28"/>
        <v>20.02</v>
      </c>
      <c r="K271" s="32">
        <f t="shared" si="29"/>
        <v>22</v>
      </c>
      <c r="M271" s="33">
        <f t="shared" si="27"/>
        <v>1.98</v>
      </c>
      <c r="N271" s="33">
        <v>2</v>
      </c>
      <c r="P271" s="32"/>
    </row>
    <row r="272" spans="2:16" ht="16.5" customHeight="1">
      <c r="B272" s="30">
        <v>21165166</v>
      </c>
      <c r="C272" s="54" t="s">
        <v>422</v>
      </c>
      <c r="D272" s="36" t="s">
        <v>76</v>
      </c>
      <c r="E272" s="30">
        <v>200</v>
      </c>
      <c r="F272" s="30" t="s">
        <v>73</v>
      </c>
      <c r="G272" s="30">
        <f t="shared" si="24"/>
        <v>203</v>
      </c>
      <c r="H272" s="31">
        <f t="shared" si="25"/>
        <v>197</v>
      </c>
      <c r="I272" s="31">
        <f t="shared" si="26"/>
        <v>209</v>
      </c>
      <c r="J272" s="31">
        <f t="shared" si="28"/>
        <v>191</v>
      </c>
      <c r="K272" s="32">
        <f t="shared" si="29"/>
        <v>200</v>
      </c>
      <c r="M272" s="33">
        <f t="shared" si="27"/>
        <v>9</v>
      </c>
      <c r="N272" s="33" t="e">
        <v>#N/A</v>
      </c>
      <c r="P272" s="32"/>
    </row>
    <row r="273" spans="2:16" ht="16.5" customHeight="1">
      <c r="B273" s="30">
        <v>21110897</v>
      </c>
      <c r="C273" s="54" t="s">
        <v>423</v>
      </c>
      <c r="D273" s="60" t="s">
        <v>424</v>
      </c>
      <c r="E273" s="30">
        <v>160</v>
      </c>
      <c r="F273" s="30" t="s">
        <v>73</v>
      </c>
      <c r="G273" s="30">
        <f t="shared" si="24"/>
        <v>162.4</v>
      </c>
      <c r="H273" s="31">
        <f t="shared" si="25"/>
        <v>157.6</v>
      </c>
      <c r="I273" s="31">
        <f t="shared" si="26"/>
        <v>167.2</v>
      </c>
      <c r="J273" s="31">
        <f t="shared" si="28"/>
        <v>152.80000000000001</v>
      </c>
      <c r="K273" s="32">
        <f t="shared" si="29"/>
        <v>160</v>
      </c>
      <c r="M273" s="33">
        <f t="shared" si="27"/>
        <v>7.1999999999999993</v>
      </c>
      <c r="N273" s="33">
        <v>7.7</v>
      </c>
      <c r="P273" s="32"/>
    </row>
    <row r="274" spans="2:16" ht="16.5" customHeight="1">
      <c r="B274" s="30">
        <v>21164051</v>
      </c>
      <c r="C274" s="54" t="s">
        <v>425</v>
      </c>
      <c r="D274" s="13" t="s">
        <v>357</v>
      </c>
      <c r="E274" s="30">
        <v>145</v>
      </c>
      <c r="F274" s="30" t="s">
        <v>73</v>
      </c>
      <c r="G274" s="30">
        <f t="shared" si="24"/>
        <v>147.17500000000001</v>
      </c>
      <c r="H274" s="31">
        <f t="shared" si="25"/>
        <v>142.82499999999999</v>
      </c>
      <c r="I274" s="31">
        <f t="shared" si="26"/>
        <v>151.52500000000001</v>
      </c>
      <c r="J274" s="31">
        <f t="shared" si="28"/>
        <v>138.47499999999999</v>
      </c>
      <c r="K274" s="32">
        <f t="shared" si="29"/>
        <v>145</v>
      </c>
      <c r="M274" s="33">
        <f t="shared" si="27"/>
        <v>6.5249999999999995</v>
      </c>
      <c r="N274" s="33" t="e">
        <v>#N/A</v>
      </c>
      <c r="P274" s="32"/>
    </row>
    <row r="275" spans="2:16" ht="16.5" customHeight="1">
      <c r="B275" s="30">
        <v>21164050</v>
      </c>
      <c r="C275" s="54" t="s">
        <v>426</v>
      </c>
      <c r="D275" s="13" t="s">
        <v>357</v>
      </c>
      <c r="E275" s="30">
        <v>95</v>
      </c>
      <c r="F275" s="30" t="s">
        <v>73</v>
      </c>
      <c r="G275" s="30">
        <f t="shared" si="24"/>
        <v>96.5</v>
      </c>
      <c r="H275" s="31">
        <f t="shared" si="25"/>
        <v>93.5</v>
      </c>
      <c r="I275" s="31">
        <f t="shared" si="26"/>
        <v>99.5</v>
      </c>
      <c r="J275" s="31">
        <f t="shared" si="28"/>
        <v>90.5</v>
      </c>
      <c r="K275" s="32">
        <f t="shared" si="29"/>
        <v>95</v>
      </c>
      <c r="M275" s="33">
        <f t="shared" si="27"/>
        <v>4.5</v>
      </c>
      <c r="N275" s="33" t="e">
        <v>#N/A</v>
      </c>
      <c r="P275" s="32"/>
    </row>
    <row r="276" spans="2:16" ht="16.5" customHeight="1">
      <c r="B276" s="30">
        <v>21164049</v>
      </c>
      <c r="C276" s="54" t="s">
        <v>427</v>
      </c>
      <c r="D276" s="13" t="s">
        <v>357</v>
      </c>
      <c r="E276" s="30">
        <v>95</v>
      </c>
      <c r="F276" s="30" t="s">
        <v>73</v>
      </c>
      <c r="G276" s="30">
        <f t="shared" si="24"/>
        <v>96.5</v>
      </c>
      <c r="H276" s="31">
        <f t="shared" si="25"/>
        <v>93.5</v>
      </c>
      <c r="I276" s="31">
        <f t="shared" si="26"/>
        <v>99.5</v>
      </c>
      <c r="J276" s="31">
        <f t="shared" si="28"/>
        <v>90.5</v>
      </c>
      <c r="K276" s="32">
        <f t="shared" si="29"/>
        <v>95</v>
      </c>
      <c r="M276" s="33">
        <f t="shared" si="27"/>
        <v>4.5</v>
      </c>
      <c r="N276" s="33" t="e">
        <v>#N/A</v>
      </c>
      <c r="P276" s="32"/>
    </row>
    <row r="277" spans="2:16" ht="16.5" customHeight="1">
      <c r="B277" s="30">
        <v>21164048</v>
      </c>
      <c r="C277" s="54" t="s">
        <v>428</v>
      </c>
      <c r="D277" s="13" t="s">
        <v>357</v>
      </c>
      <c r="E277" s="30">
        <v>145</v>
      </c>
      <c r="F277" s="30" t="s">
        <v>73</v>
      </c>
      <c r="G277" s="30">
        <f t="shared" si="24"/>
        <v>147.17500000000001</v>
      </c>
      <c r="H277" s="31">
        <f t="shared" si="25"/>
        <v>142.82499999999999</v>
      </c>
      <c r="I277" s="31">
        <f t="shared" si="26"/>
        <v>151.52500000000001</v>
      </c>
      <c r="J277" s="31">
        <f t="shared" si="28"/>
        <v>138.47499999999999</v>
      </c>
      <c r="K277" s="32">
        <f t="shared" si="29"/>
        <v>145</v>
      </c>
      <c r="M277" s="33">
        <f t="shared" si="27"/>
        <v>6.5249999999999995</v>
      </c>
      <c r="N277" s="33" t="e">
        <v>#N/A</v>
      </c>
      <c r="P277" s="32"/>
    </row>
    <row r="278" spans="2:16" ht="16.5" customHeight="1">
      <c r="B278" s="30">
        <v>21091983</v>
      </c>
      <c r="C278" s="54" t="s">
        <v>429</v>
      </c>
      <c r="D278" s="13" t="s">
        <v>430</v>
      </c>
      <c r="E278" s="30">
        <v>175</v>
      </c>
      <c r="F278" s="30" t="s">
        <v>73</v>
      </c>
      <c r="G278" s="30">
        <f t="shared" si="24"/>
        <v>177.625</v>
      </c>
      <c r="H278" s="31">
        <f t="shared" si="25"/>
        <v>172.375</v>
      </c>
      <c r="I278" s="31">
        <f t="shared" si="26"/>
        <v>182.875</v>
      </c>
      <c r="J278" s="31">
        <f t="shared" si="28"/>
        <v>167.125</v>
      </c>
      <c r="K278" s="32">
        <f t="shared" si="29"/>
        <v>175</v>
      </c>
      <c r="M278" s="33">
        <f t="shared" si="27"/>
        <v>7.875</v>
      </c>
      <c r="N278" s="33">
        <v>7.2</v>
      </c>
      <c r="P278" s="32"/>
    </row>
    <row r="279" spans="2:16" ht="16.5" customHeight="1">
      <c r="B279" s="30">
        <v>21091980</v>
      </c>
      <c r="C279" s="54" t="s">
        <v>431</v>
      </c>
      <c r="D279" s="13" t="s">
        <v>430</v>
      </c>
      <c r="E279" s="30">
        <v>15</v>
      </c>
      <c r="F279" s="30" t="s">
        <v>73</v>
      </c>
      <c r="G279" s="30">
        <f t="shared" si="24"/>
        <v>15.45</v>
      </c>
      <c r="H279" s="31">
        <f t="shared" si="25"/>
        <v>14.55</v>
      </c>
      <c r="I279" s="31">
        <f t="shared" si="26"/>
        <v>16.350000000000001</v>
      </c>
      <c r="J279" s="31">
        <f t="shared" si="28"/>
        <v>13.65</v>
      </c>
      <c r="K279" s="32">
        <f t="shared" si="29"/>
        <v>15</v>
      </c>
      <c r="L279" s="32"/>
      <c r="M279" s="33">
        <f t="shared" si="27"/>
        <v>1.3499999999999999</v>
      </c>
      <c r="N279" s="33">
        <v>1</v>
      </c>
      <c r="P279" s="32"/>
    </row>
    <row r="280" spans="2:16" ht="16.5" customHeight="1">
      <c r="B280" s="30">
        <v>67020013</v>
      </c>
      <c r="C280" s="54" t="s">
        <v>432</v>
      </c>
      <c r="D280" s="26" t="s">
        <v>76</v>
      </c>
      <c r="E280" s="53">
        <v>200</v>
      </c>
      <c r="F280" s="29" t="s">
        <v>73</v>
      </c>
      <c r="G280" s="30">
        <f t="shared" si="24"/>
        <v>203</v>
      </c>
      <c r="H280" s="31">
        <f t="shared" si="25"/>
        <v>197</v>
      </c>
      <c r="I280" s="31">
        <f t="shared" si="26"/>
        <v>209</v>
      </c>
      <c r="J280" s="31">
        <f t="shared" si="28"/>
        <v>191</v>
      </c>
      <c r="K280" s="32">
        <f t="shared" si="29"/>
        <v>200</v>
      </c>
      <c r="L280" s="32"/>
      <c r="M280" s="33">
        <f t="shared" si="27"/>
        <v>9</v>
      </c>
      <c r="N280" s="33">
        <v>8</v>
      </c>
      <c r="P280" s="32" t="s">
        <v>385</v>
      </c>
    </row>
    <row r="281" spans="2:16" ht="16.5" customHeight="1">
      <c r="B281" s="30">
        <v>67019913</v>
      </c>
      <c r="C281" s="64" t="s">
        <v>433</v>
      </c>
      <c r="D281" s="26" t="s">
        <v>76</v>
      </c>
      <c r="E281" s="30">
        <v>100</v>
      </c>
      <c r="F281" s="29" t="s">
        <v>73</v>
      </c>
      <c r="G281" s="30">
        <f t="shared" si="24"/>
        <v>101.5</v>
      </c>
      <c r="H281" s="31">
        <f t="shared" si="25"/>
        <v>98.5</v>
      </c>
      <c r="I281" s="31">
        <f t="shared" si="26"/>
        <v>104.5</v>
      </c>
      <c r="J281" s="31">
        <f t="shared" si="28"/>
        <v>95.5</v>
      </c>
      <c r="K281" s="32">
        <f t="shared" si="29"/>
        <v>100</v>
      </c>
      <c r="M281" s="33">
        <f t="shared" si="27"/>
        <v>4.5</v>
      </c>
      <c r="N281" s="33">
        <v>5.8</v>
      </c>
      <c r="P281" s="32"/>
    </row>
    <row r="282" spans="2:16" ht="16.5" customHeight="1">
      <c r="B282" s="30">
        <v>21091984</v>
      </c>
      <c r="C282" s="54" t="s">
        <v>434</v>
      </c>
      <c r="D282" s="36" t="s">
        <v>226</v>
      </c>
      <c r="E282" s="55">
        <v>65</v>
      </c>
      <c r="F282" s="30" t="s">
        <v>73</v>
      </c>
      <c r="G282" s="30">
        <f t="shared" si="24"/>
        <v>66.5</v>
      </c>
      <c r="H282" s="31">
        <f t="shared" si="25"/>
        <v>63.5</v>
      </c>
      <c r="I282" s="31">
        <f t="shared" si="26"/>
        <v>69.5</v>
      </c>
      <c r="J282" s="31">
        <f t="shared" si="28"/>
        <v>60.5</v>
      </c>
      <c r="K282" s="32">
        <f t="shared" si="29"/>
        <v>65</v>
      </c>
      <c r="L282" s="32"/>
      <c r="M282" s="33">
        <f t="shared" si="27"/>
        <v>4.5</v>
      </c>
      <c r="N282" s="33">
        <v>4.5999999999999996</v>
      </c>
      <c r="P282" s="32" t="s">
        <v>385</v>
      </c>
    </row>
    <row r="283" spans="2:16" ht="16.5" customHeight="1">
      <c r="B283" s="30">
        <v>21091979</v>
      </c>
      <c r="C283" s="54" t="s">
        <v>435</v>
      </c>
      <c r="D283" s="36" t="s">
        <v>226</v>
      </c>
      <c r="E283" s="53">
        <v>35</v>
      </c>
      <c r="F283" s="29" t="s">
        <v>73</v>
      </c>
      <c r="G283" s="30">
        <f t="shared" si="24"/>
        <v>36.049999999999997</v>
      </c>
      <c r="H283" s="31">
        <f t="shared" si="25"/>
        <v>33.950000000000003</v>
      </c>
      <c r="I283" s="31">
        <f t="shared" si="26"/>
        <v>38.15</v>
      </c>
      <c r="J283" s="31">
        <f t="shared" si="28"/>
        <v>31.85</v>
      </c>
      <c r="K283" s="32">
        <f t="shared" si="29"/>
        <v>35</v>
      </c>
      <c r="M283" s="33">
        <f t="shared" si="27"/>
        <v>3.15</v>
      </c>
      <c r="N283" s="33">
        <v>3.8</v>
      </c>
      <c r="P283" s="32" t="s">
        <v>385</v>
      </c>
    </row>
    <row r="284" spans="2:16" ht="16.5" customHeight="1">
      <c r="B284" s="30">
        <v>21103281</v>
      </c>
      <c r="C284" s="54" t="s">
        <v>436</v>
      </c>
      <c r="D284" s="36" t="s">
        <v>76</v>
      </c>
      <c r="E284" s="30">
        <v>200</v>
      </c>
      <c r="F284" s="30" t="s">
        <v>73</v>
      </c>
      <c r="G284" s="30">
        <f t="shared" si="24"/>
        <v>203</v>
      </c>
      <c r="H284" s="31">
        <f t="shared" si="25"/>
        <v>197</v>
      </c>
      <c r="I284" s="31">
        <f t="shared" si="26"/>
        <v>209</v>
      </c>
      <c r="J284" s="31">
        <f t="shared" si="28"/>
        <v>191</v>
      </c>
      <c r="K284" s="32">
        <f t="shared" si="29"/>
        <v>200</v>
      </c>
      <c r="M284" s="33">
        <f t="shared" si="27"/>
        <v>9</v>
      </c>
      <c r="N284" s="33">
        <v>7.5</v>
      </c>
      <c r="P284" s="32" t="s">
        <v>385</v>
      </c>
    </row>
    <row r="285" spans="2:16" ht="16.5" customHeight="1">
      <c r="B285" s="30">
        <v>21091982</v>
      </c>
      <c r="C285" s="54" t="s">
        <v>437</v>
      </c>
      <c r="D285" s="36" t="s">
        <v>226</v>
      </c>
      <c r="E285" s="30">
        <v>150</v>
      </c>
      <c r="F285" s="30" t="s">
        <v>73</v>
      </c>
      <c r="G285" s="30">
        <f t="shared" si="24"/>
        <v>152.25</v>
      </c>
      <c r="H285" s="31">
        <f t="shared" si="25"/>
        <v>147.75</v>
      </c>
      <c r="I285" s="31">
        <f t="shared" si="26"/>
        <v>156.75</v>
      </c>
      <c r="J285" s="31">
        <f t="shared" si="28"/>
        <v>143.25</v>
      </c>
      <c r="K285" s="32">
        <f t="shared" si="29"/>
        <v>150</v>
      </c>
      <c r="M285" s="33">
        <f t="shared" si="27"/>
        <v>6.75</v>
      </c>
      <c r="N285" s="33">
        <v>6.8</v>
      </c>
      <c r="P285" s="32" t="s">
        <v>385</v>
      </c>
    </row>
    <row r="286" spans="2:16" ht="16.5" customHeight="1">
      <c r="B286" s="30">
        <v>67019919</v>
      </c>
      <c r="C286" s="54" t="s">
        <v>438</v>
      </c>
      <c r="D286" s="26" t="s">
        <v>76</v>
      </c>
      <c r="E286" s="53">
        <v>200</v>
      </c>
      <c r="F286" s="29" t="s">
        <v>73</v>
      </c>
      <c r="G286" s="30">
        <f t="shared" si="24"/>
        <v>203</v>
      </c>
      <c r="H286" s="31">
        <f t="shared" si="25"/>
        <v>197</v>
      </c>
      <c r="I286" s="31">
        <f t="shared" si="26"/>
        <v>209</v>
      </c>
      <c r="J286" s="31">
        <f t="shared" si="28"/>
        <v>191</v>
      </c>
      <c r="K286" s="32">
        <f t="shared" si="29"/>
        <v>200</v>
      </c>
      <c r="M286" s="33">
        <f t="shared" si="27"/>
        <v>9</v>
      </c>
      <c r="N286" s="33">
        <v>8.5</v>
      </c>
      <c r="P286" s="32" t="s">
        <v>385</v>
      </c>
    </row>
    <row r="287" spans="2:16" ht="16.5" customHeight="1">
      <c r="B287" s="65">
        <v>67022208</v>
      </c>
      <c r="C287" s="54" t="s">
        <v>439</v>
      </c>
      <c r="D287" s="26" t="s">
        <v>76</v>
      </c>
      <c r="E287" s="30">
        <v>140</v>
      </c>
      <c r="F287" s="29" t="s">
        <v>73</v>
      </c>
      <c r="G287" s="30">
        <f t="shared" si="24"/>
        <v>142.1</v>
      </c>
      <c r="H287" s="31">
        <f t="shared" si="25"/>
        <v>137.9</v>
      </c>
      <c r="I287" s="31">
        <f t="shared" si="26"/>
        <v>146.30000000000001</v>
      </c>
      <c r="J287" s="31">
        <f t="shared" si="28"/>
        <v>133.69999999999999</v>
      </c>
      <c r="K287" s="32">
        <f t="shared" si="29"/>
        <v>140</v>
      </c>
      <c r="M287" s="33">
        <f t="shared" si="27"/>
        <v>6.3</v>
      </c>
      <c r="N287" s="33">
        <v>7.6</v>
      </c>
      <c r="P287" s="32"/>
    </row>
    <row r="288" spans="2:16" ht="16.5" customHeight="1">
      <c r="B288" s="65">
        <v>67022203</v>
      </c>
      <c r="C288" s="65" t="s">
        <v>440</v>
      </c>
      <c r="D288" s="26" t="s">
        <v>76</v>
      </c>
      <c r="E288" s="30">
        <v>140</v>
      </c>
      <c r="F288" s="29" t="s">
        <v>73</v>
      </c>
      <c r="G288" s="30">
        <f t="shared" si="24"/>
        <v>142.1</v>
      </c>
      <c r="H288" s="31">
        <f t="shared" si="25"/>
        <v>137.9</v>
      </c>
      <c r="I288" s="31">
        <f t="shared" si="26"/>
        <v>146.30000000000001</v>
      </c>
      <c r="J288" s="31">
        <f t="shared" si="28"/>
        <v>133.69999999999999</v>
      </c>
      <c r="K288" s="32">
        <f t="shared" si="29"/>
        <v>140</v>
      </c>
      <c r="M288" s="33">
        <f t="shared" si="27"/>
        <v>6.3</v>
      </c>
      <c r="N288" s="33">
        <v>7.6</v>
      </c>
      <c r="P288" s="32"/>
    </row>
    <row r="289" spans="2:16" ht="16.5" customHeight="1">
      <c r="B289" s="30">
        <v>67020476</v>
      </c>
      <c r="C289" s="54" t="s">
        <v>441</v>
      </c>
      <c r="D289" s="36" t="s">
        <v>76</v>
      </c>
      <c r="E289" s="30">
        <v>200</v>
      </c>
      <c r="F289" s="30" t="s">
        <v>73</v>
      </c>
      <c r="G289" s="30">
        <f t="shared" si="24"/>
        <v>203</v>
      </c>
      <c r="H289" s="31">
        <f t="shared" si="25"/>
        <v>197</v>
      </c>
      <c r="I289" s="31">
        <f t="shared" si="26"/>
        <v>209</v>
      </c>
      <c r="J289" s="31">
        <f t="shared" si="28"/>
        <v>191</v>
      </c>
      <c r="K289" s="32">
        <f t="shared" si="29"/>
        <v>200</v>
      </c>
      <c r="M289" s="33">
        <f t="shared" si="27"/>
        <v>9</v>
      </c>
      <c r="N289" s="33">
        <v>8.9</v>
      </c>
      <c r="P289" s="32" t="s">
        <v>385</v>
      </c>
    </row>
    <row r="290" spans="2:16" ht="16.5" customHeight="1">
      <c r="B290" s="30">
        <v>67020480</v>
      </c>
      <c r="C290" s="54" t="s">
        <v>442</v>
      </c>
      <c r="D290" s="36" t="s">
        <v>76</v>
      </c>
      <c r="E290" s="30">
        <v>200</v>
      </c>
      <c r="F290" s="30" t="s">
        <v>73</v>
      </c>
      <c r="G290" s="30">
        <f t="shared" si="24"/>
        <v>203</v>
      </c>
      <c r="H290" s="31">
        <f t="shared" si="25"/>
        <v>197</v>
      </c>
      <c r="I290" s="31">
        <f t="shared" si="26"/>
        <v>209</v>
      </c>
      <c r="J290" s="31">
        <f t="shared" si="28"/>
        <v>191</v>
      </c>
      <c r="K290" s="32">
        <f t="shared" si="29"/>
        <v>200</v>
      </c>
      <c r="M290" s="33">
        <f t="shared" si="27"/>
        <v>9</v>
      </c>
      <c r="N290" s="33">
        <v>9</v>
      </c>
      <c r="P290" s="32"/>
    </row>
    <row r="291" spans="2:16" ht="16.5" customHeight="1">
      <c r="B291" s="30">
        <v>67020614</v>
      </c>
      <c r="C291" s="54" t="s">
        <v>443</v>
      </c>
      <c r="D291" s="36" t="s">
        <v>76</v>
      </c>
      <c r="E291" s="30">
        <v>200</v>
      </c>
      <c r="F291" s="30" t="s">
        <v>73</v>
      </c>
      <c r="G291" s="30">
        <f t="shared" si="24"/>
        <v>203</v>
      </c>
      <c r="H291" s="31">
        <f t="shared" si="25"/>
        <v>197</v>
      </c>
      <c r="I291" s="31">
        <f t="shared" si="26"/>
        <v>209</v>
      </c>
      <c r="J291" s="31">
        <f t="shared" si="28"/>
        <v>191</v>
      </c>
      <c r="K291" s="32">
        <f t="shared" si="29"/>
        <v>200</v>
      </c>
      <c r="M291" s="33">
        <f t="shared" si="27"/>
        <v>9</v>
      </c>
      <c r="N291" s="33">
        <v>9</v>
      </c>
      <c r="P291" s="32"/>
    </row>
    <row r="292" spans="2:16" ht="16.5" customHeight="1">
      <c r="B292" s="30">
        <v>21161412</v>
      </c>
      <c r="C292" s="54" t="s">
        <v>444</v>
      </c>
      <c r="D292" s="36" t="s">
        <v>76</v>
      </c>
      <c r="E292" s="30">
        <v>140</v>
      </c>
      <c r="F292" s="29" t="s">
        <v>73</v>
      </c>
      <c r="G292" s="30">
        <f t="shared" si="24"/>
        <v>142.1</v>
      </c>
      <c r="H292" s="31">
        <f t="shared" si="25"/>
        <v>137.9</v>
      </c>
      <c r="I292" s="31">
        <f t="shared" si="26"/>
        <v>146.30000000000001</v>
      </c>
      <c r="J292" s="31">
        <f t="shared" si="28"/>
        <v>133.69999999999999</v>
      </c>
      <c r="K292" s="32">
        <f t="shared" si="29"/>
        <v>140</v>
      </c>
      <c r="M292" s="33">
        <f t="shared" si="27"/>
        <v>6.3</v>
      </c>
      <c r="N292" s="33">
        <v>7.6</v>
      </c>
      <c r="P292" s="32"/>
    </row>
    <row r="293" spans="2:16" ht="16.5" customHeight="1">
      <c r="B293" s="30">
        <v>67019603</v>
      </c>
      <c r="C293" s="54" t="s">
        <v>445</v>
      </c>
      <c r="D293" s="36" t="s">
        <v>76</v>
      </c>
      <c r="E293" s="30">
        <v>200</v>
      </c>
      <c r="F293" s="29" t="s">
        <v>73</v>
      </c>
      <c r="G293" s="30">
        <f t="shared" si="24"/>
        <v>203</v>
      </c>
      <c r="H293" s="31">
        <f t="shared" si="25"/>
        <v>197</v>
      </c>
      <c r="I293" s="31">
        <f t="shared" si="26"/>
        <v>209</v>
      </c>
      <c r="J293" s="31">
        <f t="shared" si="28"/>
        <v>191</v>
      </c>
      <c r="K293" s="32">
        <f t="shared" si="29"/>
        <v>200</v>
      </c>
      <c r="M293" s="33">
        <f t="shared" si="27"/>
        <v>9</v>
      </c>
      <c r="N293" s="33">
        <v>8</v>
      </c>
      <c r="P293" s="32"/>
    </row>
    <row r="294" spans="2:16" ht="16.5" customHeight="1">
      <c r="B294" s="30">
        <v>21158224</v>
      </c>
      <c r="C294" s="54" t="s">
        <v>446</v>
      </c>
      <c r="D294" s="13" t="s">
        <v>430</v>
      </c>
      <c r="E294" s="30">
        <v>140</v>
      </c>
      <c r="F294" s="29" t="s">
        <v>73</v>
      </c>
      <c r="G294" s="30">
        <f t="shared" si="24"/>
        <v>142.1</v>
      </c>
      <c r="H294" s="31">
        <f t="shared" si="25"/>
        <v>137.9</v>
      </c>
      <c r="I294" s="31">
        <f t="shared" si="26"/>
        <v>146.30000000000001</v>
      </c>
      <c r="J294" s="31">
        <f t="shared" si="28"/>
        <v>133.69999999999999</v>
      </c>
      <c r="K294" s="32">
        <f t="shared" si="29"/>
        <v>140</v>
      </c>
      <c r="M294" s="33">
        <f t="shared" si="27"/>
        <v>6.3</v>
      </c>
      <c r="N294" s="33">
        <v>7.2</v>
      </c>
      <c r="P294" s="32"/>
    </row>
    <row r="295" spans="2:16" ht="16.5" customHeight="1">
      <c r="B295" s="30">
        <v>21165013</v>
      </c>
      <c r="C295" s="54" t="s">
        <v>447</v>
      </c>
      <c r="D295" s="13" t="s">
        <v>448</v>
      </c>
      <c r="E295" s="30">
        <v>150</v>
      </c>
      <c r="F295" s="30" t="s">
        <v>73</v>
      </c>
      <c r="G295" s="30">
        <f t="shared" si="24"/>
        <v>152.25</v>
      </c>
      <c r="H295" s="31">
        <f t="shared" si="25"/>
        <v>147.75</v>
      </c>
      <c r="I295" s="31">
        <f t="shared" si="26"/>
        <v>156.75</v>
      </c>
      <c r="J295" s="31">
        <f t="shared" si="28"/>
        <v>143.25</v>
      </c>
      <c r="K295" s="32">
        <f t="shared" si="29"/>
        <v>150</v>
      </c>
      <c r="M295" s="33">
        <f t="shared" si="27"/>
        <v>6.75</v>
      </c>
      <c r="N295" s="33">
        <v>6.8</v>
      </c>
      <c r="P295" s="32"/>
    </row>
    <row r="296" spans="2:16" ht="16.5" customHeight="1">
      <c r="B296" s="30">
        <v>21165014</v>
      </c>
      <c r="C296" s="54" t="s">
        <v>449</v>
      </c>
      <c r="D296" s="13" t="s">
        <v>448</v>
      </c>
      <c r="E296" s="53">
        <v>35</v>
      </c>
      <c r="F296" s="29" t="s">
        <v>73</v>
      </c>
      <c r="G296" s="30">
        <f t="shared" si="24"/>
        <v>36.049999999999997</v>
      </c>
      <c r="H296" s="31">
        <f t="shared" si="25"/>
        <v>33.950000000000003</v>
      </c>
      <c r="I296" s="31">
        <f t="shared" si="26"/>
        <v>38.15</v>
      </c>
      <c r="J296" s="31">
        <f t="shared" si="28"/>
        <v>31.85</v>
      </c>
      <c r="K296" s="32">
        <f t="shared" si="29"/>
        <v>35</v>
      </c>
      <c r="M296" s="33">
        <f t="shared" si="27"/>
        <v>3.15</v>
      </c>
      <c r="N296" s="33">
        <v>3.7</v>
      </c>
      <c r="P296" s="32"/>
    </row>
    <row r="297" spans="2:16" ht="16.5" customHeight="1">
      <c r="B297" s="30">
        <v>21165016</v>
      </c>
      <c r="C297" s="54" t="s">
        <v>450</v>
      </c>
      <c r="D297" s="13" t="s">
        <v>448</v>
      </c>
      <c r="E297" s="30">
        <v>140</v>
      </c>
      <c r="F297" s="29" t="s">
        <v>73</v>
      </c>
      <c r="G297" s="30">
        <f t="shared" si="24"/>
        <v>142.1</v>
      </c>
      <c r="H297" s="31">
        <f t="shared" si="25"/>
        <v>137.9</v>
      </c>
      <c r="I297" s="31">
        <f t="shared" si="26"/>
        <v>146.30000000000001</v>
      </c>
      <c r="J297" s="31">
        <f t="shared" si="28"/>
        <v>133.69999999999999</v>
      </c>
      <c r="K297" s="32">
        <f t="shared" si="29"/>
        <v>140</v>
      </c>
      <c r="M297" s="33">
        <f t="shared" si="27"/>
        <v>6.3</v>
      </c>
      <c r="N297" s="33">
        <v>7.2</v>
      </c>
      <c r="P297" s="32"/>
    </row>
    <row r="298" spans="2:16" ht="16.5" customHeight="1">
      <c r="B298" s="30">
        <v>67044129</v>
      </c>
      <c r="C298" s="54" t="s">
        <v>451</v>
      </c>
      <c r="D298" s="36" t="s">
        <v>76</v>
      </c>
      <c r="E298" s="30">
        <v>200</v>
      </c>
      <c r="F298" s="30" t="s">
        <v>73</v>
      </c>
      <c r="G298" s="30">
        <f t="shared" si="24"/>
        <v>203</v>
      </c>
      <c r="H298" s="31">
        <f t="shared" si="25"/>
        <v>197</v>
      </c>
      <c r="I298" s="31">
        <f t="shared" si="26"/>
        <v>209</v>
      </c>
      <c r="J298" s="31">
        <f t="shared" si="28"/>
        <v>191</v>
      </c>
      <c r="K298" s="32">
        <f t="shared" si="29"/>
        <v>200</v>
      </c>
      <c r="M298" s="33">
        <f t="shared" si="27"/>
        <v>9</v>
      </c>
      <c r="N298" s="33" t="e">
        <v>#N/A</v>
      </c>
      <c r="P298" s="32"/>
    </row>
    <row r="299" spans="2:16" ht="16.5" customHeight="1">
      <c r="B299" s="30">
        <v>67044132</v>
      </c>
      <c r="C299" s="54" t="s">
        <v>452</v>
      </c>
      <c r="D299" s="36" t="s">
        <v>76</v>
      </c>
      <c r="E299" s="30">
        <v>200</v>
      </c>
      <c r="F299" s="30" t="s">
        <v>73</v>
      </c>
      <c r="G299" s="30">
        <f t="shared" si="24"/>
        <v>203</v>
      </c>
      <c r="H299" s="31">
        <f t="shared" si="25"/>
        <v>197</v>
      </c>
      <c r="I299" s="31">
        <f t="shared" si="26"/>
        <v>209</v>
      </c>
      <c r="J299" s="31">
        <f t="shared" si="28"/>
        <v>191</v>
      </c>
      <c r="K299" s="32">
        <f t="shared" si="29"/>
        <v>200</v>
      </c>
      <c r="M299" s="33">
        <f t="shared" si="27"/>
        <v>9</v>
      </c>
      <c r="N299" s="33" t="e">
        <v>#N/A</v>
      </c>
      <c r="P299" s="32"/>
    </row>
    <row r="300" spans="2:16" ht="16.5" customHeight="1">
      <c r="B300" s="30">
        <v>67051203</v>
      </c>
      <c r="C300" s="54" t="s">
        <v>453</v>
      </c>
      <c r="D300" s="36" t="s">
        <v>76</v>
      </c>
      <c r="E300" s="30">
        <v>200</v>
      </c>
      <c r="F300" s="30" t="s">
        <v>73</v>
      </c>
      <c r="G300" s="30">
        <f t="shared" si="24"/>
        <v>203</v>
      </c>
      <c r="H300" s="31">
        <f t="shared" si="25"/>
        <v>197</v>
      </c>
      <c r="I300" s="31">
        <f t="shared" si="26"/>
        <v>209</v>
      </c>
      <c r="J300" s="31">
        <f t="shared" si="28"/>
        <v>191</v>
      </c>
      <c r="K300" s="32">
        <f t="shared" si="29"/>
        <v>200</v>
      </c>
      <c r="M300" s="33">
        <f t="shared" si="27"/>
        <v>9</v>
      </c>
      <c r="N300" s="33" t="e">
        <v>#N/A</v>
      </c>
      <c r="P300" s="32"/>
    </row>
    <row r="301" spans="2:16" ht="16.5" customHeight="1">
      <c r="B301" s="30">
        <v>67051205</v>
      </c>
      <c r="C301" s="54" t="s">
        <v>454</v>
      </c>
      <c r="D301" s="36" t="s">
        <v>76</v>
      </c>
      <c r="E301" s="30">
        <v>200</v>
      </c>
      <c r="F301" s="30" t="s">
        <v>73</v>
      </c>
      <c r="G301" s="30">
        <f t="shared" si="24"/>
        <v>203</v>
      </c>
      <c r="H301" s="31">
        <f t="shared" si="25"/>
        <v>197</v>
      </c>
      <c r="I301" s="31">
        <f t="shared" si="26"/>
        <v>209</v>
      </c>
      <c r="J301" s="31">
        <f t="shared" si="28"/>
        <v>191</v>
      </c>
      <c r="K301" s="32">
        <f t="shared" si="29"/>
        <v>200</v>
      </c>
      <c r="M301" s="33">
        <f t="shared" si="27"/>
        <v>9</v>
      </c>
      <c r="N301" s="33" t="e">
        <v>#N/A</v>
      </c>
      <c r="P301" s="32"/>
    </row>
    <row r="302" spans="2:16" ht="16.5" customHeight="1">
      <c r="B302" s="30">
        <v>21103291</v>
      </c>
      <c r="C302" s="54" t="s">
        <v>455</v>
      </c>
      <c r="D302" s="36" t="s">
        <v>76</v>
      </c>
      <c r="E302" s="30">
        <v>100</v>
      </c>
      <c r="F302" s="30" t="s">
        <v>73</v>
      </c>
      <c r="G302" s="30">
        <f t="shared" si="24"/>
        <v>101.5</v>
      </c>
      <c r="H302" s="31">
        <f t="shared" si="25"/>
        <v>98.5</v>
      </c>
      <c r="I302" s="31">
        <f t="shared" si="26"/>
        <v>104.5</v>
      </c>
      <c r="J302" s="31">
        <f t="shared" si="28"/>
        <v>95.5</v>
      </c>
      <c r="K302" s="32">
        <f t="shared" si="29"/>
        <v>100</v>
      </c>
      <c r="M302" s="33">
        <f t="shared" si="27"/>
        <v>4.5</v>
      </c>
      <c r="N302" s="33">
        <v>7</v>
      </c>
      <c r="P302" s="32"/>
    </row>
    <row r="303" spans="2:16" ht="16.5" customHeight="1">
      <c r="B303" s="30">
        <v>67054624</v>
      </c>
      <c r="C303" s="54" t="s">
        <v>456</v>
      </c>
      <c r="D303" s="36" t="s">
        <v>76</v>
      </c>
      <c r="E303" s="30">
        <v>230</v>
      </c>
      <c r="F303" s="30" t="s">
        <v>73</v>
      </c>
      <c r="G303" s="30">
        <f t="shared" si="24"/>
        <v>233</v>
      </c>
      <c r="H303" s="31">
        <f t="shared" si="25"/>
        <v>227</v>
      </c>
      <c r="I303" s="31">
        <f t="shared" si="26"/>
        <v>239</v>
      </c>
      <c r="J303" s="31">
        <f t="shared" si="28"/>
        <v>221</v>
      </c>
      <c r="K303" s="32">
        <f t="shared" si="29"/>
        <v>230</v>
      </c>
      <c r="M303" s="33">
        <f t="shared" si="27"/>
        <v>9</v>
      </c>
      <c r="N303" s="33" t="e">
        <v>#N/A</v>
      </c>
      <c r="P303" s="32"/>
    </row>
    <row r="304" spans="2:16" ht="16.5" customHeight="1">
      <c r="B304" s="30">
        <v>67054622</v>
      </c>
      <c r="C304" s="54" t="s">
        <v>457</v>
      </c>
      <c r="D304" s="36" t="s">
        <v>76</v>
      </c>
      <c r="E304" s="30">
        <v>230</v>
      </c>
      <c r="F304" s="30" t="s">
        <v>73</v>
      </c>
      <c r="G304" s="30">
        <f t="shared" si="24"/>
        <v>233</v>
      </c>
      <c r="H304" s="31">
        <f t="shared" si="25"/>
        <v>227</v>
      </c>
      <c r="I304" s="31">
        <f t="shared" si="26"/>
        <v>239</v>
      </c>
      <c r="J304" s="31">
        <f t="shared" si="28"/>
        <v>221</v>
      </c>
      <c r="K304" s="32">
        <f t="shared" si="29"/>
        <v>230</v>
      </c>
      <c r="M304" s="33">
        <f t="shared" si="27"/>
        <v>9</v>
      </c>
      <c r="N304" s="33">
        <v>9.1</v>
      </c>
      <c r="P304" s="32"/>
    </row>
    <row r="305" spans="1:16" ht="16.5" customHeight="1">
      <c r="B305" s="30">
        <v>32006403</v>
      </c>
      <c r="C305" s="54" t="s">
        <v>458</v>
      </c>
      <c r="D305" s="36" t="s">
        <v>76</v>
      </c>
      <c r="E305" s="30">
        <v>150</v>
      </c>
      <c r="F305" s="30" t="s">
        <v>73</v>
      </c>
      <c r="G305" s="30">
        <f t="shared" si="24"/>
        <v>152.25</v>
      </c>
      <c r="H305" s="31">
        <f t="shared" si="25"/>
        <v>147.75</v>
      </c>
      <c r="I305" s="31">
        <f t="shared" si="26"/>
        <v>156.75</v>
      </c>
      <c r="J305" s="31">
        <f t="shared" si="28"/>
        <v>143.25</v>
      </c>
      <c r="K305" s="32">
        <f t="shared" si="29"/>
        <v>150</v>
      </c>
      <c r="M305" s="33">
        <f t="shared" si="27"/>
        <v>6.75</v>
      </c>
      <c r="N305" s="33">
        <v>9.6</v>
      </c>
      <c r="P305" s="32"/>
    </row>
    <row r="306" spans="1:16" ht="16.5" customHeight="1">
      <c r="B306" s="30">
        <v>32006408</v>
      </c>
      <c r="C306" s="54" t="s">
        <v>459</v>
      </c>
      <c r="D306" s="36" t="s">
        <v>76</v>
      </c>
      <c r="E306" s="30">
        <v>150</v>
      </c>
      <c r="F306" s="30" t="s">
        <v>73</v>
      </c>
      <c r="G306" s="30">
        <f t="shared" si="24"/>
        <v>152.25</v>
      </c>
      <c r="H306" s="31">
        <f t="shared" si="25"/>
        <v>147.75</v>
      </c>
      <c r="I306" s="31">
        <f t="shared" si="26"/>
        <v>156.75</v>
      </c>
      <c r="J306" s="31">
        <f t="shared" si="28"/>
        <v>143.25</v>
      </c>
      <c r="K306" s="32">
        <f t="shared" si="29"/>
        <v>150</v>
      </c>
      <c r="M306" s="33">
        <f t="shared" si="27"/>
        <v>6.75</v>
      </c>
      <c r="N306" s="33" t="e">
        <v>#N/A</v>
      </c>
      <c r="P306" s="32"/>
    </row>
    <row r="307" spans="1:16" ht="16.5" customHeight="1">
      <c r="B307" s="30">
        <v>32006407</v>
      </c>
      <c r="C307" s="54" t="s">
        <v>460</v>
      </c>
      <c r="D307" s="36" t="s">
        <v>76</v>
      </c>
      <c r="E307" s="30">
        <v>150</v>
      </c>
      <c r="F307" s="30" t="s">
        <v>73</v>
      </c>
      <c r="G307" s="30">
        <f t="shared" si="24"/>
        <v>152.25</v>
      </c>
      <c r="H307" s="31">
        <f t="shared" si="25"/>
        <v>147.75</v>
      </c>
      <c r="I307" s="31">
        <f t="shared" si="26"/>
        <v>156.75</v>
      </c>
      <c r="J307" s="31">
        <f t="shared" si="28"/>
        <v>143.25</v>
      </c>
      <c r="K307" s="32">
        <f t="shared" si="29"/>
        <v>150</v>
      </c>
      <c r="M307" s="33">
        <f t="shared" si="27"/>
        <v>6.75</v>
      </c>
      <c r="N307" s="33">
        <v>9.6</v>
      </c>
      <c r="P307" s="32"/>
    </row>
    <row r="308" spans="1:16" ht="16.5" customHeight="1">
      <c r="B308" s="30">
        <v>67063522</v>
      </c>
      <c r="C308" s="54" t="s">
        <v>461</v>
      </c>
      <c r="D308" s="36" t="s">
        <v>76</v>
      </c>
      <c r="E308" s="30">
        <v>100</v>
      </c>
      <c r="F308" s="30" t="s">
        <v>73</v>
      </c>
      <c r="G308" s="30">
        <f t="shared" si="24"/>
        <v>101.5</v>
      </c>
      <c r="H308" s="31">
        <f t="shared" si="25"/>
        <v>98.5</v>
      </c>
      <c r="I308" s="31">
        <f t="shared" si="26"/>
        <v>104.5</v>
      </c>
      <c r="J308" s="31">
        <f t="shared" si="28"/>
        <v>95.5</v>
      </c>
      <c r="K308" s="32">
        <f t="shared" si="29"/>
        <v>100</v>
      </c>
      <c r="M308" s="33">
        <f t="shared" si="27"/>
        <v>4.5</v>
      </c>
      <c r="N308" s="33">
        <v>7</v>
      </c>
      <c r="P308" s="32"/>
    </row>
    <row r="309" spans="1:16" ht="16.5" customHeight="1">
      <c r="B309" s="30">
        <v>67063526</v>
      </c>
      <c r="C309" s="54" t="s">
        <v>462</v>
      </c>
      <c r="D309" s="36" t="s">
        <v>76</v>
      </c>
      <c r="E309" s="30">
        <v>100</v>
      </c>
      <c r="F309" s="30" t="s">
        <v>73</v>
      </c>
      <c r="G309" s="30">
        <f t="shared" si="24"/>
        <v>101.5</v>
      </c>
      <c r="H309" s="31">
        <f t="shared" si="25"/>
        <v>98.5</v>
      </c>
      <c r="I309" s="31">
        <f t="shared" si="26"/>
        <v>104.5</v>
      </c>
      <c r="J309" s="31">
        <f t="shared" si="28"/>
        <v>95.5</v>
      </c>
      <c r="K309" s="32">
        <f t="shared" si="29"/>
        <v>100</v>
      </c>
      <c r="M309" s="33">
        <f t="shared" si="27"/>
        <v>4.5</v>
      </c>
      <c r="N309" s="33">
        <v>7</v>
      </c>
      <c r="P309" s="32"/>
    </row>
    <row r="310" spans="1:16" ht="16.5" customHeight="1">
      <c r="B310" s="30">
        <v>67065102</v>
      </c>
      <c r="C310" s="54" t="s">
        <v>463</v>
      </c>
      <c r="D310" s="36" t="s">
        <v>76</v>
      </c>
      <c r="E310" s="30">
        <v>200</v>
      </c>
      <c r="F310" s="30" t="s">
        <v>73</v>
      </c>
      <c r="G310" s="30">
        <f t="shared" si="24"/>
        <v>203</v>
      </c>
      <c r="H310" s="31">
        <f t="shared" si="25"/>
        <v>197</v>
      </c>
      <c r="I310" s="31">
        <f t="shared" si="26"/>
        <v>209</v>
      </c>
      <c r="J310" s="31">
        <f t="shared" si="28"/>
        <v>191</v>
      </c>
      <c r="K310" s="32">
        <f t="shared" si="29"/>
        <v>200</v>
      </c>
      <c r="M310" s="33">
        <f t="shared" si="27"/>
        <v>9</v>
      </c>
      <c r="N310" s="33">
        <v>8.9</v>
      </c>
      <c r="P310" s="32" t="s">
        <v>385</v>
      </c>
    </row>
    <row r="311" spans="1:16" ht="16.5" customHeight="1">
      <c r="B311" s="30">
        <v>67065100</v>
      </c>
      <c r="C311" s="54" t="s">
        <v>464</v>
      </c>
      <c r="D311" s="36" t="s">
        <v>76</v>
      </c>
      <c r="E311" s="30">
        <v>140</v>
      </c>
      <c r="F311" s="30" t="s">
        <v>73</v>
      </c>
      <c r="G311" s="30">
        <f t="shared" si="24"/>
        <v>142.1</v>
      </c>
      <c r="H311" s="31">
        <f t="shared" si="25"/>
        <v>137.9</v>
      </c>
      <c r="I311" s="31">
        <f t="shared" si="26"/>
        <v>146.30000000000001</v>
      </c>
      <c r="J311" s="31">
        <f t="shared" si="28"/>
        <v>133.69999999999999</v>
      </c>
      <c r="K311" s="32">
        <f t="shared" si="29"/>
        <v>140</v>
      </c>
      <c r="M311" s="33">
        <f t="shared" si="27"/>
        <v>6.3</v>
      </c>
      <c r="N311" s="33">
        <v>7.6</v>
      </c>
      <c r="P311" s="32"/>
    </row>
    <row r="312" spans="1:16" ht="16.5" customHeight="1">
      <c r="B312" s="30">
        <v>67065104</v>
      </c>
      <c r="C312" s="54" t="s">
        <v>465</v>
      </c>
      <c r="D312" s="36" t="s">
        <v>76</v>
      </c>
      <c r="E312" s="30">
        <v>200</v>
      </c>
      <c r="F312" s="30" t="s">
        <v>73</v>
      </c>
      <c r="G312" s="30">
        <f t="shared" si="24"/>
        <v>203</v>
      </c>
      <c r="H312" s="31">
        <f t="shared" si="25"/>
        <v>197</v>
      </c>
      <c r="I312" s="31">
        <f t="shared" si="26"/>
        <v>209</v>
      </c>
      <c r="J312" s="31">
        <f t="shared" si="28"/>
        <v>191</v>
      </c>
      <c r="K312" s="32">
        <f t="shared" si="29"/>
        <v>200</v>
      </c>
      <c r="M312" s="33">
        <f t="shared" si="27"/>
        <v>9</v>
      </c>
      <c r="N312" s="33">
        <v>8.9</v>
      </c>
      <c r="P312" s="32"/>
    </row>
    <row r="313" spans="1:16" ht="16.5" customHeight="1">
      <c r="B313" s="30">
        <v>21137524</v>
      </c>
      <c r="C313" s="54" t="s">
        <v>466</v>
      </c>
      <c r="D313" s="13" t="s">
        <v>357</v>
      </c>
      <c r="E313" s="30">
        <v>22</v>
      </c>
      <c r="F313" s="30" t="s">
        <v>73</v>
      </c>
      <c r="G313" s="30">
        <f t="shared" si="24"/>
        <v>22.66</v>
      </c>
      <c r="H313" s="31">
        <f t="shared" si="25"/>
        <v>21.34</v>
      </c>
      <c r="I313" s="31">
        <f t="shared" si="26"/>
        <v>23.98</v>
      </c>
      <c r="J313" s="31">
        <f t="shared" si="28"/>
        <v>20.02</v>
      </c>
      <c r="K313" s="32">
        <f t="shared" si="29"/>
        <v>22</v>
      </c>
      <c r="M313" s="33">
        <f t="shared" si="27"/>
        <v>1.98</v>
      </c>
      <c r="N313" s="33">
        <v>2</v>
      </c>
      <c r="P313" s="32"/>
    </row>
    <row r="314" spans="1:16" ht="16.5" customHeight="1">
      <c r="B314" s="30">
        <v>67065104</v>
      </c>
      <c r="C314" s="54" t="s">
        <v>465</v>
      </c>
      <c r="D314" s="36" t="s">
        <v>76</v>
      </c>
      <c r="E314" s="30">
        <v>200</v>
      </c>
      <c r="F314" s="30" t="s">
        <v>73</v>
      </c>
      <c r="G314" s="30">
        <f t="shared" si="24"/>
        <v>203</v>
      </c>
      <c r="H314" s="31">
        <f t="shared" si="25"/>
        <v>197</v>
      </c>
      <c r="I314" s="31">
        <f t="shared" si="26"/>
        <v>209</v>
      </c>
      <c r="J314" s="31">
        <f t="shared" si="28"/>
        <v>191</v>
      </c>
      <c r="K314" s="32">
        <f t="shared" si="29"/>
        <v>200</v>
      </c>
      <c r="M314" s="33">
        <f t="shared" si="27"/>
        <v>9</v>
      </c>
      <c r="N314" s="33">
        <v>8.9</v>
      </c>
      <c r="P314" s="32"/>
    </row>
    <row r="315" spans="1:16" ht="16.5" customHeight="1">
      <c r="A315" s="35"/>
      <c r="B315" s="36">
        <v>67056095</v>
      </c>
      <c r="C315" s="37" t="s">
        <v>467</v>
      </c>
      <c r="D315" s="36" t="s">
        <v>252</v>
      </c>
      <c r="E315" s="55">
        <v>200</v>
      </c>
      <c r="F315" s="30" t="s">
        <v>73</v>
      </c>
      <c r="G315" s="30">
        <f t="shared" si="24"/>
        <v>203</v>
      </c>
      <c r="H315" s="31">
        <f t="shared" si="25"/>
        <v>197</v>
      </c>
      <c r="I315" s="31">
        <f t="shared" si="26"/>
        <v>209</v>
      </c>
      <c r="J315" s="31">
        <f t="shared" si="28"/>
        <v>191</v>
      </c>
      <c r="K315" s="32">
        <f t="shared" si="29"/>
        <v>200</v>
      </c>
      <c r="L315" s="32"/>
      <c r="M315" s="33">
        <f t="shared" si="27"/>
        <v>9</v>
      </c>
      <c r="N315" s="33">
        <v>7.8</v>
      </c>
      <c r="O315" s="35"/>
      <c r="P315" s="32"/>
    </row>
    <row r="316" spans="1:16" ht="16.5" customHeight="1">
      <c r="B316" s="30">
        <v>67061065</v>
      </c>
      <c r="C316" s="54" t="s">
        <v>468</v>
      </c>
      <c r="D316" s="36" t="s">
        <v>76</v>
      </c>
      <c r="E316" s="30">
        <v>240</v>
      </c>
      <c r="F316" s="30" t="s">
        <v>73</v>
      </c>
      <c r="G316" s="30">
        <f t="shared" si="24"/>
        <v>243</v>
      </c>
      <c r="H316" s="31">
        <f t="shared" si="25"/>
        <v>237</v>
      </c>
      <c r="I316" s="31">
        <f t="shared" si="26"/>
        <v>249</v>
      </c>
      <c r="J316" s="31">
        <f t="shared" si="28"/>
        <v>231</v>
      </c>
      <c r="K316" s="32">
        <f t="shared" si="29"/>
        <v>240</v>
      </c>
      <c r="M316" s="33">
        <f t="shared" si="27"/>
        <v>9</v>
      </c>
      <c r="N316" s="33">
        <v>9.1999999999999993</v>
      </c>
      <c r="P316" s="32"/>
    </row>
    <row r="317" spans="1:16" ht="16.5" customHeight="1">
      <c r="B317" s="30">
        <v>67076089</v>
      </c>
      <c r="C317" s="54" t="s">
        <v>469</v>
      </c>
      <c r="D317" s="36" t="s">
        <v>76</v>
      </c>
      <c r="E317" s="30">
        <v>240</v>
      </c>
      <c r="F317" s="30" t="s">
        <v>73</v>
      </c>
      <c r="G317" s="30">
        <f t="shared" si="24"/>
        <v>243</v>
      </c>
      <c r="H317" s="31">
        <f t="shared" si="25"/>
        <v>237</v>
      </c>
      <c r="I317" s="31">
        <f t="shared" si="26"/>
        <v>249</v>
      </c>
      <c r="J317" s="31">
        <f t="shared" si="28"/>
        <v>231</v>
      </c>
      <c r="K317" s="32">
        <f t="shared" si="29"/>
        <v>240</v>
      </c>
      <c r="M317" s="33">
        <f t="shared" si="27"/>
        <v>9</v>
      </c>
      <c r="N317" s="33">
        <v>9</v>
      </c>
      <c r="P317" s="32"/>
    </row>
    <row r="318" spans="1:16" ht="16.5" customHeight="1">
      <c r="B318" s="30">
        <v>67020478</v>
      </c>
      <c r="C318" s="54" t="s">
        <v>470</v>
      </c>
      <c r="D318" s="36" t="s">
        <v>76</v>
      </c>
      <c r="E318" s="30">
        <v>230</v>
      </c>
      <c r="F318" s="30" t="s">
        <v>73</v>
      </c>
      <c r="G318" s="30">
        <f t="shared" si="24"/>
        <v>233</v>
      </c>
      <c r="H318" s="31">
        <f t="shared" si="25"/>
        <v>227</v>
      </c>
      <c r="I318" s="31">
        <f t="shared" si="26"/>
        <v>239</v>
      </c>
      <c r="J318" s="31">
        <f t="shared" si="28"/>
        <v>221</v>
      </c>
      <c r="K318" s="32">
        <f t="shared" si="29"/>
        <v>230</v>
      </c>
      <c r="M318" s="33">
        <f t="shared" si="27"/>
        <v>9</v>
      </c>
      <c r="N318" s="33">
        <v>9.1999999999999993</v>
      </c>
      <c r="P318" s="32"/>
    </row>
    <row r="319" spans="1:16" ht="16.5" customHeight="1">
      <c r="B319" s="30">
        <v>67061041</v>
      </c>
      <c r="C319" s="54" t="s">
        <v>471</v>
      </c>
      <c r="D319" s="36" t="s">
        <v>76</v>
      </c>
      <c r="E319" s="30">
        <v>200</v>
      </c>
      <c r="F319" s="30" t="s">
        <v>73</v>
      </c>
      <c r="G319" s="30">
        <f t="shared" si="24"/>
        <v>203</v>
      </c>
      <c r="H319" s="31">
        <f t="shared" si="25"/>
        <v>197</v>
      </c>
      <c r="I319" s="31">
        <f t="shared" si="26"/>
        <v>209</v>
      </c>
      <c r="J319" s="31">
        <f t="shared" si="28"/>
        <v>191</v>
      </c>
      <c r="K319" s="32">
        <f t="shared" si="29"/>
        <v>200</v>
      </c>
      <c r="M319" s="33">
        <f t="shared" si="27"/>
        <v>9</v>
      </c>
      <c r="N319" s="33">
        <v>8.5</v>
      </c>
      <c r="P319" s="32"/>
    </row>
    <row r="320" spans="1:16" ht="16.5" customHeight="1">
      <c r="B320" s="30">
        <v>67082757</v>
      </c>
      <c r="C320" s="54" t="s">
        <v>472</v>
      </c>
      <c r="D320" s="36" t="s">
        <v>76</v>
      </c>
      <c r="E320" s="30">
        <v>200</v>
      </c>
      <c r="F320" s="30" t="s">
        <v>73</v>
      </c>
      <c r="G320" s="30">
        <f t="shared" si="24"/>
        <v>203</v>
      </c>
      <c r="H320" s="31">
        <f t="shared" si="25"/>
        <v>197</v>
      </c>
      <c r="I320" s="31">
        <f t="shared" si="26"/>
        <v>209</v>
      </c>
      <c r="J320" s="31">
        <f t="shared" si="28"/>
        <v>191</v>
      </c>
      <c r="K320" s="32">
        <f t="shared" si="29"/>
        <v>200</v>
      </c>
      <c r="M320" s="33">
        <f t="shared" si="27"/>
        <v>9</v>
      </c>
      <c r="N320" s="33">
        <v>8.5</v>
      </c>
      <c r="P320" s="32"/>
    </row>
    <row r="321" spans="2:16" ht="16.5" customHeight="1">
      <c r="B321" s="30">
        <v>67076088</v>
      </c>
      <c r="C321" s="54" t="s">
        <v>473</v>
      </c>
      <c r="D321" s="36" t="s">
        <v>76</v>
      </c>
      <c r="E321" s="30">
        <v>200</v>
      </c>
      <c r="F321" s="30" t="s">
        <v>73</v>
      </c>
      <c r="G321" s="30">
        <f t="shared" si="24"/>
        <v>203</v>
      </c>
      <c r="H321" s="31">
        <f t="shared" si="25"/>
        <v>197</v>
      </c>
      <c r="I321" s="31">
        <f t="shared" si="26"/>
        <v>209</v>
      </c>
      <c r="J321" s="31">
        <f t="shared" si="28"/>
        <v>191</v>
      </c>
      <c r="K321" s="32">
        <f t="shared" si="29"/>
        <v>200</v>
      </c>
      <c r="M321" s="33">
        <f t="shared" si="27"/>
        <v>9</v>
      </c>
      <c r="N321" s="33">
        <v>8</v>
      </c>
      <c r="P321" s="32"/>
    </row>
    <row r="322" spans="2:16" ht="16.5" customHeight="1">
      <c r="B322" s="30">
        <v>67076087</v>
      </c>
      <c r="C322" s="54" t="s">
        <v>474</v>
      </c>
      <c r="D322" s="36" t="s">
        <v>76</v>
      </c>
      <c r="E322" s="30">
        <v>200</v>
      </c>
      <c r="F322" s="30" t="s">
        <v>73</v>
      </c>
      <c r="G322" s="30">
        <f t="shared" si="24"/>
        <v>203</v>
      </c>
      <c r="H322" s="31">
        <f t="shared" si="25"/>
        <v>197</v>
      </c>
      <c r="I322" s="31">
        <f t="shared" si="26"/>
        <v>209</v>
      </c>
      <c r="J322" s="31">
        <f t="shared" si="28"/>
        <v>191</v>
      </c>
      <c r="K322" s="32">
        <f t="shared" si="29"/>
        <v>200</v>
      </c>
      <c r="M322" s="33">
        <f t="shared" si="27"/>
        <v>9</v>
      </c>
      <c r="N322" s="33">
        <v>8</v>
      </c>
      <c r="P322" s="32"/>
    </row>
    <row r="323" spans="2:16" ht="16.5" customHeight="1">
      <c r="B323" s="30">
        <v>67074362</v>
      </c>
      <c r="C323" s="54" t="s">
        <v>475</v>
      </c>
      <c r="D323" s="36" t="s">
        <v>76</v>
      </c>
      <c r="E323" s="30">
        <v>200</v>
      </c>
      <c r="F323" s="30" t="s">
        <v>73</v>
      </c>
      <c r="G323" s="30">
        <f t="shared" ref="G323:G386" si="30">IF(P323="TL tuyệt đối",K323*103%,K323+1/3*M323)</f>
        <v>203</v>
      </c>
      <c r="H323" s="31">
        <f t="shared" ref="H323:H386" si="31">IF(P323="TL tuyệt đối",K323*101%,K323-1/3*M323)</f>
        <v>197</v>
      </c>
      <c r="I323" s="31">
        <f t="shared" ref="I323:I386" si="32">IF(P323="TL tuyệt đối", K323*105%,K323+M323)</f>
        <v>209</v>
      </c>
      <c r="J323" s="31">
        <f t="shared" si="28"/>
        <v>191</v>
      </c>
      <c r="K323" s="32">
        <f t="shared" si="29"/>
        <v>200</v>
      </c>
      <c r="M323" s="33">
        <f t="shared" ref="M323:M386" si="33">IF(P323="TL tuyệt đối",0, IF(K323&lt;5,0,IF(K323&lt;50,K323*9%,IF(K323&lt;100,4.5,IF(K323&lt;200,4.5%*K323,IF(K323&lt;300,9,IF(K323&lt;500,K323*3%,IF(K323&lt;1000,15,))))))))</f>
        <v>9</v>
      </c>
      <c r="N323" s="33">
        <v>8.9</v>
      </c>
      <c r="P323" s="32"/>
    </row>
    <row r="324" spans="2:16" ht="16.5" customHeight="1">
      <c r="B324" s="30">
        <v>67074360</v>
      </c>
      <c r="C324" s="54" t="s">
        <v>476</v>
      </c>
      <c r="D324" s="36" t="s">
        <v>76</v>
      </c>
      <c r="E324" s="30">
        <v>200</v>
      </c>
      <c r="F324" s="30" t="s">
        <v>73</v>
      </c>
      <c r="G324" s="30">
        <f t="shared" si="30"/>
        <v>203</v>
      </c>
      <c r="H324" s="31">
        <f t="shared" si="31"/>
        <v>197</v>
      </c>
      <c r="I324" s="31">
        <f t="shared" si="32"/>
        <v>209</v>
      </c>
      <c r="J324" s="31">
        <f t="shared" ref="J324:J387" si="34">K324-M324</f>
        <v>191</v>
      </c>
      <c r="K324" s="32">
        <f t="shared" ref="K324:K387" si="35">IF(F324="ml",E324*L324,E324)</f>
        <v>200</v>
      </c>
      <c r="M324" s="33">
        <f t="shared" si="33"/>
        <v>9</v>
      </c>
      <c r="N324" s="33">
        <v>8.9</v>
      </c>
      <c r="P324" s="32"/>
    </row>
    <row r="325" spans="2:16" ht="16.5" customHeight="1">
      <c r="B325" s="30">
        <v>21110893</v>
      </c>
      <c r="C325" s="54" t="s">
        <v>477</v>
      </c>
      <c r="D325" s="36" t="s">
        <v>252</v>
      </c>
      <c r="E325" s="30">
        <v>60</v>
      </c>
      <c r="F325" s="30" t="s">
        <v>73</v>
      </c>
      <c r="G325" s="30">
        <f t="shared" si="30"/>
        <v>61.5</v>
      </c>
      <c r="H325" s="31">
        <f t="shared" si="31"/>
        <v>58.5</v>
      </c>
      <c r="I325" s="31">
        <f t="shared" si="32"/>
        <v>64.5</v>
      </c>
      <c r="J325" s="31">
        <f t="shared" si="34"/>
        <v>55.5</v>
      </c>
      <c r="K325" s="32">
        <f t="shared" si="35"/>
        <v>60</v>
      </c>
      <c r="M325" s="33">
        <f t="shared" si="33"/>
        <v>4.5</v>
      </c>
      <c r="N325" s="33">
        <v>4.5</v>
      </c>
      <c r="P325" s="32"/>
    </row>
    <row r="326" spans="2:16" ht="16.5" customHeight="1">
      <c r="B326" s="30">
        <v>67020592</v>
      </c>
      <c r="C326" s="54" t="s">
        <v>478</v>
      </c>
      <c r="D326" s="36" t="s">
        <v>76</v>
      </c>
      <c r="E326" s="30">
        <v>230</v>
      </c>
      <c r="F326" s="30" t="s">
        <v>73</v>
      </c>
      <c r="G326" s="30">
        <f t="shared" si="30"/>
        <v>233</v>
      </c>
      <c r="H326" s="31">
        <f t="shared" si="31"/>
        <v>227</v>
      </c>
      <c r="I326" s="31">
        <f t="shared" si="32"/>
        <v>239</v>
      </c>
      <c r="J326" s="31">
        <f t="shared" si="34"/>
        <v>221</v>
      </c>
      <c r="K326" s="32">
        <f t="shared" si="35"/>
        <v>230</v>
      </c>
      <c r="M326" s="33">
        <f t="shared" si="33"/>
        <v>9</v>
      </c>
      <c r="N326" s="33">
        <v>9.1999999999999993</v>
      </c>
      <c r="P326" s="32"/>
    </row>
    <row r="327" spans="2:16" ht="16.5" customHeight="1">
      <c r="B327" s="30">
        <v>67061045</v>
      </c>
      <c r="C327" s="54" t="s">
        <v>479</v>
      </c>
      <c r="D327" s="36" t="s">
        <v>76</v>
      </c>
      <c r="E327" s="30">
        <v>100</v>
      </c>
      <c r="F327" s="30" t="s">
        <v>73</v>
      </c>
      <c r="G327" s="30">
        <f t="shared" si="30"/>
        <v>101.5</v>
      </c>
      <c r="H327" s="31">
        <f t="shared" si="31"/>
        <v>98.5</v>
      </c>
      <c r="I327" s="31">
        <f t="shared" si="32"/>
        <v>104.5</v>
      </c>
      <c r="J327" s="31">
        <f t="shared" si="34"/>
        <v>95.5</v>
      </c>
      <c r="K327" s="32">
        <f t="shared" si="35"/>
        <v>100</v>
      </c>
      <c r="M327" s="33">
        <f t="shared" si="33"/>
        <v>4.5</v>
      </c>
      <c r="N327" s="33">
        <v>5.8</v>
      </c>
      <c r="P327" s="32"/>
    </row>
    <row r="328" spans="2:16" ht="16.5" customHeight="1">
      <c r="B328" s="30">
        <v>67067878</v>
      </c>
      <c r="C328" s="54" t="s">
        <v>480</v>
      </c>
      <c r="D328" s="13" t="s">
        <v>357</v>
      </c>
      <c r="E328" s="30">
        <v>145</v>
      </c>
      <c r="F328" s="30" t="s">
        <v>481</v>
      </c>
      <c r="G328" s="30">
        <f t="shared" si="30"/>
        <v>147.17500000000001</v>
      </c>
      <c r="H328" s="31">
        <f t="shared" si="31"/>
        <v>142.82499999999999</v>
      </c>
      <c r="I328" s="31">
        <f t="shared" si="32"/>
        <v>151.52500000000001</v>
      </c>
      <c r="J328" s="31">
        <f t="shared" si="34"/>
        <v>138.47499999999999</v>
      </c>
      <c r="K328" s="32">
        <f t="shared" si="35"/>
        <v>145</v>
      </c>
      <c r="L328" s="56">
        <v>1.325</v>
      </c>
      <c r="M328" s="33">
        <f t="shared" si="33"/>
        <v>6.5249999999999995</v>
      </c>
      <c r="N328" s="33">
        <v>8.6999999999999993</v>
      </c>
      <c r="P328" s="32"/>
    </row>
    <row r="329" spans="2:16" ht="16.5" customHeight="1">
      <c r="B329" s="30">
        <v>67067880</v>
      </c>
      <c r="C329" s="54" t="s">
        <v>482</v>
      </c>
      <c r="D329" s="13" t="s">
        <v>357</v>
      </c>
      <c r="E329" s="30">
        <v>95</v>
      </c>
      <c r="F329" s="30" t="s">
        <v>481</v>
      </c>
      <c r="G329" s="30">
        <f t="shared" si="30"/>
        <v>96.5</v>
      </c>
      <c r="H329" s="31">
        <f t="shared" si="31"/>
        <v>93.5</v>
      </c>
      <c r="I329" s="31">
        <f t="shared" si="32"/>
        <v>99.5</v>
      </c>
      <c r="J329" s="31">
        <f t="shared" si="34"/>
        <v>90.5</v>
      </c>
      <c r="K329" s="32">
        <f t="shared" si="35"/>
        <v>95</v>
      </c>
      <c r="L329" s="56">
        <v>1.325</v>
      </c>
      <c r="M329" s="33">
        <f t="shared" si="33"/>
        <v>4.5</v>
      </c>
      <c r="N329" s="33">
        <v>7.2</v>
      </c>
      <c r="P329" s="32"/>
    </row>
    <row r="330" spans="2:16" ht="16.5" customHeight="1">
      <c r="B330" s="30">
        <v>67067882</v>
      </c>
      <c r="C330" s="54" t="s">
        <v>483</v>
      </c>
      <c r="D330" s="13" t="s">
        <v>357</v>
      </c>
      <c r="E330" s="30">
        <v>95</v>
      </c>
      <c r="F330" s="30" t="s">
        <v>481</v>
      </c>
      <c r="G330" s="30">
        <f t="shared" si="30"/>
        <v>96.5</v>
      </c>
      <c r="H330" s="31">
        <f t="shared" si="31"/>
        <v>93.5</v>
      </c>
      <c r="I330" s="31">
        <f t="shared" si="32"/>
        <v>99.5</v>
      </c>
      <c r="J330" s="31">
        <f t="shared" si="34"/>
        <v>90.5</v>
      </c>
      <c r="K330" s="32">
        <f t="shared" si="35"/>
        <v>95</v>
      </c>
      <c r="L330" s="56">
        <v>1.325</v>
      </c>
      <c r="M330" s="33">
        <f t="shared" si="33"/>
        <v>4.5</v>
      </c>
      <c r="N330" s="33">
        <v>7.2</v>
      </c>
      <c r="P330" s="32"/>
    </row>
    <row r="331" spans="2:16" ht="16.5" customHeight="1">
      <c r="B331" s="30">
        <v>67067884</v>
      </c>
      <c r="C331" s="54" t="s">
        <v>484</v>
      </c>
      <c r="D331" s="13" t="s">
        <v>357</v>
      </c>
      <c r="E331" s="30">
        <v>145</v>
      </c>
      <c r="F331" s="30" t="s">
        <v>481</v>
      </c>
      <c r="G331" s="30">
        <f t="shared" si="30"/>
        <v>147.17500000000001</v>
      </c>
      <c r="H331" s="31">
        <f t="shared" si="31"/>
        <v>142.82499999999999</v>
      </c>
      <c r="I331" s="31">
        <f t="shared" si="32"/>
        <v>151.52500000000001</v>
      </c>
      <c r="J331" s="31">
        <f t="shared" si="34"/>
        <v>138.47499999999999</v>
      </c>
      <c r="K331" s="32">
        <f t="shared" si="35"/>
        <v>145</v>
      </c>
      <c r="L331" s="56">
        <v>1.325</v>
      </c>
      <c r="M331" s="33">
        <f t="shared" si="33"/>
        <v>6.5249999999999995</v>
      </c>
      <c r="N331" s="33">
        <v>8.6999999999999993</v>
      </c>
      <c r="P331" s="32"/>
    </row>
    <row r="332" spans="2:16" ht="16.5" customHeight="1">
      <c r="B332" s="30">
        <v>67088134</v>
      </c>
      <c r="C332" s="54" t="s">
        <v>485</v>
      </c>
      <c r="D332" s="36" t="s">
        <v>76</v>
      </c>
      <c r="E332" s="30">
        <v>200</v>
      </c>
      <c r="F332" s="30" t="s">
        <v>73</v>
      </c>
      <c r="G332" s="30">
        <f t="shared" si="30"/>
        <v>203</v>
      </c>
      <c r="H332" s="31">
        <f t="shared" si="31"/>
        <v>197</v>
      </c>
      <c r="I332" s="31">
        <f t="shared" si="32"/>
        <v>209</v>
      </c>
      <c r="J332" s="31">
        <f t="shared" si="34"/>
        <v>191</v>
      </c>
      <c r="K332" s="32">
        <f t="shared" si="35"/>
        <v>200</v>
      </c>
      <c r="M332" s="33">
        <f t="shared" si="33"/>
        <v>9</v>
      </c>
      <c r="N332" s="33">
        <v>7.5</v>
      </c>
      <c r="P332" s="32"/>
    </row>
    <row r="333" spans="2:16" ht="16.5" customHeight="1">
      <c r="B333" s="30">
        <v>67074361</v>
      </c>
      <c r="C333" s="54" t="s">
        <v>486</v>
      </c>
      <c r="D333" s="36" t="s">
        <v>76</v>
      </c>
      <c r="E333" s="30">
        <v>200</v>
      </c>
      <c r="F333" s="30" t="s">
        <v>73</v>
      </c>
      <c r="G333" s="30">
        <f t="shared" si="30"/>
        <v>203</v>
      </c>
      <c r="H333" s="31">
        <f t="shared" si="31"/>
        <v>197</v>
      </c>
      <c r="I333" s="31">
        <f t="shared" si="32"/>
        <v>209</v>
      </c>
      <c r="J333" s="31">
        <f t="shared" si="34"/>
        <v>191</v>
      </c>
      <c r="K333" s="32">
        <f t="shared" si="35"/>
        <v>200</v>
      </c>
      <c r="M333" s="33">
        <f t="shared" si="33"/>
        <v>9</v>
      </c>
      <c r="N333" s="33">
        <v>8.9</v>
      </c>
      <c r="P333" s="32"/>
    </row>
    <row r="334" spans="2:16" ht="16.5" customHeight="1">
      <c r="B334" s="30">
        <v>67064725</v>
      </c>
      <c r="C334" s="54" t="s">
        <v>487</v>
      </c>
      <c r="D334" s="26" t="s">
        <v>307</v>
      </c>
      <c r="E334" s="30">
        <v>100</v>
      </c>
      <c r="F334" s="30" t="s">
        <v>73</v>
      </c>
      <c r="G334" s="30">
        <f t="shared" si="30"/>
        <v>101.5</v>
      </c>
      <c r="H334" s="31">
        <f t="shared" si="31"/>
        <v>98.5</v>
      </c>
      <c r="I334" s="31">
        <f t="shared" si="32"/>
        <v>104.5</v>
      </c>
      <c r="J334" s="31">
        <f t="shared" si="34"/>
        <v>95.5</v>
      </c>
      <c r="K334" s="32">
        <f t="shared" si="35"/>
        <v>100</v>
      </c>
      <c r="M334" s="33">
        <f t="shared" si="33"/>
        <v>4.5</v>
      </c>
      <c r="N334" s="33">
        <v>7</v>
      </c>
      <c r="P334" s="32"/>
    </row>
    <row r="335" spans="2:16" ht="16.5" customHeight="1">
      <c r="B335" s="30">
        <v>67084733</v>
      </c>
      <c r="C335" s="54" t="s">
        <v>488</v>
      </c>
      <c r="D335" s="36" t="s">
        <v>87</v>
      </c>
      <c r="E335" s="30">
        <v>30</v>
      </c>
      <c r="F335" s="29" t="s">
        <v>73</v>
      </c>
      <c r="G335" s="30">
        <f t="shared" si="30"/>
        <v>30.900000000000002</v>
      </c>
      <c r="H335" s="31">
        <f t="shared" si="31"/>
        <v>30.3</v>
      </c>
      <c r="I335" s="31">
        <f t="shared" si="32"/>
        <v>31.5</v>
      </c>
      <c r="J335" s="31">
        <f t="shared" si="34"/>
        <v>30</v>
      </c>
      <c r="K335" s="32">
        <f t="shared" si="35"/>
        <v>30</v>
      </c>
      <c r="L335" s="32"/>
      <c r="M335" s="33">
        <f t="shared" si="33"/>
        <v>0</v>
      </c>
      <c r="N335" s="33">
        <v>4</v>
      </c>
      <c r="P335" s="41" t="s">
        <v>88</v>
      </c>
    </row>
    <row r="336" spans="2:16" ht="16.5" customHeight="1">
      <c r="B336" s="30">
        <v>67084712</v>
      </c>
      <c r="C336" s="54" t="s">
        <v>489</v>
      </c>
      <c r="D336" s="36" t="s">
        <v>87</v>
      </c>
      <c r="E336" s="30">
        <v>30</v>
      </c>
      <c r="F336" s="29" t="s">
        <v>73</v>
      </c>
      <c r="G336" s="30">
        <f t="shared" si="30"/>
        <v>30.900000000000002</v>
      </c>
      <c r="H336" s="31">
        <f t="shared" si="31"/>
        <v>30.3</v>
      </c>
      <c r="I336" s="31">
        <f t="shared" si="32"/>
        <v>31.5</v>
      </c>
      <c r="J336" s="31">
        <f t="shared" si="34"/>
        <v>30</v>
      </c>
      <c r="K336" s="32">
        <f t="shared" si="35"/>
        <v>30</v>
      </c>
      <c r="M336" s="33">
        <f t="shared" si="33"/>
        <v>0</v>
      </c>
      <c r="N336" s="33">
        <v>4</v>
      </c>
      <c r="P336" s="41" t="s">
        <v>88</v>
      </c>
    </row>
    <row r="337" spans="2:16" ht="16.5" customHeight="1">
      <c r="B337" s="30">
        <v>67064727</v>
      </c>
      <c r="C337" s="54" t="s">
        <v>490</v>
      </c>
      <c r="D337" s="26" t="s">
        <v>307</v>
      </c>
      <c r="E337" s="30">
        <v>100</v>
      </c>
      <c r="F337" s="30" t="s">
        <v>73</v>
      </c>
      <c r="G337" s="30">
        <f t="shared" si="30"/>
        <v>101.5</v>
      </c>
      <c r="H337" s="31">
        <f t="shared" si="31"/>
        <v>98.5</v>
      </c>
      <c r="I337" s="31">
        <f t="shared" si="32"/>
        <v>104.5</v>
      </c>
      <c r="J337" s="31">
        <f t="shared" si="34"/>
        <v>95.5</v>
      </c>
      <c r="K337" s="32">
        <f t="shared" si="35"/>
        <v>100</v>
      </c>
      <c r="M337" s="33">
        <f t="shared" si="33"/>
        <v>4.5</v>
      </c>
      <c r="N337" s="33">
        <v>7</v>
      </c>
      <c r="P337" s="32"/>
    </row>
    <row r="338" spans="2:16" ht="16.5" customHeight="1">
      <c r="B338" s="30">
        <v>67064723</v>
      </c>
      <c r="C338" s="54" t="s">
        <v>491</v>
      </c>
      <c r="D338" s="26" t="s">
        <v>307</v>
      </c>
      <c r="E338" s="30">
        <v>100</v>
      </c>
      <c r="F338" s="30" t="s">
        <v>73</v>
      </c>
      <c r="G338" s="30">
        <f t="shared" si="30"/>
        <v>101.5</v>
      </c>
      <c r="H338" s="31">
        <f t="shared" si="31"/>
        <v>98.5</v>
      </c>
      <c r="I338" s="31">
        <f t="shared" si="32"/>
        <v>104.5</v>
      </c>
      <c r="J338" s="31">
        <f t="shared" si="34"/>
        <v>95.5</v>
      </c>
      <c r="K338" s="32">
        <f t="shared" si="35"/>
        <v>100</v>
      </c>
      <c r="M338" s="33">
        <f t="shared" si="33"/>
        <v>4.5</v>
      </c>
      <c r="N338" s="33">
        <v>7</v>
      </c>
      <c r="P338" s="32"/>
    </row>
    <row r="339" spans="2:16" ht="16.5" customHeight="1">
      <c r="B339" s="30">
        <v>67066362</v>
      </c>
      <c r="C339" s="54" t="s">
        <v>492</v>
      </c>
      <c r="D339" s="36" t="s">
        <v>76</v>
      </c>
      <c r="E339" s="30">
        <v>200</v>
      </c>
      <c r="F339" s="30" t="s">
        <v>73</v>
      </c>
      <c r="G339" s="30">
        <f t="shared" si="30"/>
        <v>203</v>
      </c>
      <c r="H339" s="31">
        <f t="shared" si="31"/>
        <v>197</v>
      </c>
      <c r="I339" s="31">
        <f t="shared" si="32"/>
        <v>209</v>
      </c>
      <c r="J339" s="31">
        <f t="shared" si="34"/>
        <v>191</v>
      </c>
      <c r="K339" s="32">
        <f t="shared" si="35"/>
        <v>200</v>
      </c>
      <c r="M339" s="33">
        <f t="shared" si="33"/>
        <v>9</v>
      </c>
      <c r="N339" s="33">
        <v>7.5</v>
      </c>
      <c r="P339" s="32"/>
    </row>
    <row r="340" spans="2:16" ht="16.5" customHeight="1">
      <c r="B340" s="30">
        <v>67082140</v>
      </c>
      <c r="C340" s="54" t="s">
        <v>493</v>
      </c>
      <c r="D340" s="36" t="s">
        <v>76</v>
      </c>
      <c r="E340" s="30">
        <v>30</v>
      </c>
      <c r="F340" s="30" t="s">
        <v>73</v>
      </c>
      <c r="G340" s="30">
        <f t="shared" si="30"/>
        <v>30.9</v>
      </c>
      <c r="H340" s="31">
        <f t="shared" si="31"/>
        <v>29.1</v>
      </c>
      <c r="I340" s="31">
        <f t="shared" si="32"/>
        <v>32.700000000000003</v>
      </c>
      <c r="J340" s="31">
        <f t="shared" si="34"/>
        <v>27.3</v>
      </c>
      <c r="K340" s="32">
        <f t="shared" si="35"/>
        <v>30</v>
      </c>
      <c r="M340" s="33">
        <f t="shared" si="33"/>
        <v>2.6999999999999997</v>
      </c>
      <c r="N340" s="33">
        <v>4</v>
      </c>
      <c r="P340" s="32"/>
    </row>
    <row r="341" spans="2:16" ht="16.5" customHeight="1">
      <c r="B341" s="30">
        <v>67066366</v>
      </c>
      <c r="C341" s="54" t="s">
        <v>494</v>
      </c>
      <c r="D341" s="36" t="s">
        <v>76</v>
      </c>
      <c r="E341" s="30">
        <v>240</v>
      </c>
      <c r="F341" s="30" t="s">
        <v>73</v>
      </c>
      <c r="G341" s="30">
        <f t="shared" si="30"/>
        <v>243</v>
      </c>
      <c r="H341" s="31">
        <f t="shared" si="31"/>
        <v>237</v>
      </c>
      <c r="I341" s="31">
        <f t="shared" si="32"/>
        <v>249</v>
      </c>
      <c r="J341" s="31">
        <f t="shared" si="34"/>
        <v>231</v>
      </c>
      <c r="K341" s="32">
        <f t="shared" si="35"/>
        <v>240</v>
      </c>
      <c r="M341" s="33">
        <f t="shared" si="33"/>
        <v>9</v>
      </c>
      <c r="N341" s="33">
        <v>9</v>
      </c>
      <c r="P341" s="32"/>
    </row>
    <row r="342" spans="2:16" ht="16.5" customHeight="1">
      <c r="B342" s="30">
        <v>67066360</v>
      </c>
      <c r="C342" s="54" t="s">
        <v>495</v>
      </c>
      <c r="D342" s="36" t="s">
        <v>76</v>
      </c>
      <c r="E342" s="30">
        <v>110</v>
      </c>
      <c r="F342" s="30" t="s">
        <v>73</v>
      </c>
      <c r="G342" s="30">
        <f t="shared" si="30"/>
        <v>111.65</v>
      </c>
      <c r="H342" s="31">
        <f t="shared" si="31"/>
        <v>108.35</v>
      </c>
      <c r="I342" s="31">
        <f t="shared" si="32"/>
        <v>114.95</v>
      </c>
      <c r="J342" s="31">
        <f t="shared" si="34"/>
        <v>105.05</v>
      </c>
      <c r="K342" s="32">
        <f t="shared" si="35"/>
        <v>110</v>
      </c>
      <c r="M342" s="33">
        <f t="shared" si="33"/>
        <v>4.95</v>
      </c>
      <c r="N342" s="33">
        <v>5.9</v>
      </c>
      <c r="P342" s="32"/>
    </row>
    <row r="343" spans="2:16" ht="16.5" customHeight="1">
      <c r="B343" s="30">
        <v>67017143</v>
      </c>
      <c r="C343" s="54" t="s">
        <v>496</v>
      </c>
      <c r="D343" s="26" t="s">
        <v>307</v>
      </c>
      <c r="E343" s="30">
        <v>60</v>
      </c>
      <c r="F343" s="30" t="s">
        <v>73</v>
      </c>
      <c r="G343" s="30">
        <f t="shared" si="30"/>
        <v>61.5</v>
      </c>
      <c r="H343" s="31">
        <f t="shared" si="31"/>
        <v>58.5</v>
      </c>
      <c r="I343" s="31">
        <f t="shared" si="32"/>
        <v>64.5</v>
      </c>
      <c r="J343" s="31">
        <f t="shared" si="34"/>
        <v>55.5</v>
      </c>
      <c r="K343" s="32">
        <f t="shared" si="35"/>
        <v>60</v>
      </c>
      <c r="M343" s="33">
        <f t="shared" si="33"/>
        <v>4.5</v>
      </c>
      <c r="N343" s="33">
        <v>5.3</v>
      </c>
      <c r="P343" s="32" t="s">
        <v>385</v>
      </c>
    </row>
    <row r="344" spans="2:16" ht="16.5" customHeight="1">
      <c r="B344" s="30">
        <v>67017195</v>
      </c>
      <c r="C344" s="54" t="s">
        <v>497</v>
      </c>
      <c r="D344" s="26" t="s">
        <v>307</v>
      </c>
      <c r="E344" s="30">
        <v>125</v>
      </c>
      <c r="F344" s="30" t="s">
        <v>73</v>
      </c>
      <c r="G344" s="30">
        <f t="shared" si="30"/>
        <v>126.875</v>
      </c>
      <c r="H344" s="31">
        <f t="shared" si="31"/>
        <v>123.125</v>
      </c>
      <c r="I344" s="31">
        <f t="shared" si="32"/>
        <v>130.625</v>
      </c>
      <c r="J344" s="31">
        <f t="shared" si="34"/>
        <v>119.375</v>
      </c>
      <c r="K344" s="32">
        <f t="shared" si="35"/>
        <v>125</v>
      </c>
      <c r="M344" s="33">
        <f t="shared" si="33"/>
        <v>5.625</v>
      </c>
      <c r="N344" s="33">
        <v>9.3000000000000007</v>
      </c>
      <c r="P344" s="32"/>
    </row>
    <row r="345" spans="2:16" ht="16.5" customHeight="1">
      <c r="B345" s="30">
        <v>67017129</v>
      </c>
      <c r="C345" s="54" t="s">
        <v>498</v>
      </c>
      <c r="D345" s="26" t="s">
        <v>307</v>
      </c>
      <c r="E345" s="30">
        <v>125</v>
      </c>
      <c r="F345" s="30" t="s">
        <v>73</v>
      </c>
      <c r="G345" s="30">
        <f t="shared" si="30"/>
        <v>126.875</v>
      </c>
      <c r="H345" s="31">
        <f t="shared" si="31"/>
        <v>123.125</v>
      </c>
      <c r="I345" s="31">
        <f t="shared" si="32"/>
        <v>130.625</v>
      </c>
      <c r="J345" s="31">
        <f t="shared" si="34"/>
        <v>119.375</v>
      </c>
      <c r="K345" s="32">
        <f t="shared" si="35"/>
        <v>125</v>
      </c>
      <c r="M345" s="33">
        <f t="shared" si="33"/>
        <v>5.625</v>
      </c>
      <c r="N345" s="33">
        <v>9.3000000000000007</v>
      </c>
      <c r="P345" s="32"/>
    </row>
    <row r="346" spans="2:16" ht="16.5" customHeight="1">
      <c r="B346" s="30">
        <v>67017168</v>
      </c>
      <c r="C346" s="54" t="s">
        <v>499</v>
      </c>
      <c r="D346" s="26" t="s">
        <v>307</v>
      </c>
      <c r="E346" s="30">
        <v>60</v>
      </c>
      <c r="F346" s="30" t="s">
        <v>73</v>
      </c>
      <c r="G346" s="30">
        <f t="shared" si="30"/>
        <v>61.5</v>
      </c>
      <c r="H346" s="31">
        <f t="shared" si="31"/>
        <v>58.5</v>
      </c>
      <c r="I346" s="31">
        <f t="shared" si="32"/>
        <v>64.5</v>
      </c>
      <c r="J346" s="31">
        <f t="shared" si="34"/>
        <v>55.5</v>
      </c>
      <c r="K346" s="32">
        <f t="shared" si="35"/>
        <v>60</v>
      </c>
      <c r="M346" s="33">
        <f t="shared" si="33"/>
        <v>4.5</v>
      </c>
      <c r="N346" s="33">
        <v>5.3</v>
      </c>
      <c r="P346" s="32"/>
    </row>
    <row r="347" spans="2:16" ht="16.5" customHeight="1">
      <c r="B347" s="30">
        <v>67017148</v>
      </c>
      <c r="C347" s="54" t="s">
        <v>500</v>
      </c>
      <c r="D347" s="26" t="s">
        <v>307</v>
      </c>
      <c r="E347" s="30">
        <v>60</v>
      </c>
      <c r="F347" s="30" t="s">
        <v>73</v>
      </c>
      <c r="G347" s="30">
        <f t="shared" si="30"/>
        <v>61.5</v>
      </c>
      <c r="H347" s="31">
        <f t="shared" si="31"/>
        <v>58.5</v>
      </c>
      <c r="I347" s="31">
        <f t="shared" si="32"/>
        <v>64.5</v>
      </c>
      <c r="J347" s="31">
        <f t="shared" si="34"/>
        <v>55.5</v>
      </c>
      <c r="K347" s="32">
        <f t="shared" si="35"/>
        <v>60</v>
      </c>
      <c r="M347" s="33">
        <f t="shared" si="33"/>
        <v>4.5</v>
      </c>
      <c r="N347" s="33">
        <v>5.3</v>
      </c>
      <c r="P347" s="32"/>
    </row>
    <row r="348" spans="2:16" ht="16.5" customHeight="1">
      <c r="B348" s="66">
        <v>67066375</v>
      </c>
      <c r="C348" s="67" t="s">
        <v>501</v>
      </c>
      <c r="D348" s="36" t="s">
        <v>76</v>
      </c>
      <c r="E348" s="30">
        <v>40</v>
      </c>
      <c r="F348" s="30" t="s">
        <v>73</v>
      </c>
      <c r="G348" s="30">
        <f t="shared" si="30"/>
        <v>41.2</v>
      </c>
      <c r="H348" s="31">
        <f t="shared" si="31"/>
        <v>38.799999999999997</v>
      </c>
      <c r="I348" s="31">
        <f t="shared" si="32"/>
        <v>43.6</v>
      </c>
      <c r="J348" s="31">
        <f t="shared" si="34"/>
        <v>36.4</v>
      </c>
      <c r="K348" s="32">
        <f t="shared" si="35"/>
        <v>40</v>
      </c>
      <c r="M348" s="33">
        <f t="shared" si="33"/>
        <v>3.5999999999999996</v>
      </c>
      <c r="N348" s="33">
        <v>3.5</v>
      </c>
      <c r="P348" s="32"/>
    </row>
    <row r="349" spans="2:16" ht="16.5" customHeight="1">
      <c r="B349" s="30">
        <v>67017155</v>
      </c>
      <c r="C349" s="54" t="s">
        <v>502</v>
      </c>
      <c r="D349" s="13" t="s">
        <v>503</v>
      </c>
      <c r="E349" s="30">
        <v>125</v>
      </c>
      <c r="F349" s="30" t="s">
        <v>73</v>
      </c>
      <c r="G349" s="30">
        <f t="shared" si="30"/>
        <v>126.875</v>
      </c>
      <c r="H349" s="31">
        <f t="shared" si="31"/>
        <v>123.125</v>
      </c>
      <c r="I349" s="31">
        <f t="shared" si="32"/>
        <v>130.625</v>
      </c>
      <c r="J349" s="31">
        <f t="shared" si="34"/>
        <v>119.375</v>
      </c>
      <c r="K349" s="32">
        <f t="shared" si="35"/>
        <v>125</v>
      </c>
      <c r="M349" s="33">
        <f t="shared" si="33"/>
        <v>5.625</v>
      </c>
      <c r="N349" s="33">
        <v>9.3000000000000007</v>
      </c>
      <c r="P349" s="32"/>
    </row>
    <row r="350" spans="2:16" ht="16.5" customHeight="1">
      <c r="B350" s="30">
        <v>67017121</v>
      </c>
      <c r="C350" s="54" t="s">
        <v>504</v>
      </c>
      <c r="D350" s="13" t="s">
        <v>503</v>
      </c>
      <c r="E350" s="30">
        <v>60</v>
      </c>
      <c r="F350" s="30" t="s">
        <v>73</v>
      </c>
      <c r="G350" s="30">
        <f t="shared" si="30"/>
        <v>61.5</v>
      </c>
      <c r="H350" s="31">
        <f t="shared" si="31"/>
        <v>58.5</v>
      </c>
      <c r="I350" s="31">
        <f t="shared" si="32"/>
        <v>64.5</v>
      </c>
      <c r="J350" s="31">
        <f t="shared" si="34"/>
        <v>55.5</v>
      </c>
      <c r="K350" s="32">
        <f t="shared" si="35"/>
        <v>60</v>
      </c>
      <c r="M350" s="33">
        <f t="shared" si="33"/>
        <v>4.5</v>
      </c>
      <c r="N350" s="33">
        <v>5.3</v>
      </c>
      <c r="P350" s="32"/>
    </row>
    <row r="351" spans="2:16" ht="16.5" customHeight="1">
      <c r="B351" s="30">
        <v>67017169</v>
      </c>
      <c r="C351" s="54" t="s">
        <v>505</v>
      </c>
      <c r="D351" s="13" t="s">
        <v>503</v>
      </c>
      <c r="E351" s="30">
        <v>125</v>
      </c>
      <c r="F351" s="30" t="s">
        <v>73</v>
      </c>
      <c r="G351" s="30">
        <f t="shared" si="30"/>
        <v>126.875</v>
      </c>
      <c r="H351" s="31">
        <f t="shared" si="31"/>
        <v>123.125</v>
      </c>
      <c r="I351" s="31">
        <f t="shared" si="32"/>
        <v>130.625</v>
      </c>
      <c r="J351" s="31">
        <f t="shared" si="34"/>
        <v>119.375</v>
      </c>
      <c r="K351" s="32">
        <f t="shared" si="35"/>
        <v>125</v>
      </c>
      <c r="M351" s="33">
        <f t="shared" si="33"/>
        <v>5.625</v>
      </c>
      <c r="N351" s="33">
        <v>9.3000000000000007</v>
      </c>
      <c r="P351" s="32"/>
    </row>
    <row r="352" spans="2:16" ht="16.5" customHeight="1">
      <c r="B352" s="30">
        <v>67017142</v>
      </c>
      <c r="C352" s="54" t="s">
        <v>506</v>
      </c>
      <c r="D352" s="13" t="s">
        <v>503</v>
      </c>
      <c r="E352" s="30">
        <v>60</v>
      </c>
      <c r="F352" s="30" t="s">
        <v>73</v>
      </c>
      <c r="G352" s="30">
        <f t="shared" si="30"/>
        <v>61.5</v>
      </c>
      <c r="H352" s="31">
        <f t="shared" si="31"/>
        <v>58.5</v>
      </c>
      <c r="I352" s="31">
        <f t="shared" si="32"/>
        <v>64.5</v>
      </c>
      <c r="J352" s="31">
        <f t="shared" si="34"/>
        <v>55.5</v>
      </c>
      <c r="K352" s="32">
        <f t="shared" si="35"/>
        <v>60</v>
      </c>
      <c r="M352" s="33">
        <f t="shared" si="33"/>
        <v>4.5</v>
      </c>
      <c r="N352" s="33">
        <v>5.3</v>
      </c>
      <c r="P352" s="32"/>
    </row>
    <row r="353" spans="2:16" ht="16.5" customHeight="1">
      <c r="B353" s="30">
        <v>67017124</v>
      </c>
      <c r="C353" s="54" t="s">
        <v>507</v>
      </c>
      <c r="D353" s="13" t="s">
        <v>503</v>
      </c>
      <c r="E353" s="30">
        <v>125</v>
      </c>
      <c r="F353" s="30" t="s">
        <v>73</v>
      </c>
      <c r="G353" s="30">
        <f t="shared" si="30"/>
        <v>126.875</v>
      </c>
      <c r="H353" s="31">
        <f t="shared" si="31"/>
        <v>123.125</v>
      </c>
      <c r="I353" s="31">
        <f t="shared" si="32"/>
        <v>130.625</v>
      </c>
      <c r="J353" s="31">
        <f t="shared" si="34"/>
        <v>119.375</v>
      </c>
      <c r="K353" s="32">
        <f t="shared" si="35"/>
        <v>125</v>
      </c>
      <c r="M353" s="33">
        <f t="shared" si="33"/>
        <v>5.625</v>
      </c>
      <c r="N353" s="33">
        <v>9.3000000000000007</v>
      </c>
      <c r="P353" s="32"/>
    </row>
    <row r="354" spans="2:16" ht="16.5" customHeight="1">
      <c r="B354" s="30">
        <v>67056282</v>
      </c>
      <c r="C354" s="54" t="s">
        <v>508</v>
      </c>
      <c r="D354" s="13" t="s">
        <v>509</v>
      </c>
      <c r="E354" s="30">
        <v>100</v>
      </c>
      <c r="F354" s="30" t="s">
        <v>73</v>
      </c>
      <c r="G354" s="30">
        <f t="shared" si="30"/>
        <v>101.5</v>
      </c>
      <c r="H354" s="31">
        <f t="shared" si="31"/>
        <v>98.5</v>
      </c>
      <c r="I354" s="31">
        <f t="shared" si="32"/>
        <v>104.5</v>
      </c>
      <c r="J354" s="31">
        <f t="shared" si="34"/>
        <v>95.5</v>
      </c>
      <c r="K354" s="32">
        <f t="shared" si="35"/>
        <v>100</v>
      </c>
      <c r="M354" s="33">
        <f t="shared" si="33"/>
        <v>4.5</v>
      </c>
      <c r="N354" s="33">
        <v>5.8</v>
      </c>
      <c r="P354" s="41"/>
    </row>
    <row r="355" spans="2:16" ht="16.5" customHeight="1">
      <c r="B355" s="30">
        <v>67056274</v>
      </c>
      <c r="C355" s="54" t="s">
        <v>510</v>
      </c>
      <c r="D355" s="13" t="s">
        <v>509</v>
      </c>
      <c r="E355" s="30">
        <v>160</v>
      </c>
      <c r="F355" s="30" t="s">
        <v>73</v>
      </c>
      <c r="G355" s="30">
        <f t="shared" si="30"/>
        <v>162.4</v>
      </c>
      <c r="H355" s="31">
        <f t="shared" si="31"/>
        <v>157.6</v>
      </c>
      <c r="I355" s="31">
        <f t="shared" si="32"/>
        <v>167.2</v>
      </c>
      <c r="J355" s="31">
        <f t="shared" si="34"/>
        <v>152.80000000000001</v>
      </c>
      <c r="K355" s="32">
        <f t="shared" si="35"/>
        <v>160</v>
      </c>
      <c r="M355" s="33">
        <f t="shared" si="33"/>
        <v>7.1999999999999993</v>
      </c>
      <c r="N355" s="33">
        <v>8</v>
      </c>
      <c r="P355" s="41"/>
    </row>
    <row r="356" spans="2:16" ht="16.5" customHeight="1">
      <c r="B356" s="30">
        <v>67056279</v>
      </c>
      <c r="C356" s="54" t="s">
        <v>511</v>
      </c>
      <c r="D356" s="13" t="s">
        <v>509</v>
      </c>
      <c r="E356" s="30">
        <v>100</v>
      </c>
      <c r="F356" s="30" t="s">
        <v>73</v>
      </c>
      <c r="G356" s="30">
        <f t="shared" si="30"/>
        <v>101.5</v>
      </c>
      <c r="H356" s="31">
        <f t="shared" si="31"/>
        <v>98.5</v>
      </c>
      <c r="I356" s="31">
        <f t="shared" si="32"/>
        <v>104.5</v>
      </c>
      <c r="J356" s="31">
        <f t="shared" si="34"/>
        <v>95.5</v>
      </c>
      <c r="K356" s="32">
        <f t="shared" si="35"/>
        <v>100</v>
      </c>
      <c r="M356" s="33">
        <f t="shared" si="33"/>
        <v>4.5</v>
      </c>
      <c r="N356" s="33">
        <v>6.7</v>
      </c>
      <c r="P356" s="41"/>
    </row>
    <row r="357" spans="2:16" ht="16.5" customHeight="1">
      <c r="B357" s="30">
        <v>67056276</v>
      </c>
      <c r="C357" s="54" t="s">
        <v>512</v>
      </c>
      <c r="D357" s="13" t="s">
        <v>509</v>
      </c>
      <c r="E357" s="30">
        <v>160</v>
      </c>
      <c r="F357" s="30" t="s">
        <v>73</v>
      </c>
      <c r="G357" s="30">
        <f t="shared" si="30"/>
        <v>162.4</v>
      </c>
      <c r="H357" s="31">
        <f t="shared" si="31"/>
        <v>157.6</v>
      </c>
      <c r="I357" s="31">
        <f t="shared" si="32"/>
        <v>167.2</v>
      </c>
      <c r="J357" s="31">
        <f t="shared" si="34"/>
        <v>152.80000000000001</v>
      </c>
      <c r="K357" s="32">
        <f t="shared" si="35"/>
        <v>160</v>
      </c>
      <c r="M357" s="33">
        <f t="shared" si="33"/>
        <v>7.1999999999999993</v>
      </c>
      <c r="N357" s="33">
        <v>8</v>
      </c>
      <c r="P357" s="41"/>
    </row>
    <row r="358" spans="2:16" ht="16.5" customHeight="1">
      <c r="B358" s="30">
        <v>67056229</v>
      </c>
      <c r="C358" s="54" t="s">
        <v>513</v>
      </c>
      <c r="D358" s="13" t="s">
        <v>509</v>
      </c>
      <c r="E358" s="30">
        <v>100</v>
      </c>
      <c r="F358" s="30" t="s">
        <v>73</v>
      </c>
      <c r="G358" s="30">
        <f t="shared" si="30"/>
        <v>101.5</v>
      </c>
      <c r="H358" s="31">
        <f t="shared" si="31"/>
        <v>98.5</v>
      </c>
      <c r="I358" s="31">
        <f t="shared" si="32"/>
        <v>104.5</v>
      </c>
      <c r="J358" s="31">
        <f t="shared" si="34"/>
        <v>95.5</v>
      </c>
      <c r="K358" s="32">
        <f t="shared" si="35"/>
        <v>100</v>
      </c>
      <c r="M358" s="33">
        <f t="shared" si="33"/>
        <v>4.5</v>
      </c>
      <c r="N358" s="33">
        <v>8.4</v>
      </c>
      <c r="P358" s="41"/>
    </row>
    <row r="359" spans="2:16" ht="16.5" customHeight="1">
      <c r="B359" s="30">
        <v>67056231</v>
      </c>
      <c r="C359" s="54" t="s">
        <v>514</v>
      </c>
      <c r="D359" s="13" t="s">
        <v>509</v>
      </c>
      <c r="E359" s="30">
        <v>50</v>
      </c>
      <c r="F359" s="30" t="s">
        <v>73</v>
      </c>
      <c r="G359" s="30">
        <f t="shared" si="30"/>
        <v>51.5</v>
      </c>
      <c r="H359" s="31">
        <f t="shared" si="31"/>
        <v>48.5</v>
      </c>
      <c r="I359" s="31">
        <f t="shared" si="32"/>
        <v>54.5</v>
      </c>
      <c r="J359" s="31">
        <f t="shared" si="34"/>
        <v>45.5</v>
      </c>
      <c r="K359" s="32">
        <f t="shared" si="35"/>
        <v>50</v>
      </c>
      <c r="M359" s="33">
        <f t="shared" si="33"/>
        <v>4.5</v>
      </c>
      <c r="N359" s="33">
        <v>5.7</v>
      </c>
      <c r="P359" s="41"/>
    </row>
    <row r="360" spans="2:16" ht="16.5" customHeight="1">
      <c r="B360" s="30">
        <v>67097312</v>
      </c>
      <c r="C360" s="54" t="s">
        <v>515</v>
      </c>
      <c r="D360" s="13" t="s">
        <v>516</v>
      </c>
      <c r="E360" s="30">
        <v>145</v>
      </c>
      <c r="F360" s="30" t="s">
        <v>82</v>
      </c>
      <c r="G360" s="30">
        <f t="shared" si="30"/>
        <v>195.00687500000001</v>
      </c>
      <c r="H360" s="31">
        <f t="shared" si="31"/>
        <v>189.24312499999999</v>
      </c>
      <c r="I360" s="31">
        <f t="shared" si="32"/>
        <v>200.770625</v>
      </c>
      <c r="J360" s="31">
        <f t="shared" si="34"/>
        <v>183.479375</v>
      </c>
      <c r="K360" s="32">
        <f>IF(F360="ml",E360*L360,E360)</f>
        <v>192.125</v>
      </c>
      <c r="L360" s="56">
        <v>1.325</v>
      </c>
      <c r="M360" s="33">
        <f t="shared" si="33"/>
        <v>8.645624999999999</v>
      </c>
      <c r="N360" s="33">
        <v>8.6999999999999993</v>
      </c>
      <c r="P360" s="32"/>
    </row>
    <row r="361" spans="2:16" ht="16.5" customHeight="1">
      <c r="B361" s="30">
        <v>67097315</v>
      </c>
      <c r="C361" s="54" t="s">
        <v>517</v>
      </c>
      <c r="D361" s="13" t="s">
        <v>516</v>
      </c>
      <c r="E361" s="30">
        <v>145</v>
      </c>
      <c r="F361" s="30" t="s">
        <v>82</v>
      </c>
      <c r="G361" s="30">
        <f t="shared" si="30"/>
        <v>195.00687500000001</v>
      </c>
      <c r="H361" s="31">
        <f t="shared" si="31"/>
        <v>189.24312499999999</v>
      </c>
      <c r="I361" s="31">
        <f t="shared" si="32"/>
        <v>200.770625</v>
      </c>
      <c r="J361" s="31">
        <f t="shared" si="34"/>
        <v>183.479375</v>
      </c>
      <c r="K361" s="32">
        <f>IF(F361="ml",E361*L361,E361)</f>
        <v>192.125</v>
      </c>
      <c r="L361" s="56">
        <v>1.325</v>
      </c>
      <c r="M361" s="33">
        <f t="shared" si="33"/>
        <v>8.645624999999999</v>
      </c>
      <c r="N361" s="33">
        <v>8.6999999999999993</v>
      </c>
      <c r="P361" s="32"/>
    </row>
    <row r="362" spans="2:16" ht="16.5" customHeight="1">
      <c r="B362" s="30">
        <v>67097387</v>
      </c>
      <c r="C362" s="54" t="s">
        <v>492</v>
      </c>
      <c r="D362" s="36" t="s">
        <v>76</v>
      </c>
      <c r="E362" s="30">
        <v>200</v>
      </c>
      <c r="F362" s="30" t="s">
        <v>73</v>
      </c>
      <c r="G362" s="30">
        <f t="shared" si="30"/>
        <v>203</v>
      </c>
      <c r="H362" s="31">
        <f t="shared" si="31"/>
        <v>197</v>
      </c>
      <c r="I362" s="31">
        <f t="shared" si="32"/>
        <v>209</v>
      </c>
      <c r="J362" s="31">
        <f t="shared" si="34"/>
        <v>191</v>
      </c>
      <c r="K362" s="32">
        <f t="shared" si="35"/>
        <v>200</v>
      </c>
      <c r="M362" s="33">
        <f t="shared" si="33"/>
        <v>9</v>
      </c>
      <c r="N362" s="33">
        <v>7.5</v>
      </c>
      <c r="P362" s="32"/>
    </row>
    <row r="363" spans="2:16" ht="16.5" customHeight="1">
      <c r="B363" s="30">
        <v>67097313</v>
      </c>
      <c r="C363" s="54" t="s">
        <v>518</v>
      </c>
      <c r="D363" s="13" t="s">
        <v>516</v>
      </c>
      <c r="E363" s="30">
        <v>95</v>
      </c>
      <c r="F363" s="30" t="s">
        <v>82</v>
      </c>
      <c r="G363" s="30">
        <f t="shared" si="30"/>
        <v>127.763125</v>
      </c>
      <c r="H363" s="31">
        <f t="shared" si="31"/>
        <v>123.986875</v>
      </c>
      <c r="I363" s="31">
        <f t="shared" si="32"/>
        <v>131.53937500000001</v>
      </c>
      <c r="J363" s="31">
        <f t="shared" si="34"/>
        <v>120.21062499999999</v>
      </c>
      <c r="K363" s="32">
        <f>IF(F363="ml",E363*L363,E363)</f>
        <v>125.875</v>
      </c>
      <c r="L363" s="56">
        <v>1.325</v>
      </c>
      <c r="M363" s="33">
        <f t="shared" si="33"/>
        <v>5.6643749999999997</v>
      </c>
      <c r="N363" s="33">
        <v>7.2</v>
      </c>
      <c r="P363" s="32"/>
    </row>
    <row r="364" spans="2:16" ht="16.5" customHeight="1">
      <c r="B364" s="30">
        <v>67097314</v>
      </c>
      <c r="C364" s="54" t="s">
        <v>483</v>
      </c>
      <c r="D364" s="13" t="s">
        <v>357</v>
      </c>
      <c r="E364" s="30">
        <v>95</v>
      </c>
      <c r="F364" s="30" t="s">
        <v>82</v>
      </c>
      <c r="G364" s="30">
        <f t="shared" si="30"/>
        <v>127.763125</v>
      </c>
      <c r="H364" s="31">
        <f t="shared" si="31"/>
        <v>123.986875</v>
      </c>
      <c r="I364" s="31">
        <f t="shared" si="32"/>
        <v>131.53937500000001</v>
      </c>
      <c r="J364" s="31">
        <f t="shared" si="34"/>
        <v>120.21062499999999</v>
      </c>
      <c r="K364" s="32">
        <f t="shared" si="35"/>
        <v>125.875</v>
      </c>
      <c r="L364" s="56">
        <v>1.325</v>
      </c>
      <c r="M364" s="33">
        <f t="shared" si="33"/>
        <v>5.6643749999999997</v>
      </c>
      <c r="N364" s="33">
        <v>7.2</v>
      </c>
      <c r="P364" s="32"/>
    </row>
    <row r="365" spans="2:16" ht="16.5" customHeight="1">
      <c r="B365" s="30">
        <v>67070512</v>
      </c>
      <c r="C365" s="54" t="s">
        <v>519</v>
      </c>
      <c r="D365" s="36" t="s">
        <v>76</v>
      </c>
      <c r="E365" s="30">
        <v>30</v>
      </c>
      <c r="F365" s="30" t="s">
        <v>73</v>
      </c>
      <c r="G365" s="30">
        <f t="shared" si="30"/>
        <v>30.9</v>
      </c>
      <c r="H365" s="31">
        <f t="shared" si="31"/>
        <v>29.1</v>
      </c>
      <c r="I365" s="31">
        <f t="shared" si="32"/>
        <v>32.700000000000003</v>
      </c>
      <c r="J365" s="31">
        <f t="shared" si="34"/>
        <v>27.3</v>
      </c>
      <c r="K365" s="32">
        <f t="shared" si="35"/>
        <v>30</v>
      </c>
      <c r="M365" s="33">
        <f t="shared" si="33"/>
        <v>2.6999999999999997</v>
      </c>
      <c r="N365" s="33">
        <v>4</v>
      </c>
      <c r="P365" s="32"/>
    </row>
    <row r="366" spans="2:16" ht="16.5" customHeight="1">
      <c r="B366" s="30">
        <v>67116536</v>
      </c>
      <c r="C366" s="54" t="s">
        <v>520</v>
      </c>
      <c r="D366" s="36" t="s">
        <v>76</v>
      </c>
      <c r="E366" s="30">
        <v>230</v>
      </c>
      <c r="F366" s="30" t="s">
        <v>73</v>
      </c>
      <c r="G366" s="30">
        <f t="shared" si="30"/>
        <v>233</v>
      </c>
      <c r="H366" s="31">
        <f t="shared" si="31"/>
        <v>227</v>
      </c>
      <c r="I366" s="31">
        <f t="shared" si="32"/>
        <v>239</v>
      </c>
      <c r="J366" s="31">
        <f t="shared" si="34"/>
        <v>221</v>
      </c>
      <c r="K366" s="32">
        <f t="shared" si="35"/>
        <v>230</v>
      </c>
      <c r="M366" s="33">
        <f t="shared" si="33"/>
        <v>9</v>
      </c>
      <c r="N366" s="33">
        <v>9.1999999999999993</v>
      </c>
      <c r="P366" s="32"/>
    </row>
    <row r="367" spans="2:16" ht="16.5" customHeight="1">
      <c r="B367" s="30">
        <v>67116539</v>
      </c>
      <c r="C367" s="54" t="s">
        <v>521</v>
      </c>
      <c r="D367" s="36" t="s">
        <v>76</v>
      </c>
      <c r="E367" s="30">
        <v>231</v>
      </c>
      <c r="F367" s="30" t="s">
        <v>73</v>
      </c>
      <c r="G367" s="30">
        <f t="shared" si="30"/>
        <v>234</v>
      </c>
      <c r="H367" s="31">
        <f t="shared" si="31"/>
        <v>228</v>
      </c>
      <c r="I367" s="31">
        <f t="shared" si="32"/>
        <v>240</v>
      </c>
      <c r="J367" s="31">
        <f t="shared" si="34"/>
        <v>222</v>
      </c>
      <c r="K367" s="32">
        <f t="shared" si="35"/>
        <v>231</v>
      </c>
      <c r="M367" s="33">
        <f t="shared" si="33"/>
        <v>9</v>
      </c>
      <c r="N367" s="33">
        <v>9.1999999999999993</v>
      </c>
      <c r="P367" s="32"/>
    </row>
    <row r="368" spans="2:16" ht="16.5" customHeight="1">
      <c r="B368" s="30">
        <v>67088138</v>
      </c>
      <c r="C368" s="54" t="s">
        <v>522</v>
      </c>
      <c r="D368" s="36" t="s">
        <v>76</v>
      </c>
      <c r="E368" s="30">
        <v>200</v>
      </c>
      <c r="F368" s="30" t="s">
        <v>73</v>
      </c>
      <c r="G368" s="30">
        <f t="shared" si="30"/>
        <v>203</v>
      </c>
      <c r="H368" s="31">
        <f t="shared" si="31"/>
        <v>197</v>
      </c>
      <c r="I368" s="31">
        <f t="shared" si="32"/>
        <v>209</v>
      </c>
      <c r="J368" s="31">
        <f t="shared" si="34"/>
        <v>191</v>
      </c>
      <c r="K368" s="32">
        <f t="shared" si="35"/>
        <v>200</v>
      </c>
      <c r="M368" s="33">
        <f t="shared" si="33"/>
        <v>9</v>
      </c>
      <c r="N368" s="33">
        <v>8</v>
      </c>
      <c r="P368" s="32"/>
    </row>
    <row r="369" spans="1:16" ht="16.5" customHeight="1">
      <c r="B369" s="30">
        <v>67112933</v>
      </c>
      <c r="C369" s="54" t="s">
        <v>523</v>
      </c>
      <c r="D369" s="36" t="s">
        <v>76</v>
      </c>
      <c r="E369" s="30">
        <v>240</v>
      </c>
      <c r="F369" s="30" t="s">
        <v>73</v>
      </c>
      <c r="G369" s="30">
        <f t="shared" si="30"/>
        <v>243</v>
      </c>
      <c r="H369" s="31">
        <f t="shared" si="31"/>
        <v>237</v>
      </c>
      <c r="I369" s="31">
        <f t="shared" si="32"/>
        <v>249</v>
      </c>
      <c r="J369" s="31">
        <f t="shared" si="34"/>
        <v>231</v>
      </c>
      <c r="K369" s="32">
        <f t="shared" si="35"/>
        <v>240</v>
      </c>
      <c r="M369" s="33">
        <f t="shared" si="33"/>
        <v>9</v>
      </c>
      <c r="N369" s="33">
        <v>9</v>
      </c>
      <c r="P369" s="32"/>
    </row>
    <row r="370" spans="1:16" ht="16.5" customHeight="1">
      <c r="B370" s="30">
        <v>67112243</v>
      </c>
      <c r="C370" s="54" t="s">
        <v>524</v>
      </c>
      <c r="D370" s="36" t="s">
        <v>87</v>
      </c>
      <c r="E370" s="55">
        <v>75</v>
      </c>
      <c r="F370" s="30" t="s">
        <v>73</v>
      </c>
      <c r="G370" s="30">
        <f t="shared" si="30"/>
        <v>77.25</v>
      </c>
      <c r="H370" s="31">
        <f t="shared" si="31"/>
        <v>75.75</v>
      </c>
      <c r="I370" s="31">
        <f t="shared" si="32"/>
        <v>78.75</v>
      </c>
      <c r="J370" s="31">
        <f t="shared" si="34"/>
        <v>75</v>
      </c>
      <c r="K370" s="32">
        <f>IF(F370="ml",E370*L370,E370)</f>
        <v>75</v>
      </c>
      <c r="L370" s="32"/>
      <c r="M370" s="33">
        <f t="shared" si="33"/>
        <v>0</v>
      </c>
      <c r="N370" s="33">
        <v>6.6</v>
      </c>
      <c r="P370" s="41" t="s">
        <v>88</v>
      </c>
    </row>
    <row r="371" spans="1:16" ht="16.5" customHeight="1">
      <c r="B371" s="30">
        <v>67112241</v>
      </c>
      <c r="C371" s="54" t="s">
        <v>525</v>
      </c>
      <c r="D371" s="36" t="s">
        <v>87</v>
      </c>
      <c r="E371" s="55">
        <v>75</v>
      </c>
      <c r="F371" s="30" t="s">
        <v>73</v>
      </c>
      <c r="G371" s="30">
        <f t="shared" si="30"/>
        <v>77.25</v>
      </c>
      <c r="H371" s="31">
        <f t="shared" si="31"/>
        <v>75.75</v>
      </c>
      <c r="I371" s="31">
        <f t="shared" si="32"/>
        <v>78.75</v>
      </c>
      <c r="J371" s="31">
        <f t="shared" si="34"/>
        <v>75</v>
      </c>
      <c r="K371" s="32">
        <f>IF(F371="ml",E371*L371,E371)</f>
        <v>75</v>
      </c>
      <c r="L371" s="32"/>
      <c r="M371" s="33">
        <f t="shared" si="33"/>
        <v>0</v>
      </c>
      <c r="N371" s="33">
        <v>6.6</v>
      </c>
      <c r="P371" s="41" t="s">
        <v>88</v>
      </c>
    </row>
    <row r="372" spans="1:16" ht="16.5" customHeight="1">
      <c r="B372" s="30">
        <v>67112935</v>
      </c>
      <c r="C372" s="54" t="s">
        <v>526</v>
      </c>
      <c r="D372" s="36" t="s">
        <v>76</v>
      </c>
      <c r="E372" s="30">
        <v>200</v>
      </c>
      <c r="F372" s="30" t="s">
        <v>73</v>
      </c>
      <c r="G372" s="30">
        <f t="shared" si="30"/>
        <v>203</v>
      </c>
      <c r="H372" s="31">
        <f t="shared" si="31"/>
        <v>197</v>
      </c>
      <c r="I372" s="31">
        <f t="shared" si="32"/>
        <v>209</v>
      </c>
      <c r="J372" s="31">
        <f t="shared" si="34"/>
        <v>191</v>
      </c>
      <c r="K372" s="32">
        <f t="shared" si="35"/>
        <v>200</v>
      </c>
      <c r="M372" s="33">
        <f t="shared" si="33"/>
        <v>9</v>
      </c>
      <c r="N372" s="33">
        <v>7.5</v>
      </c>
      <c r="P372" s="32" t="s">
        <v>385</v>
      </c>
    </row>
    <row r="373" spans="1:16" ht="16.5" customHeight="1">
      <c r="B373" s="30">
        <v>67113786</v>
      </c>
      <c r="C373" s="54" t="s">
        <v>527</v>
      </c>
      <c r="D373" s="36" t="s">
        <v>76</v>
      </c>
      <c r="E373" s="30">
        <v>200</v>
      </c>
      <c r="F373" s="30" t="s">
        <v>73</v>
      </c>
      <c r="G373" s="30">
        <f t="shared" si="30"/>
        <v>203</v>
      </c>
      <c r="H373" s="31">
        <f t="shared" si="31"/>
        <v>197</v>
      </c>
      <c r="I373" s="31">
        <f t="shared" si="32"/>
        <v>209</v>
      </c>
      <c r="J373" s="31">
        <f t="shared" si="34"/>
        <v>191</v>
      </c>
      <c r="K373" s="32">
        <f t="shared" si="35"/>
        <v>200</v>
      </c>
      <c r="M373" s="33">
        <f t="shared" si="33"/>
        <v>9</v>
      </c>
      <c r="N373" s="33">
        <v>7.5</v>
      </c>
      <c r="P373" s="32" t="s">
        <v>385</v>
      </c>
    </row>
    <row r="374" spans="1:16" ht="16.5" customHeight="1">
      <c r="A374" s="25" t="s">
        <v>214</v>
      </c>
      <c r="B374" s="30">
        <v>21110890</v>
      </c>
      <c r="C374" s="54" t="s">
        <v>528</v>
      </c>
      <c r="D374" s="13" t="s">
        <v>448</v>
      </c>
      <c r="E374" s="30">
        <v>10</v>
      </c>
      <c r="F374" s="30" t="s">
        <v>73</v>
      </c>
      <c r="G374" s="30">
        <f t="shared" si="30"/>
        <v>10.3</v>
      </c>
      <c r="H374" s="31">
        <f t="shared" si="31"/>
        <v>9.6999999999999993</v>
      </c>
      <c r="I374" s="31">
        <f t="shared" si="32"/>
        <v>10.9</v>
      </c>
      <c r="J374" s="31">
        <f t="shared" si="34"/>
        <v>9.1</v>
      </c>
      <c r="K374" s="32">
        <f t="shared" si="35"/>
        <v>10</v>
      </c>
      <c r="M374" s="33">
        <f t="shared" si="33"/>
        <v>0.89999999999999991</v>
      </c>
      <c r="N374" s="33">
        <v>0.9</v>
      </c>
      <c r="P374" s="32"/>
    </row>
    <row r="375" spans="1:16" ht="16.5" customHeight="1">
      <c r="B375" s="30">
        <v>67179827</v>
      </c>
      <c r="C375" s="54" t="s">
        <v>529</v>
      </c>
      <c r="D375" s="36" t="s">
        <v>76</v>
      </c>
      <c r="E375" s="30">
        <v>190</v>
      </c>
      <c r="F375" s="30" t="s">
        <v>73</v>
      </c>
      <c r="G375" s="30">
        <f t="shared" si="30"/>
        <v>192.85</v>
      </c>
      <c r="H375" s="31">
        <f t="shared" si="31"/>
        <v>187.15</v>
      </c>
      <c r="I375" s="31">
        <f t="shared" si="32"/>
        <v>198.55</v>
      </c>
      <c r="J375" s="31">
        <f t="shared" si="34"/>
        <v>181.45</v>
      </c>
      <c r="K375" s="32">
        <f t="shared" si="35"/>
        <v>190</v>
      </c>
      <c r="M375" s="33">
        <f t="shared" si="33"/>
        <v>8.5499999999999989</v>
      </c>
      <c r="N375" s="33">
        <v>7.5</v>
      </c>
      <c r="P375" s="32"/>
    </row>
    <row r="376" spans="1:16" ht="16.5" customHeight="1">
      <c r="B376" s="30">
        <v>67179824</v>
      </c>
      <c r="C376" s="54" t="s">
        <v>530</v>
      </c>
      <c r="D376" s="36" t="s">
        <v>76</v>
      </c>
      <c r="E376" s="30">
        <v>190</v>
      </c>
      <c r="F376" s="30" t="s">
        <v>73</v>
      </c>
      <c r="G376" s="30">
        <f t="shared" si="30"/>
        <v>192.85</v>
      </c>
      <c r="H376" s="31">
        <f t="shared" si="31"/>
        <v>187.15</v>
      </c>
      <c r="I376" s="31">
        <f t="shared" si="32"/>
        <v>198.55</v>
      </c>
      <c r="J376" s="31">
        <f t="shared" si="34"/>
        <v>181.45</v>
      </c>
      <c r="K376" s="32">
        <f t="shared" si="35"/>
        <v>190</v>
      </c>
      <c r="M376" s="33">
        <f t="shared" si="33"/>
        <v>8.5499999999999989</v>
      </c>
      <c r="N376" s="33">
        <v>7.5</v>
      </c>
      <c r="P376" s="32"/>
    </row>
    <row r="377" spans="1:16" ht="16.5" customHeight="1">
      <c r="B377" s="30">
        <v>67120643</v>
      </c>
      <c r="C377" s="54" t="s">
        <v>531</v>
      </c>
      <c r="D377" s="13" t="s">
        <v>262</v>
      </c>
      <c r="E377" s="30">
        <v>75</v>
      </c>
      <c r="F377" s="30" t="s">
        <v>73</v>
      </c>
      <c r="G377" s="30">
        <f t="shared" si="30"/>
        <v>76.5</v>
      </c>
      <c r="H377" s="31">
        <f t="shared" si="31"/>
        <v>73.5</v>
      </c>
      <c r="I377" s="31">
        <f t="shared" si="32"/>
        <v>79.5</v>
      </c>
      <c r="J377" s="31">
        <f t="shared" si="34"/>
        <v>70.5</v>
      </c>
      <c r="K377" s="32">
        <f t="shared" si="35"/>
        <v>75</v>
      </c>
      <c r="M377" s="33">
        <f t="shared" si="33"/>
        <v>4.5</v>
      </c>
      <c r="N377" s="33">
        <v>4.5999999999999996</v>
      </c>
      <c r="P377" s="32" t="s">
        <v>385</v>
      </c>
    </row>
    <row r="378" spans="1:16" ht="16.5" customHeight="1">
      <c r="B378" s="30">
        <v>67136092</v>
      </c>
      <c r="C378" s="54" t="s">
        <v>532</v>
      </c>
      <c r="D378" s="13" t="s">
        <v>448</v>
      </c>
      <c r="E378" s="30">
        <v>13</v>
      </c>
      <c r="F378" s="30" t="s">
        <v>73</v>
      </c>
      <c r="G378" s="31">
        <f t="shared" si="30"/>
        <v>13.39</v>
      </c>
      <c r="H378" s="31">
        <f t="shared" si="31"/>
        <v>12.61</v>
      </c>
      <c r="I378" s="31">
        <f t="shared" si="32"/>
        <v>14.17</v>
      </c>
      <c r="J378" s="31">
        <f t="shared" si="34"/>
        <v>11.83</v>
      </c>
      <c r="K378" s="32">
        <f t="shared" si="35"/>
        <v>13</v>
      </c>
      <c r="M378" s="68">
        <f t="shared" si="33"/>
        <v>1.17</v>
      </c>
      <c r="N378" s="33">
        <v>1</v>
      </c>
      <c r="P378" s="32"/>
    </row>
    <row r="379" spans="1:16" ht="16.5" customHeight="1">
      <c r="B379" s="30">
        <v>67120644</v>
      </c>
      <c r="C379" s="54" t="s">
        <v>533</v>
      </c>
      <c r="D379" s="13" t="s">
        <v>262</v>
      </c>
      <c r="E379" s="30">
        <v>160</v>
      </c>
      <c r="F379" s="30" t="s">
        <v>73</v>
      </c>
      <c r="G379" s="30">
        <f t="shared" si="30"/>
        <v>162.4</v>
      </c>
      <c r="H379" s="31">
        <f t="shared" si="31"/>
        <v>157.6</v>
      </c>
      <c r="I379" s="31">
        <f t="shared" si="32"/>
        <v>167.2</v>
      </c>
      <c r="J379" s="31">
        <f t="shared" si="34"/>
        <v>152.80000000000001</v>
      </c>
      <c r="K379" s="32">
        <f t="shared" si="35"/>
        <v>160</v>
      </c>
      <c r="M379" s="33">
        <f t="shared" si="33"/>
        <v>7.1999999999999993</v>
      </c>
      <c r="N379" s="33">
        <v>7.3</v>
      </c>
      <c r="P379" s="32"/>
    </row>
    <row r="380" spans="1:16" ht="16.5" customHeight="1">
      <c r="B380" s="30">
        <v>67133949</v>
      </c>
      <c r="C380" s="54" t="s">
        <v>534</v>
      </c>
      <c r="D380" s="36" t="s">
        <v>76</v>
      </c>
      <c r="E380" s="30">
        <v>30</v>
      </c>
      <c r="F380" s="30" t="s">
        <v>73</v>
      </c>
      <c r="G380" s="30">
        <f t="shared" si="30"/>
        <v>30.9</v>
      </c>
      <c r="H380" s="31">
        <f t="shared" si="31"/>
        <v>29.1</v>
      </c>
      <c r="I380" s="31">
        <f t="shared" si="32"/>
        <v>32.700000000000003</v>
      </c>
      <c r="J380" s="31">
        <f t="shared" si="34"/>
        <v>27.3</v>
      </c>
      <c r="K380" s="32">
        <f t="shared" si="35"/>
        <v>30</v>
      </c>
      <c r="M380" s="33">
        <f t="shared" si="33"/>
        <v>2.6999999999999997</v>
      </c>
      <c r="N380" s="33">
        <v>4</v>
      </c>
      <c r="P380" s="32"/>
    </row>
    <row r="381" spans="1:16" ht="16.5" customHeight="1">
      <c r="B381" s="30">
        <v>67133966</v>
      </c>
      <c r="C381" s="54" t="s">
        <v>535</v>
      </c>
      <c r="D381" s="36" t="s">
        <v>76</v>
      </c>
      <c r="E381" s="30">
        <v>230</v>
      </c>
      <c r="F381" s="30" t="s">
        <v>73</v>
      </c>
      <c r="G381" s="30">
        <f t="shared" si="30"/>
        <v>233</v>
      </c>
      <c r="H381" s="31">
        <f t="shared" si="31"/>
        <v>227</v>
      </c>
      <c r="I381" s="31">
        <f t="shared" si="32"/>
        <v>239</v>
      </c>
      <c r="J381" s="31">
        <f t="shared" si="34"/>
        <v>221</v>
      </c>
      <c r="K381" s="32">
        <f t="shared" si="35"/>
        <v>230</v>
      </c>
      <c r="M381" s="33">
        <f t="shared" si="33"/>
        <v>9</v>
      </c>
      <c r="N381" s="33">
        <v>9.1999999999999993</v>
      </c>
      <c r="P381" s="32"/>
    </row>
    <row r="382" spans="1:16" ht="16.5" customHeight="1">
      <c r="B382" s="30">
        <v>67133954</v>
      </c>
      <c r="C382" s="54" t="s">
        <v>536</v>
      </c>
      <c r="D382" s="36" t="s">
        <v>76</v>
      </c>
      <c r="E382" s="30">
        <v>140</v>
      </c>
      <c r="F382" s="30" t="s">
        <v>73</v>
      </c>
      <c r="G382" s="30">
        <f t="shared" si="30"/>
        <v>142.1</v>
      </c>
      <c r="H382" s="31">
        <f t="shared" si="31"/>
        <v>137.9</v>
      </c>
      <c r="I382" s="31">
        <f t="shared" si="32"/>
        <v>146.30000000000001</v>
      </c>
      <c r="J382" s="31">
        <f t="shared" si="34"/>
        <v>133.69999999999999</v>
      </c>
      <c r="K382" s="32">
        <f t="shared" si="35"/>
        <v>140</v>
      </c>
      <c r="M382" s="33">
        <f t="shared" si="33"/>
        <v>6.3</v>
      </c>
      <c r="N382" s="33">
        <v>7.6</v>
      </c>
      <c r="P382" s="32"/>
    </row>
    <row r="383" spans="1:16" ht="16.5" customHeight="1">
      <c r="B383" s="30">
        <v>67133962</v>
      </c>
      <c r="C383" s="54" t="s">
        <v>537</v>
      </c>
      <c r="D383" s="36" t="s">
        <v>76</v>
      </c>
      <c r="E383" s="30">
        <v>140</v>
      </c>
      <c r="F383" s="30" t="s">
        <v>73</v>
      </c>
      <c r="G383" s="30">
        <f t="shared" si="30"/>
        <v>142.1</v>
      </c>
      <c r="H383" s="31">
        <f t="shared" si="31"/>
        <v>137.9</v>
      </c>
      <c r="I383" s="31">
        <f t="shared" si="32"/>
        <v>146.30000000000001</v>
      </c>
      <c r="J383" s="31">
        <f t="shared" si="34"/>
        <v>133.69999999999999</v>
      </c>
      <c r="K383" s="32">
        <f t="shared" si="35"/>
        <v>140</v>
      </c>
      <c r="M383" s="33">
        <f t="shared" si="33"/>
        <v>6.3</v>
      </c>
      <c r="N383" s="33">
        <v>7.6</v>
      </c>
      <c r="P383" s="32"/>
    </row>
    <row r="384" spans="1:16" ht="16.5" customHeight="1">
      <c r="B384" s="30">
        <v>67131720</v>
      </c>
      <c r="C384" s="54" t="s">
        <v>538</v>
      </c>
      <c r="D384" s="36" t="s">
        <v>539</v>
      </c>
      <c r="E384" s="30">
        <v>100</v>
      </c>
      <c r="F384" s="30" t="s">
        <v>73</v>
      </c>
      <c r="G384" s="30">
        <f t="shared" si="30"/>
        <v>101.5</v>
      </c>
      <c r="H384" s="31">
        <f t="shared" si="31"/>
        <v>98.5</v>
      </c>
      <c r="I384" s="31">
        <f t="shared" si="32"/>
        <v>104.5</v>
      </c>
      <c r="J384" s="31">
        <f t="shared" si="34"/>
        <v>95.5</v>
      </c>
      <c r="K384" s="32">
        <f t="shared" si="35"/>
        <v>100</v>
      </c>
      <c r="M384" s="33">
        <f t="shared" si="33"/>
        <v>4.5</v>
      </c>
      <c r="N384" s="33">
        <v>7</v>
      </c>
      <c r="P384" s="32"/>
    </row>
    <row r="385" spans="2:16" ht="16.5" customHeight="1">
      <c r="B385" s="69">
        <v>67131714</v>
      </c>
      <c r="C385" s="70" t="s">
        <v>540</v>
      </c>
      <c r="D385" s="36" t="s">
        <v>539</v>
      </c>
      <c r="E385" s="30">
        <v>100</v>
      </c>
      <c r="F385" s="30" t="s">
        <v>73</v>
      </c>
      <c r="G385" s="30">
        <f t="shared" si="30"/>
        <v>101.5</v>
      </c>
      <c r="H385" s="31">
        <f t="shared" si="31"/>
        <v>98.5</v>
      </c>
      <c r="I385" s="31">
        <f t="shared" si="32"/>
        <v>104.5</v>
      </c>
      <c r="J385" s="31">
        <f t="shared" si="34"/>
        <v>95.5</v>
      </c>
      <c r="K385" s="32">
        <f t="shared" si="35"/>
        <v>100</v>
      </c>
      <c r="M385" s="33">
        <f t="shared" si="33"/>
        <v>4.5</v>
      </c>
      <c r="N385" s="33">
        <v>7</v>
      </c>
      <c r="P385" s="32"/>
    </row>
    <row r="386" spans="2:16" ht="16.5" customHeight="1">
      <c r="B386" s="69">
        <v>67131718</v>
      </c>
      <c r="C386" s="70" t="s">
        <v>541</v>
      </c>
      <c r="D386" s="36" t="s">
        <v>539</v>
      </c>
      <c r="E386" s="30">
        <v>100</v>
      </c>
      <c r="F386" s="30" t="s">
        <v>73</v>
      </c>
      <c r="G386" s="30">
        <f t="shared" si="30"/>
        <v>101.5</v>
      </c>
      <c r="H386" s="31">
        <f t="shared" si="31"/>
        <v>98.5</v>
      </c>
      <c r="I386" s="31">
        <f t="shared" si="32"/>
        <v>104.5</v>
      </c>
      <c r="J386" s="31">
        <f t="shared" si="34"/>
        <v>95.5</v>
      </c>
      <c r="K386" s="32">
        <f t="shared" si="35"/>
        <v>100</v>
      </c>
      <c r="M386" s="33">
        <f t="shared" si="33"/>
        <v>4.5</v>
      </c>
      <c r="N386" s="33">
        <v>7</v>
      </c>
      <c r="P386" s="32"/>
    </row>
    <row r="387" spans="2:16" ht="16.5" customHeight="1">
      <c r="B387" s="30">
        <v>67179393</v>
      </c>
      <c r="C387" s="54" t="s">
        <v>542</v>
      </c>
      <c r="D387" s="36" t="s">
        <v>76</v>
      </c>
      <c r="E387" s="30">
        <v>180</v>
      </c>
      <c r="F387" s="30" t="s">
        <v>73</v>
      </c>
      <c r="G387" s="30">
        <f t="shared" ref="G387:G448" si="36">IF(P387="TL tuyệt đối",K387*103%,K387+1/3*M387)</f>
        <v>182.7</v>
      </c>
      <c r="H387" s="31">
        <f t="shared" ref="H387:H448" si="37">IF(P387="TL tuyệt đối",K387*101%,K387-1/3*M387)</f>
        <v>177.3</v>
      </c>
      <c r="I387" s="31">
        <f t="shared" ref="I387:I448" si="38">IF(P387="TL tuyệt đối", K387*105%,K387+M387)</f>
        <v>188.1</v>
      </c>
      <c r="J387" s="31">
        <f t="shared" si="34"/>
        <v>171.9</v>
      </c>
      <c r="K387" s="32">
        <f t="shared" si="35"/>
        <v>180</v>
      </c>
      <c r="M387" s="33">
        <f t="shared" ref="M387:M448" si="39">IF(P387="TL tuyệt đối",0, IF(K387&lt;5,0,IF(K387&lt;50,K387*9%,IF(K387&lt;100,4.5,IF(K387&lt;200,4.5%*K387,IF(K387&lt;300,9,IF(K387&lt;500,K387*3%,IF(K387&lt;1000,15,))))))))</f>
        <v>8.1</v>
      </c>
      <c r="N387" s="33">
        <v>8.4</v>
      </c>
      <c r="P387" s="32"/>
    </row>
    <row r="388" spans="2:16" ht="16.5" customHeight="1">
      <c r="B388" s="30">
        <v>67179391</v>
      </c>
      <c r="C388" s="54" t="s">
        <v>543</v>
      </c>
      <c r="D388" s="36" t="s">
        <v>76</v>
      </c>
      <c r="E388" s="30">
        <v>180</v>
      </c>
      <c r="F388" s="30" t="s">
        <v>73</v>
      </c>
      <c r="G388" s="30">
        <f t="shared" si="36"/>
        <v>182.7</v>
      </c>
      <c r="H388" s="31">
        <f t="shared" si="37"/>
        <v>177.3</v>
      </c>
      <c r="I388" s="31">
        <f t="shared" si="38"/>
        <v>188.1</v>
      </c>
      <c r="J388" s="31">
        <f t="shared" ref="J388:J448" si="40">K388-M388</f>
        <v>171.9</v>
      </c>
      <c r="K388" s="32">
        <f t="shared" ref="K388:K422" si="41">IF(F388="ml",E388*L388,E388)</f>
        <v>180</v>
      </c>
      <c r="M388" s="33">
        <f t="shared" si="39"/>
        <v>8.1</v>
      </c>
      <c r="N388" s="33">
        <v>8.4</v>
      </c>
      <c r="P388" s="32"/>
    </row>
    <row r="389" spans="2:16" ht="16.5" customHeight="1">
      <c r="B389" s="30">
        <v>67133952</v>
      </c>
      <c r="C389" s="54" t="s">
        <v>544</v>
      </c>
      <c r="D389" s="36" t="s">
        <v>76</v>
      </c>
      <c r="E389" s="30">
        <v>90</v>
      </c>
      <c r="F389" s="30" t="s">
        <v>73</v>
      </c>
      <c r="G389" s="30">
        <f t="shared" si="36"/>
        <v>91.5</v>
      </c>
      <c r="H389" s="31">
        <f t="shared" si="37"/>
        <v>88.5</v>
      </c>
      <c r="I389" s="31">
        <f t="shared" si="38"/>
        <v>94.5</v>
      </c>
      <c r="J389" s="31">
        <f t="shared" si="40"/>
        <v>85.5</v>
      </c>
      <c r="K389" s="32">
        <f t="shared" si="41"/>
        <v>90</v>
      </c>
      <c r="M389" s="33">
        <f t="shared" si="39"/>
        <v>4.5</v>
      </c>
      <c r="N389" s="33">
        <v>6.3</v>
      </c>
      <c r="P389" s="32"/>
    </row>
    <row r="390" spans="2:16" ht="16.5" customHeight="1">
      <c r="B390" s="30">
        <v>67133976</v>
      </c>
      <c r="C390" s="54" t="s">
        <v>545</v>
      </c>
      <c r="D390" s="36" t="s">
        <v>76</v>
      </c>
      <c r="E390" s="30">
        <v>230</v>
      </c>
      <c r="F390" s="30" t="s">
        <v>73</v>
      </c>
      <c r="G390" s="30">
        <f t="shared" si="36"/>
        <v>233</v>
      </c>
      <c r="H390" s="31">
        <f t="shared" si="37"/>
        <v>227</v>
      </c>
      <c r="I390" s="31">
        <f t="shared" si="38"/>
        <v>239</v>
      </c>
      <c r="J390" s="31">
        <f t="shared" si="40"/>
        <v>221</v>
      </c>
      <c r="K390" s="32">
        <f t="shared" si="41"/>
        <v>230</v>
      </c>
      <c r="M390" s="33">
        <f t="shared" si="39"/>
        <v>9</v>
      </c>
      <c r="N390" s="33">
        <v>9.1999999999999993</v>
      </c>
      <c r="P390" s="32"/>
    </row>
    <row r="391" spans="2:16" ht="16.5" customHeight="1">
      <c r="B391" s="30">
        <v>67133958</v>
      </c>
      <c r="C391" s="54" t="s">
        <v>546</v>
      </c>
      <c r="D391" s="36" t="s">
        <v>76</v>
      </c>
      <c r="E391" s="30">
        <v>230</v>
      </c>
      <c r="F391" s="30" t="s">
        <v>73</v>
      </c>
      <c r="G391" s="30">
        <f t="shared" si="36"/>
        <v>233</v>
      </c>
      <c r="H391" s="31">
        <f t="shared" si="37"/>
        <v>227</v>
      </c>
      <c r="I391" s="31">
        <f t="shared" si="38"/>
        <v>239</v>
      </c>
      <c r="J391" s="31">
        <f t="shared" si="40"/>
        <v>221</v>
      </c>
      <c r="K391" s="32">
        <f t="shared" si="41"/>
        <v>230</v>
      </c>
      <c r="M391" s="33">
        <f t="shared" si="39"/>
        <v>9</v>
      </c>
      <c r="N391" s="33">
        <v>9.1999999999999993</v>
      </c>
      <c r="P391" s="32"/>
    </row>
    <row r="392" spans="2:16" ht="16.5" customHeight="1">
      <c r="B392" s="30">
        <v>67179396</v>
      </c>
      <c r="C392" s="54" t="s">
        <v>547</v>
      </c>
      <c r="D392" s="36" t="s">
        <v>76</v>
      </c>
      <c r="E392" s="30">
        <v>180</v>
      </c>
      <c r="F392" s="30" t="s">
        <v>73</v>
      </c>
      <c r="G392" s="30">
        <f t="shared" si="36"/>
        <v>182.7</v>
      </c>
      <c r="H392" s="31">
        <f t="shared" si="37"/>
        <v>177.3</v>
      </c>
      <c r="I392" s="31">
        <f t="shared" si="38"/>
        <v>188.1</v>
      </c>
      <c r="J392" s="31">
        <f t="shared" si="40"/>
        <v>171.9</v>
      </c>
      <c r="K392" s="32">
        <f t="shared" si="41"/>
        <v>180</v>
      </c>
      <c r="M392" s="33">
        <f t="shared" si="39"/>
        <v>8.1</v>
      </c>
      <c r="N392" s="33">
        <v>8.3000000000000007</v>
      </c>
      <c r="P392" s="32"/>
    </row>
    <row r="393" spans="2:16" ht="16.5" customHeight="1">
      <c r="B393" s="30">
        <v>67133972</v>
      </c>
      <c r="C393" s="54" t="s">
        <v>548</v>
      </c>
      <c r="D393" s="36" t="s">
        <v>76</v>
      </c>
      <c r="E393" s="30">
        <v>140</v>
      </c>
      <c r="F393" s="30" t="s">
        <v>73</v>
      </c>
      <c r="G393" s="30">
        <f t="shared" si="36"/>
        <v>142.1</v>
      </c>
      <c r="H393" s="31">
        <f t="shared" si="37"/>
        <v>137.9</v>
      </c>
      <c r="I393" s="31">
        <f t="shared" si="38"/>
        <v>146.30000000000001</v>
      </c>
      <c r="J393" s="31">
        <f t="shared" si="40"/>
        <v>133.69999999999999</v>
      </c>
      <c r="K393" s="32">
        <f t="shared" si="41"/>
        <v>140</v>
      </c>
      <c r="M393" s="33">
        <f t="shared" si="39"/>
        <v>6.3</v>
      </c>
      <c r="N393" s="33">
        <v>7.6</v>
      </c>
      <c r="P393" s="32"/>
    </row>
    <row r="394" spans="2:16" ht="16.5" customHeight="1">
      <c r="B394" s="30">
        <v>67225124</v>
      </c>
      <c r="C394" s="54" t="s">
        <v>549</v>
      </c>
      <c r="D394" s="36" t="s">
        <v>76</v>
      </c>
      <c r="E394" s="30">
        <v>190</v>
      </c>
      <c r="F394" s="30" t="s">
        <v>73</v>
      </c>
      <c r="G394" s="30">
        <f t="shared" si="36"/>
        <v>192.85</v>
      </c>
      <c r="H394" s="31">
        <f t="shared" si="37"/>
        <v>187.15</v>
      </c>
      <c r="I394" s="31">
        <f t="shared" si="38"/>
        <v>198.55</v>
      </c>
      <c r="J394" s="31">
        <f t="shared" si="40"/>
        <v>181.45</v>
      </c>
      <c r="K394" s="32">
        <f t="shared" si="41"/>
        <v>190</v>
      </c>
      <c r="M394" s="33">
        <f t="shared" si="39"/>
        <v>8.5499999999999989</v>
      </c>
      <c r="N394" s="33">
        <v>8</v>
      </c>
      <c r="P394" s="32"/>
    </row>
    <row r="395" spans="2:16" ht="16.5" customHeight="1">
      <c r="B395" s="30">
        <v>67196439</v>
      </c>
      <c r="C395" s="54" t="s">
        <v>550</v>
      </c>
      <c r="D395" s="36" t="s">
        <v>76</v>
      </c>
      <c r="E395" s="30">
        <v>200</v>
      </c>
      <c r="F395" s="30" t="s">
        <v>73</v>
      </c>
      <c r="G395" s="30">
        <f t="shared" si="36"/>
        <v>203</v>
      </c>
      <c r="H395" s="31">
        <f t="shared" si="37"/>
        <v>197</v>
      </c>
      <c r="I395" s="31">
        <f t="shared" si="38"/>
        <v>209</v>
      </c>
      <c r="J395" s="31">
        <f t="shared" si="40"/>
        <v>191</v>
      </c>
      <c r="K395" s="32">
        <f t="shared" si="41"/>
        <v>200</v>
      </c>
      <c r="M395" s="33">
        <f t="shared" si="39"/>
        <v>9</v>
      </c>
      <c r="N395" s="33">
        <v>9</v>
      </c>
      <c r="P395" s="32"/>
    </row>
    <row r="396" spans="2:16" ht="16.5" customHeight="1">
      <c r="B396" s="30">
        <v>67196441</v>
      </c>
      <c r="C396" s="54" t="s">
        <v>551</v>
      </c>
      <c r="D396" s="36" t="s">
        <v>76</v>
      </c>
      <c r="E396" s="30">
        <v>200</v>
      </c>
      <c r="F396" s="30" t="s">
        <v>73</v>
      </c>
      <c r="G396" s="30">
        <f t="shared" si="36"/>
        <v>203</v>
      </c>
      <c r="H396" s="31">
        <f t="shared" si="37"/>
        <v>197</v>
      </c>
      <c r="I396" s="31">
        <f t="shared" si="38"/>
        <v>209</v>
      </c>
      <c r="J396" s="31">
        <f t="shared" si="40"/>
        <v>191</v>
      </c>
      <c r="K396" s="32">
        <f t="shared" si="41"/>
        <v>200</v>
      </c>
      <c r="M396" s="33">
        <f t="shared" si="39"/>
        <v>9</v>
      </c>
      <c r="N396" s="33">
        <v>9</v>
      </c>
      <c r="P396" s="32"/>
    </row>
    <row r="397" spans="2:16" ht="16.5" customHeight="1">
      <c r="B397" s="30">
        <v>67106581</v>
      </c>
      <c r="C397" s="54" t="s">
        <v>552</v>
      </c>
      <c r="D397" s="13" t="s">
        <v>516</v>
      </c>
      <c r="E397" s="30">
        <v>140</v>
      </c>
      <c r="F397" s="30" t="s">
        <v>82</v>
      </c>
      <c r="G397" s="30">
        <f t="shared" si="36"/>
        <v>187.572</v>
      </c>
      <c r="H397" s="31">
        <f t="shared" si="37"/>
        <v>182.02800000000002</v>
      </c>
      <c r="I397" s="31">
        <f t="shared" si="38"/>
        <v>193.11600000000001</v>
      </c>
      <c r="J397" s="31">
        <f t="shared" si="40"/>
        <v>176.48400000000001</v>
      </c>
      <c r="K397" s="32">
        <f t="shared" si="41"/>
        <v>184.8</v>
      </c>
      <c r="L397" s="50">
        <v>1.32</v>
      </c>
      <c r="M397" s="33">
        <f t="shared" si="39"/>
        <v>8.3160000000000007</v>
      </c>
      <c r="N397" s="33">
        <v>8.5</v>
      </c>
      <c r="P397" s="32"/>
    </row>
    <row r="398" spans="2:16" ht="16.5" customHeight="1">
      <c r="B398" s="30">
        <v>67141584</v>
      </c>
      <c r="C398" s="54" t="s">
        <v>553</v>
      </c>
      <c r="D398" s="13" t="s">
        <v>516</v>
      </c>
      <c r="E398" s="30">
        <v>140</v>
      </c>
      <c r="F398" s="30" t="s">
        <v>82</v>
      </c>
      <c r="G398" s="30">
        <f t="shared" si="36"/>
        <v>187.572</v>
      </c>
      <c r="H398" s="31">
        <f t="shared" si="37"/>
        <v>182.02800000000002</v>
      </c>
      <c r="I398" s="31">
        <f t="shared" si="38"/>
        <v>193.11600000000001</v>
      </c>
      <c r="J398" s="31">
        <f t="shared" si="40"/>
        <v>176.48400000000001</v>
      </c>
      <c r="K398" s="32">
        <f t="shared" si="41"/>
        <v>184.8</v>
      </c>
      <c r="L398" s="50">
        <v>1.32</v>
      </c>
      <c r="M398" s="33">
        <f t="shared" si="39"/>
        <v>8.3160000000000007</v>
      </c>
      <c r="N398" s="33">
        <v>8.5</v>
      </c>
      <c r="P398" s="32"/>
    </row>
    <row r="399" spans="2:16" ht="16.5" customHeight="1">
      <c r="B399" s="30">
        <v>67225263</v>
      </c>
      <c r="C399" s="54" t="s">
        <v>554</v>
      </c>
      <c r="D399" s="36" t="s">
        <v>76</v>
      </c>
      <c r="E399" s="30">
        <v>190</v>
      </c>
      <c r="F399" s="30" t="s">
        <v>73</v>
      </c>
      <c r="G399" s="30">
        <f t="shared" si="36"/>
        <v>192.85</v>
      </c>
      <c r="H399" s="31">
        <f t="shared" si="37"/>
        <v>187.15</v>
      </c>
      <c r="I399" s="31">
        <f t="shared" si="38"/>
        <v>198.55</v>
      </c>
      <c r="J399" s="31">
        <f t="shared" si="40"/>
        <v>181.45</v>
      </c>
      <c r="K399" s="32">
        <f t="shared" si="41"/>
        <v>190</v>
      </c>
      <c r="M399" s="33">
        <f t="shared" si="39"/>
        <v>8.5499999999999989</v>
      </c>
      <c r="N399" s="33">
        <v>8.4</v>
      </c>
      <c r="P399" s="32"/>
    </row>
    <row r="400" spans="2:16" ht="16.5" customHeight="1">
      <c r="B400" s="30">
        <v>67196443</v>
      </c>
      <c r="C400" s="54" t="s">
        <v>555</v>
      </c>
      <c r="D400" s="36" t="s">
        <v>76</v>
      </c>
      <c r="E400" s="30">
        <v>200</v>
      </c>
      <c r="F400" s="30" t="s">
        <v>73</v>
      </c>
      <c r="G400" s="30">
        <f t="shared" si="36"/>
        <v>203</v>
      </c>
      <c r="H400" s="31">
        <f t="shared" si="37"/>
        <v>197</v>
      </c>
      <c r="I400" s="31">
        <f t="shared" si="38"/>
        <v>209</v>
      </c>
      <c r="J400" s="31">
        <f t="shared" si="40"/>
        <v>191</v>
      </c>
      <c r="K400" s="32">
        <f t="shared" si="41"/>
        <v>200</v>
      </c>
      <c r="M400" s="33">
        <f t="shared" si="39"/>
        <v>9</v>
      </c>
      <c r="N400" s="33">
        <v>8.9</v>
      </c>
      <c r="P400" s="32"/>
    </row>
    <row r="401" spans="1:16" ht="16.5" customHeight="1">
      <c r="B401" s="30">
        <v>67239807</v>
      </c>
      <c r="C401" s="54" t="s">
        <v>556</v>
      </c>
      <c r="D401" s="36" t="s">
        <v>76</v>
      </c>
      <c r="E401" s="30">
        <v>180</v>
      </c>
      <c r="F401" s="30" t="s">
        <v>73</v>
      </c>
      <c r="G401" s="30">
        <f t="shared" si="36"/>
        <v>182.7</v>
      </c>
      <c r="H401" s="31">
        <f t="shared" si="37"/>
        <v>177.3</v>
      </c>
      <c r="I401" s="31">
        <f t="shared" si="38"/>
        <v>188.1</v>
      </c>
      <c r="J401" s="31">
        <f t="shared" si="40"/>
        <v>171.9</v>
      </c>
      <c r="K401" s="32">
        <f t="shared" si="41"/>
        <v>180</v>
      </c>
      <c r="M401" s="33">
        <f t="shared" si="39"/>
        <v>8.1</v>
      </c>
      <c r="N401" s="33">
        <v>7.4</v>
      </c>
      <c r="P401" s="32"/>
    </row>
    <row r="402" spans="1:16" ht="16.5" customHeight="1">
      <c r="B402" s="30">
        <v>67224974</v>
      </c>
      <c r="C402" s="54" t="s">
        <v>557</v>
      </c>
      <c r="D402" s="36" t="s">
        <v>76</v>
      </c>
      <c r="E402" s="30">
        <v>190</v>
      </c>
      <c r="F402" s="30" t="s">
        <v>73</v>
      </c>
      <c r="G402" s="30">
        <f t="shared" si="36"/>
        <v>192.85</v>
      </c>
      <c r="H402" s="31">
        <f t="shared" si="37"/>
        <v>187.15</v>
      </c>
      <c r="I402" s="31">
        <f t="shared" si="38"/>
        <v>198.55</v>
      </c>
      <c r="J402" s="31">
        <f t="shared" si="40"/>
        <v>181.45</v>
      </c>
      <c r="K402" s="32">
        <f t="shared" si="41"/>
        <v>190</v>
      </c>
      <c r="M402" s="33">
        <f t="shared" si="39"/>
        <v>8.5499999999999989</v>
      </c>
      <c r="N402" s="33">
        <v>8.4</v>
      </c>
      <c r="P402" s="32"/>
    </row>
    <row r="403" spans="1:16" ht="16.5" customHeight="1">
      <c r="B403" s="30">
        <v>67225260</v>
      </c>
      <c r="C403" s="54" t="s">
        <v>558</v>
      </c>
      <c r="D403" s="36" t="s">
        <v>76</v>
      </c>
      <c r="E403" s="30">
        <v>190</v>
      </c>
      <c r="F403" s="30" t="s">
        <v>73</v>
      </c>
      <c r="G403" s="30">
        <f t="shared" si="36"/>
        <v>192.85</v>
      </c>
      <c r="H403" s="31">
        <f t="shared" si="37"/>
        <v>187.15</v>
      </c>
      <c r="I403" s="31">
        <f t="shared" si="38"/>
        <v>198.55</v>
      </c>
      <c r="J403" s="31">
        <f t="shared" si="40"/>
        <v>181.45</v>
      </c>
      <c r="K403" s="32">
        <f t="shared" si="41"/>
        <v>190</v>
      </c>
      <c r="M403" s="33">
        <f t="shared" si="39"/>
        <v>8.5499999999999989</v>
      </c>
      <c r="N403" s="33">
        <v>8</v>
      </c>
      <c r="P403" s="32"/>
    </row>
    <row r="404" spans="1:16" ht="16.5" customHeight="1">
      <c r="B404" s="30">
        <v>67106207</v>
      </c>
      <c r="C404" s="54" t="s">
        <v>559</v>
      </c>
      <c r="D404" s="13" t="s">
        <v>516</v>
      </c>
      <c r="E404" s="30">
        <v>20</v>
      </c>
      <c r="F404" s="30" t="s">
        <v>73</v>
      </c>
      <c r="G404" s="30">
        <f t="shared" si="36"/>
        <v>20.6</v>
      </c>
      <c r="H404" s="31">
        <f t="shared" si="37"/>
        <v>19.399999999999999</v>
      </c>
      <c r="I404" s="31">
        <f t="shared" si="38"/>
        <v>21.8</v>
      </c>
      <c r="J404" s="31">
        <f t="shared" si="40"/>
        <v>18.2</v>
      </c>
      <c r="K404" s="32">
        <f t="shared" si="41"/>
        <v>20</v>
      </c>
      <c r="M404" s="33">
        <f t="shared" si="39"/>
        <v>1.7999999999999998</v>
      </c>
      <c r="N404" s="33">
        <v>2</v>
      </c>
      <c r="P404" s="32"/>
    </row>
    <row r="405" spans="1:16" ht="16.5" customHeight="1">
      <c r="B405" s="30">
        <v>67220654</v>
      </c>
      <c r="C405" s="54" t="s">
        <v>560</v>
      </c>
      <c r="D405" s="36" t="s">
        <v>76</v>
      </c>
      <c r="E405" s="30">
        <v>240</v>
      </c>
      <c r="F405" s="30" t="s">
        <v>73</v>
      </c>
      <c r="G405" s="30">
        <f t="shared" si="36"/>
        <v>243</v>
      </c>
      <c r="H405" s="31">
        <f t="shared" si="37"/>
        <v>237</v>
      </c>
      <c r="I405" s="31">
        <f t="shared" si="38"/>
        <v>249</v>
      </c>
      <c r="J405" s="31">
        <f t="shared" si="40"/>
        <v>231</v>
      </c>
      <c r="K405" s="32">
        <f t="shared" si="41"/>
        <v>240</v>
      </c>
      <c r="M405" s="33">
        <f t="shared" si="39"/>
        <v>9</v>
      </c>
      <c r="N405" s="33">
        <v>9</v>
      </c>
      <c r="P405" s="32"/>
    </row>
    <row r="406" spans="1:16" ht="16.5" customHeight="1">
      <c r="B406" s="30">
        <v>67106577</v>
      </c>
      <c r="C406" s="54" t="s">
        <v>561</v>
      </c>
      <c r="D406" s="13" t="s">
        <v>516</v>
      </c>
      <c r="E406" s="30">
        <f>2*10</f>
        <v>20</v>
      </c>
      <c r="F406" s="30" t="s">
        <v>73</v>
      </c>
      <c r="G406" s="30">
        <f t="shared" si="36"/>
        <v>20.6</v>
      </c>
      <c r="H406" s="31">
        <f t="shared" si="37"/>
        <v>19.399999999999999</v>
      </c>
      <c r="I406" s="31">
        <f t="shared" si="38"/>
        <v>21.8</v>
      </c>
      <c r="J406" s="31">
        <f t="shared" si="40"/>
        <v>18.2</v>
      </c>
      <c r="K406" s="32">
        <f t="shared" si="41"/>
        <v>20</v>
      </c>
      <c r="M406" s="33">
        <f t="shared" si="39"/>
        <v>1.7999999999999998</v>
      </c>
      <c r="N406" s="33">
        <v>2</v>
      </c>
      <c r="P406" s="32"/>
    </row>
    <row r="407" spans="1:16" ht="16.5" customHeight="1">
      <c r="B407" s="30">
        <v>67237429</v>
      </c>
      <c r="C407" s="54" t="s">
        <v>562</v>
      </c>
      <c r="D407" s="36" t="s">
        <v>76</v>
      </c>
      <c r="E407" s="30">
        <v>180</v>
      </c>
      <c r="F407" s="30" t="s">
        <v>73</v>
      </c>
      <c r="G407" s="30">
        <f>IF(P407="TL tuyệt đối",K407*103%,K407+1/3*M407)</f>
        <v>182.7</v>
      </c>
      <c r="H407" s="31">
        <f>IF(P407="TL tuyệt đối",K407*101%,K407-1/3*M407)</f>
        <v>177.3</v>
      </c>
      <c r="I407" s="31">
        <f>IF(P407="TL tuyệt đối", K407*105%,K407+M407)</f>
        <v>188.1</v>
      </c>
      <c r="J407" s="31">
        <f>K407-M407</f>
        <v>171.9</v>
      </c>
      <c r="K407" s="32">
        <f t="shared" si="41"/>
        <v>180</v>
      </c>
      <c r="M407" s="33">
        <f>IF(P407="TL tuyệt đối",0, IF(K407&lt;5,0,IF(K407&lt;50,K407*9%,IF(K407&lt;100,4.5,IF(K407&lt;200,4.5%*K407,IF(K407&lt;300,9,IF(K407&lt;500,K407*3%,IF(K407&lt;1000,15,))))))))</f>
        <v>8.1</v>
      </c>
      <c r="N407" s="33">
        <v>7.4</v>
      </c>
      <c r="P407" s="32"/>
    </row>
    <row r="408" spans="1:16" ht="16.5" customHeight="1">
      <c r="B408" s="30">
        <v>67106579</v>
      </c>
      <c r="C408" s="54" t="s">
        <v>563</v>
      </c>
      <c r="D408" s="13" t="s">
        <v>516</v>
      </c>
      <c r="E408" s="30">
        <v>90</v>
      </c>
      <c r="F408" s="30" t="s">
        <v>82</v>
      </c>
      <c r="G408" s="30">
        <f t="shared" si="36"/>
        <v>120.58200000000001</v>
      </c>
      <c r="H408" s="31">
        <f t="shared" si="37"/>
        <v>117.01800000000001</v>
      </c>
      <c r="I408" s="31">
        <f t="shared" si="38"/>
        <v>124.14600000000002</v>
      </c>
      <c r="J408" s="31">
        <f t="shared" si="40"/>
        <v>113.45400000000001</v>
      </c>
      <c r="K408" s="32">
        <f t="shared" si="41"/>
        <v>118.80000000000001</v>
      </c>
      <c r="L408" s="50">
        <v>1.32</v>
      </c>
      <c r="M408" s="33">
        <f t="shared" si="39"/>
        <v>5.3460000000000001</v>
      </c>
      <c r="N408" s="33">
        <v>6.7</v>
      </c>
      <c r="P408" s="32"/>
    </row>
    <row r="409" spans="1:16" ht="21.75" customHeight="1">
      <c r="B409" s="71">
        <v>67133949</v>
      </c>
      <c r="C409" s="71" t="s">
        <v>564</v>
      </c>
      <c r="D409" s="36" t="s">
        <v>76</v>
      </c>
      <c r="E409" s="38">
        <v>30</v>
      </c>
      <c r="F409" s="30" t="s">
        <v>73</v>
      </c>
      <c r="G409" s="30">
        <f t="shared" si="36"/>
        <v>30.9</v>
      </c>
      <c r="H409" s="31">
        <f t="shared" si="37"/>
        <v>29.1</v>
      </c>
      <c r="I409" s="31">
        <f t="shared" si="38"/>
        <v>32.700000000000003</v>
      </c>
      <c r="J409" s="31">
        <f t="shared" si="40"/>
        <v>27.3</v>
      </c>
      <c r="K409" s="32">
        <f t="shared" si="41"/>
        <v>30</v>
      </c>
      <c r="M409" s="33">
        <f t="shared" si="39"/>
        <v>2.6999999999999997</v>
      </c>
      <c r="N409" s="33">
        <v>4</v>
      </c>
      <c r="P409" s="32"/>
    </row>
    <row r="410" spans="1:16" ht="16.5" customHeight="1">
      <c r="B410" s="30">
        <v>67220647</v>
      </c>
      <c r="C410" s="54" t="s">
        <v>560</v>
      </c>
      <c r="D410" s="36" t="s">
        <v>76</v>
      </c>
      <c r="E410" s="30">
        <v>240</v>
      </c>
      <c r="F410" s="30" t="s">
        <v>73</v>
      </c>
      <c r="G410" s="30">
        <f>IF(P410="TL tuyệt đối",K410*103%,K410+1/3*M410)</f>
        <v>243</v>
      </c>
      <c r="H410" s="31">
        <f>IF(P410="TL tuyệt đối",K410*101%,K410-1/3*M410)</f>
        <v>237</v>
      </c>
      <c r="I410" s="31">
        <f>IF(P410="TL tuyệt đối", K410*105%,K410+M410)</f>
        <v>249</v>
      </c>
      <c r="J410" s="31">
        <f>K410-M410</f>
        <v>231</v>
      </c>
      <c r="K410" s="32">
        <f t="shared" si="41"/>
        <v>240</v>
      </c>
      <c r="M410" s="33">
        <f>IF(P410="TL tuyệt đối",0, IF(K410&lt;5,0,IF(K410&lt;50,K410*9%,IF(K410&lt;100,4.5,IF(K410&lt;200,4.5%*K410,IF(K410&lt;300,9,IF(K410&lt;500,K410*3%,IF(K410&lt;1000,15,))))))))</f>
        <v>9</v>
      </c>
      <c r="N410" s="33">
        <v>9</v>
      </c>
      <c r="P410" s="32"/>
    </row>
    <row r="411" spans="1:16" ht="16.5" customHeight="1">
      <c r="B411" s="30">
        <v>67342895</v>
      </c>
      <c r="C411" s="54" t="s">
        <v>565</v>
      </c>
      <c r="D411" s="36" t="s">
        <v>76</v>
      </c>
      <c r="E411" s="30">
        <v>180</v>
      </c>
      <c r="F411" s="30" t="s">
        <v>73</v>
      </c>
      <c r="G411" s="30">
        <f>IF(P411="TL tuyệt đối",K411*103%,K411+1/3*M411)</f>
        <v>182.7</v>
      </c>
      <c r="H411" s="31">
        <f t="shared" si="37"/>
        <v>177.3</v>
      </c>
      <c r="I411" s="31">
        <f t="shared" si="38"/>
        <v>188.1</v>
      </c>
      <c r="J411" s="31">
        <f t="shared" si="40"/>
        <v>171.9</v>
      </c>
      <c r="K411" s="32">
        <f t="shared" si="41"/>
        <v>180</v>
      </c>
      <c r="M411" s="33">
        <f t="shared" si="39"/>
        <v>8.1</v>
      </c>
      <c r="N411" s="33">
        <v>8.4</v>
      </c>
      <c r="P411" s="32"/>
    </row>
    <row r="412" spans="1:16" ht="16.5" customHeight="1">
      <c r="B412" s="30">
        <v>67342853</v>
      </c>
      <c r="C412" s="54" t="s">
        <v>566</v>
      </c>
      <c r="D412" s="36" t="s">
        <v>76</v>
      </c>
      <c r="E412" s="30">
        <v>180</v>
      </c>
      <c r="F412" s="30" t="s">
        <v>73</v>
      </c>
      <c r="G412" s="30">
        <f>IF(P412="TL tuyệt đối",K412*103%,K412+1/3*M412)</f>
        <v>182.7</v>
      </c>
      <c r="H412" s="31">
        <f t="shared" si="37"/>
        <v>177.3</v>
      </c>
      <c r="I412" s="31">
        <f t="shared" si="38"/>
        <v>188.1</v>
      </c>
      <c r="J412" s="31">
        <f t="shared" si="40"/>
        <v>171.9</v>
      </c>
      <c r="K412" s="32">
        <f t="shared" si="41"/>
        <v>180</v>
      </c>
      <c r="M412" s="33">
        <f t="shared" si="39"/>
        <v>8.1</v>
      </c>
      <c r="N412" s="33">
        <v>8.4</v>
      </c>
      <c r="P412" s="32"/>
    </row>
    <row r="413" spans="1:16" ht="16.5" customHeight="1">
      <c r="A413" s="72"/>
      <c r="B413" s="30">
        <v>67373631</v>
      </c>
      <c r="C413" s="54" t="s">
        <v>567</v>
      </c>
      <c r="D413" s="36" t="s">
        <v>76</v>
      </c>
      <c r="E413" s="30">
        <v>30</v>
      </c>
      <c r="F413" s="30" t="s">
        <v>73</v>
      </c>
      <c r="G413" s="30">
        <f>IF(P413="TL tuyệt đối",K413*103%,K413+1/3*M413)</f>
        <v>30.9</v>
      </c>
      <c r="H413" s="31">
        <f t="shared" si="37"/>
        <v>29.1</v>
      </c>
      <c r="I413" s="31">
        <f t="shared" si="38"/>
        <v>32.700000000000003</v>
      </c>
      <c r="J413" s="31">
        <f t="shared" si="40"/>
        <v>27.3</v>
      </c>
      <c r="K413" s="32">
        <f t="shared" si="41"/>
        <v>30</v>
      </c>
      <c r="M413" s="33">
        <f t="shared" si="39"/>
        <v>2.6999999999999997</v>
      </c>
      <c r="N413" s="33">
        <v>3.8</v>
      </c>
      <c r="P413" s="32"/>
    </row>
    <row r="414" spans="1:16" ht="16.5" customHeight="1">
      <c r="B414" s="30">
        <v>67144468</v>
      </c>
      <c r="C414" s="54" t="s">
        <v>568</v>
      </c>
      <c r="D414" s="13" t="s">
        <v>516</v>
      </c>
      <c r="E414" s="30">
        <v>90</v>
      </c>
      <c r="F414" s="30" t="s">
        <v>82</v>
      </c>
      <c r="G414" s="30">
        <f>IF(P414="TL tuyệt đối",K414*103%,K414+1/3*M414)</f>
        <v>120.58200000000001</v>
      </c>
      <c r="H414" s="31">
        <f>IF(P414="TL tuyệt đối",K414*101%,K414-1/3*M414)</f>
        <v>117.01800000000001</v>
      </c>
      <c r="I414" s="31">
        <f>IF(P414="TL tuyệt đối", K414*105%,K414+M414)</f>
        <v>124.14600000000002</v>
      </c>
      <c r="J414" s="31">
        <f>K414-M414</f>
        <v>113.45400000000001</v>
      </c>
      <c r="K414" s="32">
        <f t="shared" si="41"/>
        <v>118.80000000000001</v>
      </c>
      <c r="L414" s="50">
        <v>1.32</v>
      </c>
      <c r="M414" s="33">
        <f>IF(P414="TL tuyệt đối",0, IF(K414&lt;5,0,IF(K414&lt;50,K414*9%,IF(K414&lt;100,4.5,IF(K414&lt;200,4.5%*K414,IF(K414&lt;300,9,IF(K414&lt;500,K414*3%,IF(K414&lt;1000,15,))))))))</f>
        <v>5.3460000000000001</v>
      </c>
      <c r="N414" s="33">
        <v>6.7</v>
      </c>
      <c r="P414" s="32"/>
    </row>
    <row r="415" spans="1:16" ht="16.5" customHeight="1">
      <c r="B415" s="30">
        <v>67322405</v>
      </c>
      <c r="C415" s="54" t="s">
        <v>569</v>
      </c>
      <c r="D415" s="36" t="s">
        <v>76</v>
      </c>
      <c r="E415" s="30">
        <v>100</v>
      </c>
      <c r="F415" s="30" t="s">
        <v>73</v>
      </c>
      <c r="G415" s="30">
        <f t="shared" si="36"/>
        <v>101.5</v>
      </c>
      <c r="H415" s="31">
        <f t="shared" si="37"/>
        <v>98.5</v>
      </c>
      <c r="I415" s="31">
        <f t="shared" si="38"/>
        <v>104.5</v>
      </c>
      <c r="J415" s="31">
        <f t="shared" si="40"/>
        <v>95.5</v>
      </c>
      <c r="K415" s="32">
        <f t="shared" si="41"/>
        <v>100</v>
      </c>
      <c r="M415" s="33">
        <f t="shared" si="39"/>
        <v>4.5</v>
      </c>
      <c r="N415" s="33">
        <v>7</v>
      </c>
      <c r="P415" s="32"/>
    </row>
    <row r="416" spans="1:16" ht="16.5" customHeight="1">
      <c r="B416" s="30">
        <v>67376283</v>
      </c>
      <c r="C416" s="54" t="s">
        <v>570</v>
      </c>
      <c r="D416" s="36" t="s">
        <v>76</v>
      </c>
      <c r="E416" s="30">
        <v>180</v>
      </c>
      <c r="F416" s="30" t="s">
        <v>73</v>
      </c>
      <c r="G416" s="30">
        <f t="shared" si="36"/>
        <v>182.7</v>
      </c>
      <c r="H416" s="31">
        <f t="shared" si="37"/>
        <v>177.3</v>
      </c>
      <c r="I416" s="31">
        <f t="shared" si="38"/>
        <v>188.1</v>
      </c>
      <c r="J416" s="31">
        <f t="shared" si="40"/>
        <v>171.9</v>
      </c>
      <c r="K416" s="32">
        <f t="shared" si="41"/>
        <v>180</v>
      </c>
      <c r="M416" s="33">
        <f t="shared" si="39"/>
        <v>8.1</v>
      </c>
      <c r="N416" s="33">
        <v>7.4</v>
      </c>
      <c r="P416" s="32"/>
    </row>
    <row r="417" spans="2:16" ht="16.5" customHeight="1">
      <c r="B417" s="30">
        <v>67307664</v>
      </c>
      <c r="C417" s="54" t="s">
        <v>571</v>
      </c>
      <c r="D417" s="36" t="s">
        <v>76</v>
      </c>
      <c r="E417" s="30">
        <v>30</v>
      </c>
      <c r="F417" s="30" t="s">
        <v>73</v>
      </c>
      <c r="G417" s="30">
        <f t="shared" si="36"/>
        <v>30.9</v>
      </c>
      <c r="H417" s="31">
        <f t="shared" si="37"/>
        <v>29.1</v>
      </c>
      <c r="I417" s="31">
        <f t="shared" si="38"/>
        <v>32.700000000000003</v>
      </c>
      <c r="J417" s="31">
        <f t="shared" si="40"/>
        <v>27.3</v>
      </c>
      <c r="K417" s="32">
        <f t="shared" si="41"/>
        <v>30</v>
      </c>
      <c r="M417" s="33">
        <f t="shared" si="39"/>
        <v>2.6999999999999997</v>
      </c>
      <c r="N417" s="33">
        <v>4</v>
      </c>
      <c r="P417" s="32"/>
    </row>
    <row r="418" spans="2:16" ht="16.5" customHeight="1">
      <c r="B418" s="30">
        <v>67376285</v>
      </c>
      <c r="C418" s="54" t="s">
        <v>572</v>
      </c>
      <c r="D418" s="36" t="s">
        <v>76</v>
      </c>
      <c r="E418" s="30">
        <v>30</v>
      </c>
      <c r="F418" s="30" t="s">
        <v>73</v>
      </c>
      <c r="G418" s="30">
        <f t="shared" si="36"/>
        <v>30.9</v>
      </c>
      <c r="H418" s="31">
        <f t="shared" si="37"/>
        <v>29.1</v>
      </c>
      <c r="I418" s="31">
        <f t="shared" si="38"/>
        <v>32.700000000000003</v>
      </c>
      <c r="J418" s="31">
        <f t="shared" si="40"/>
        <v>27.3</v>
      </c>
      <c r="K418" s="32">
        <f t="shared" si="41"/>
        <v>30</v>
      </c>
      <c r="M418" s="33">
        <f t="shared" si="39"/>
        <v>2.6999999999999997</v>
      </c>
      <c r="N418" s="33">
        <v>4</v>
      </c>
      <c r="P418" s="32"/>
    </row>
    <row r="419" spans="2:16" ht="16.5" customHeight="1">
      <c r="B419" s="30">
        <v>67412090</v>
      </c>
      <c r="C419" s="54" t="s">
        <v>573</v>
      </c>
      <c r="D419" s="36" t="s">
        <v>76</v>
      </c>
      <c r="E419" s="30">
        <v>240</v>
      </c>
      <c r="F419" s="30" t="s">
        <v>73</v>
      </c>
      <c r="G419" s="30">
        <f t="shared" si="36"/>
        <v>243</v>
      </c>
      <c r="H419" s="31">
        <f t="shared" si="37"/>
        <v>237</v>
      </c>
      <c r="I419" s="31">
        <f t="shared" si="38"/>
        <v>249</v>
      </c>
      <c r="J419" s="31">
        <f t="shared" si="40"/>
        <v>231</v>
      </c>
      <c r="K419" s="32">
        <f t="shared" si="41"/>
        <v>240</v>
      </c>
      <c r="M419" s="33">
        <f t="shared" si="39"/>
        <v>9</v>
      </c>
      <c r="N419" s="33">
        <v>9</v>
      </c>
      <c r="P419" s="32"/>
    </row>
    <row r="420" spans="2:16" ht="16.5" customHeight="1">
      <c r="B420" s="30">
        <v>67415184</v>
      </c>
      <c r="C420" s="54" t="s">
        <v>574</v>
      </c>
      <c r="D420" s="36" t="s">
        <v>76</v>
      </c>
      <c r="E420" s="30">
        <v>180</v>
      </c>
      <c r="F420" s="30" t="s">
        <v>73</v>
      </c>
      <c r="G420" s="30">
        <f t="shared" si="36"/>
        <v>182.7</v>
      </c>
      <c r="H420" s="31">
        <f>IF(P420="TL tuyệt đối",K420*101%,K420-1/3*M420)</f>
        <v>177.3</v>
      </c>
      <c r="I420" s="31">
        <f>IF(P420="TL tuyệt đối", K420*105%,K420+M420)</f>
        <v>188.1</v>
      </c>
      <c r="J420" s="31">
        <f>K420-M420</f>
        <v>171.9</v>
      </c>
      <c r="K420" s="32">
        <f t="shared" si="41"/>
        <v>180</v>
      </c>
      <c r="M420" s="33">
        <f>IF(P420="TL tuyệt đối",0, IF(K420&lt;5,0,IF(K420&lt;50,K420*9%,IF(K420&lt;100,4.5,IF(K420&lt;200,4.5%*K420,IF(K420&lt;300,9,IF(K420&lt;500,K420*3%,IF(K420&lt;1000,15,))))))))</f>
        <v>8.1</v>
      </c>
      <c r="N420" s="33">
        <v>7.4</v>
      </c>
      <c r="P420" s="32"/>
    </row>
    <row r="421" spans="2:16" ht="16.5" customHeight="1">
      <c r="B421" s="30">
        <v>67426886</v>
      </c>
      <c r="C421" s="54" t="s">
        <v>575</v>
      </c>
      <c r="D421" s="36" t="s">
        <v>76</v>
      </c>
      <c r="E421" s="30">
        <v>180</v>
      </c>
      <c r="F421" s="30" t="s">
        <v>73</v>
      </c>
      <c r="G421" s="30">
        <f>IF(P421="TL tuyệt đối",K421*103%,K421+1/3*M421)</f>
        <v>182.7</v>
      </c>
      <c r="H421" s="31">
        <f>IF(P421="TL tuyệt đối",K421*101%,K421-1/3*M421)</f>
        <v>177.3</v>
      </c>
      <c r="I421" s="31">
        <f>IF(P421="TL tuyệt đối", K421*105%,K421+M421)</f>
        <v>188.1</v>
      </c>
      <c r="J421" s="31">
        <f>K421-M421</f>
        <v>171.9</v>
      </c>
      <c r="K421" s="32">
        <f t="shared" si="41"/>
        <v>180</v>
      </c>
      <c r="M421" s="33">
        <f t="shared" si="39"/>
        <v>8.1</v>
      </c>
      <c r="N421" s="33">
        <v>7.4</v>
      </c>
      <c r="P421" s="32"/>
    </row>
    <row r="422" spans="2:16" ht="16.5" customHeight="1">
      <c r="B422" s="30">
        <v>67425061</v>
      </c>
      <c r="C422" s="54" t="s">
        <v>576</v>
      </c>
      <c r="D422" s="36" t="s">
        <v>76</v>
      </c>
      <c r="E422" s="30">
        <v>30</v>
      </c>
      <c r="F422" s="30" t="s">
        <v>73</v>
      </c>
      <c r="G422" s="30">
        <f t="shared" si="36"/>
        <v>30.9</v>
      </c>
      <c r="H422" s="31">
        <f t="shared" si="37"/>
        <v>29.1</v>
      </c>
      <c r="I422" s="31">
        <f t="shared" si="38"/>
        <v>32.700000000000003</v>
      </c>
      <c r="J422" s="31">
        <f t="shared" si="40"/>
        <v>27.3</v>
      </c>
      <c r="K422" s="32">
        <f t="shared" si="41"/>
        <v>30</v>
      </c>
      <c r="M422" s="33">
        <f t="shared" si="39"/>
        <v>2.6999999999999997</v>
      </c>
      <c r="N422" s="33">
        <v>4</v>
      </c>
      <c r="P422" s="32"/>
    </row>
    <row r="423" spans="2:16" ht="16.5" customHeight="1">
      <c r="B423" s="30">
        <v>67466914</v>
      </c>
      <c r="C423" s="54" t="s">
        <v>577</v>
      </c>
      <c r="D423" s="36" t="s">
        <v>76</v>
      </c>
      <c r="E423" s="30">
        <v>190</v>
      </c>
      <c r="F423" s="30" t="s">
        <v>73</v>
      </c>
      <c r="G423" s="30">
        <f>IF(P423="TL tuyệt đối",K423*103%,K423+1/3*M423)</f>
        <v>192.85</v>
      </c>
      <c r="H423" s="31">
        <f>IF(P423="TL tuyệt đối",K423*101%,K423-1/3*M423)</f>
        <v>187.15</v>
      </c>
      <c r="I423" s="31">
        <f>IF(P423="TL tuyệt đối", K423*105%,K423+M423)</f>
        <v>198.55</v>
      </c>
      <c r="J423" s="31">
        <f>K423-M423</f>
        <v>181.45</v>
      </c>
      <c r="K423" s="32">
        <f>IF(F423="ml",E423*L423,E423)</f>
        <v>190</v>
      </c>
      <c r="M423" s="33">
        <f>IF(P423="TL tuyệt đối",0, IF(K423&lt;5,0,IF(K423&lt;50,K423*9%,IF(K423&lt;100,4.5,IF(K423&lt;200,4.5%*K423,IF(K423&lt;300,9,IF(K423&lt;500,K423*3%,IF(K423&lt;1000,15,))))))))</f>
        <v>8.5499999999999989</v>
      </c>
      <c r="N423" s="33">
        <v>8.4</v>
      </c>
      <c r="P423" s="32"/>
    </row>
    <row r="424" spans="2:16" ht="16.5" customHeight="1">
      <c r="B424" s="30">
        <v>67322434</v>
      </c>
      <c r="C424" s="54" t="s">
        <v>578</v>
      </c>
      <c r="D424" s="36" t="s">
        <v>76</v>
      </c>
      <c r="E424" s="30">
        <v>100</v>
      </c>
      <c r="F424" s="30" t="s">
        <v>73</v>
      </c>
      <c r="G424" s="30">
        <f>IF(P424="TL tuyệt đối",K424*103%,K424+1/3*M424)</f>
        <v>101.5</v>
      </c>
      <c r="H424" s="31">
        <f>IF(P424="TL tuyệt đối",K424*101%,K424-1/3*M424)</f>
        <v>98.5</v>
      </c>
      <c r="I424" s="31">
        <f>IF(P424="TL tuyệt đối", K424*105%,K424+M424)</f>
        <v>104.5</v>
      </c>
      <c r="J424" s="31">
        <f>K424-M424</f>
        <v>95.5</v>
      </c>
      <c r="K424" s="32">
        <f>IF(F424="ml",E424*L424,E424)</f>
        <v>100</v>
      </c>
      <c r="M424" s="33">
        <f t="shared" si="39"/>
        <v>4.5</v>
      </c>
      <c r="N424" s="33">
        <v>7</v>
      </c>
      <c r="P424" s="32"/>
    </row>
    <row r="425" spans="2:16" ht="16.5" customHeight="1">
      <c r="B425" s="30">
        <v>67468778</v>
      </c>
      <c r="C425" s="54" t="s">
        <v>579</v>
      </c>
      <c r="D425" s="36" t="s">
        <v>76</v>
      </c>
      <c r="E425" s="30">
        <v>180</v>
      </c>
      <c r="F425" s="30" t="s">
        <v>73</v>
      </c>
      <c r="G425" s="30">
        <f t="shared" si="36"/>
        <v>182.7</v>
      </c>
      <c r="H425" s="31">
        <f t="shared" si="37"/>
        <v>177.3</v>
      </c>
      <c r="I425" s="31">
        <f t="shared" si="38"/>
        <v>188.1</v>
      </c>
      <c r="J425" s="31">
        <f t="shared" si="40"/>
        <v>171.9</v>
      </c>
      <c r="K425" s="32">
        <f>IF(F425="ml",E425*L425,E425)</f>
        <v>180</v>
      </c>
      <c r="M425" s="33">
        <f t="shared" si="39"/>
        <v>8.1</v>
      </c>
      <c r="N425" s="33">
        <v>7.4</v>
      </c>
      <c r="P425" s="32"/>
    </row>
    <row r="426" spans="2:16" ht="16.5" customHeight="1">
      <c r="B426" s="30">
        <v>67468775</v>
      </c>
      <c r="C426" s="54" t="s">
        <v>580</v>
      </c>
      <c r="D426" s="36" t="s">
        <v>76</v>
      </c>
      <c r="E426" s="30">
        <v>180</v>
      </c>
      <c r="F426" s="30" t="s">
        <v>73</v>
      </c>
      <c r="G426" s="30">
        <f>IF(P426="TL tuyệt đối",K426*103%,K426+1/3*M426)</f>
        <v>182.7</v>
      </c>
      <c r="H426" s="31">
        <f>IF(P426="TL tuyệt đối",K426*101%,K426-1/3*M426)</f>
        <v>177.3</v>
      </c>
      <c r="I426" s="31">
        <f>IF(P426="TL tuyệt đối", K426*105%,K426+M426)</f>
        <v>188.1</v>
      </c>
      <c r="J426" s="31">
        <f>K426-M426</f>
        <v>171.9</v>
      </c>
      <c r="K426" s="32">
        <f>IF(F426="ml",E426*L426,E426)</f>
        <v>180</v>
      </c>
      <c r="M426" s="33">
        <f t="shared" si="39"/>
        <v>8.1</v>
      </c>
      <c r="N426" s="33">
        <v>7.4</v>
      </c>
      <c r="P426" s="32"/>
    </row>
    <row r="427" spans="2:16" ht="16.5" customHeight="1">
      <c r="B427" s="30">
        <v>67322432</v>
      </c>
      <c r="C427" s="54" t="s">
        <v>581</v>
      </c>
      <c r="D427" s="36" t="s">
        <v>76</v>
      </c>
      <c r="E427" s="30">
        <v>100</v>
      </c>
      <c r="F427" s="30" t="s">
        <v>73</v>
      </c>
      <c r="G427" s="30">
        <f>IF(P427="TL tuyệt đối",K427*103%,K427+1/3*M427)</f>
        <v>101.5</v>
      </c>
      <c r="H427" s="31">
        <f>IF(P427="TL tuyệt đối",K427*101%,K427-1/3*M427)</f>
        <v>98.5</v>
      </c>
      <c r="I427" s="31">
        <f>IF(P427="TL tuyệt đối", K427*105%,K427+M427)</f>
        <v>104.5</v>
      </c>
      <c r="J427" s="31">
        <f>K427-M427</f>
        <v>95.5</v>
      </c>
      <c r="K427" s="32">
        <f t="shared" ref="K427:K436" si="42">IF(F427="ml",E427*L427,E427)</f>
        <v>100</v>
      </c>
      <c r="M427" s="33">
        <f t="shared" si="39"/>
        <v>4.5</v>
      </c>
      <c r="N427" s="33">
        <v>7</v>
      </c>
      <c r="P427" s="32"/>
    </row>
    <row r="428" spans="2:16" ht="16.5" customHeight="1">
      <c r="B428" s="30">
        <v>67468773</v>
      </c>
      <c r="C428" s="54" t="s">
        <v>582</v>
      </c>
      <c r="D428" s="36" t="s">
        <v>76</v>
      </c>
      <c r="E428" s="30">
        <v>230</v>
      </c>
      <c r="F428" s="30" t="s">
        <v>73</v>
      </c>
      <c r="G428" s="30">
        <f>IF(P428="TL tuyệt đối",K428*103%,K428+1/3*M428)</f>
        <v>233</v>
      </c>
      <c r="H428" s="31">
        <f>IF(P428="TL tuyệt đối",K428*101%,K428-1/3*M428)</f>
        <v>227</v>
      </c>
      <c r="I428" s="31">
        <f>IF(P428="TL tuyệt đối", K428*105%,K428+M428)</f>
        <v>239</v>
      </c>
      <c r="J428" s="31">
        <f>K428-M428</f>
        <v>221</v>
      </c>
      <c r="K428" s="32">
        <f t="shared" si="42"/>
        <v>230</v>
      </c>
      <c r="M428" s="33">
        <f>IF(P428="TL tuyệt đối",0, IF(K428&lt;5,0,IF(K428&lt;50,K428*9%,IF(K428&lt;100,4.5,IF(K428&lt;200,4.5%*K428,IF(K428&lt;300,9,IF(K428&lt;500,K428*3%,IF(K428&lt;1000,15,))))))))</f>
        <v>9</v>
      </c>
      <c r="N428" s="33">
        <v>9.1999999999999993</v>
      </c>
      <c r="P428" s="32"/>
    </row>
    <row r="429" spans="2:16" ht="16.5" customHeight="1">
      <c r="B429" s="30">
        <v>67468798</v>
      </c>
      <c r="C429" s="54" t="s">
        <v>583</v>
      </c>
      <c r="D429" s="36" t="s">
        <v>76</v>
      </c>
      <c r="E429" s="30">
        <v>230</v>
      </c>
      <c r="F429" s="30" t="s">
        <v>73</v>
      </c>
      <c r="G429" s="30">
        <f>IF(P429="TL tuyệt đối",K429*103%,K429+1/3*M429)</f>
        <v>233</v>
      </c>
      <c r="H429" s="31">
        <f>IF(P429="TL tuyệt đối",K429*101%,K429-1/3*M429)</f>
        <v>227</v>
      </c>
      <c r="I429" s="31">
        <f>IF(P429="TL tuyệt đối", K429*105%,K429+M429)</f>
        <v>239</v>
      </c>
      <c r="J429" s="31">
        <f>K429-M429</f>
        <v>221</v>
      </c>
      <c r="K429" s="32">
        <f t="shared" si="42"/>
        <v>230</v>
      </c>
      <c r="M429" s="33">
        <f>IF(P429="TL tuyệt đối",0, IF(K429&lt;5,0,IF(K429&lt;50,K429*9%,IF(K429&lt;100,4.5,IF(K429&lt;200,4.5%*K429,IF(K429&lt;300,9,IF(K429&lt;500,K429*3%,IF(K429&lt;1000,15,))))))))</f>
        <v>9</v>
      </c>
      <c r="N429" s="33">
        <v>9.1999999999999993</v>
      </c>
      <c r="P429" s="32"/>
    </row>
    <row r="430" spans="2:16" ht="16.5" customHeight="1">
      <c r="B430" s="30">
        <v>67468771</v>
      </c>
      <c r="C430" s="54" t="s">
        <v>584</v>
      </c>
      <c r="D430" s="36" t="s">
        <v>76</v>
      </c>
      <c r="E430" s="30">
        <v>230</v>
      </c>
      <c r="F430" s="30" t="s">
        <v>73</v>
      </c>
      <c r="G430" s="30">
        <f t="shared" si="36"/>
        <v>233</v>
      </c>
      <c r="H430" s="31">
        <f t="shared" si="37"/>
        <v>227</v>
      </c>
      <c r="I430" s="31">
        <f t="shared" si="38"/>
        <v>239</v>
      </c>
      <c r="J430" s="31">
        <f t="shared" si="40"/>
        <v>221</v>
      </c>
      <c r="K430" s="32">
        <f t="shared" si="42"/>
        <v>230</v>
      </c>
      <c r="M430" s="33">
        <f t="shared" si="39"/>
        <v>9</v>
      </c>
      <c r="N430" s="33">
        <v>9.1999999999999993</v>
      </c>
      <c r="P430" s="32"/>
    </row>
    <row r="431" spans="2:16" ht="16.5" customHeight="1">
      <c r="B431" s="30">
        <v>67468782</v>
      </c>
      <c r="C431" s="54" t="s">
        <v>585</v>
      </c>
      <c r="D431" s="36" t="s">
        <v>76</v>
      </c>
      <c r="E431" s="30">
        <v>180</v>
      </c>
      <c r="F431" s="30" t="s">
        <v>73</v>
      </c>
      <c r="G431" s="30">
        <f>IF(P431="TL tuyệt đối",K431*103%,K431+1/3*M431)</f>
        <v>182.7</v>
      </c>
      <c r="H431" s="31">
        <f>IF(P431="TL tuyệt đối",K431*101%,K431-1/3*M431)</f>
        <v>177.3</v>
      </c>
      <c r="I431" s="31">
        <f>IF(P431="TL tuyệt đối", K431*105%,K431+M431)</f>
        <v>188.1</v>
      </c>
      <c r="J431" s="31">
        <f>K431-M431</f>
        <v>171.9</v>
      </c>
      <c r="K431" s="32">
        <f t="shared" si="42"/>
        <v>180</v>
      </c>
      <c r="M431" s="33">
        <f>IF(P431="TL tuyệt đối",0, IF(K431&lt;5,0,IF(K431&lt;50,K431*9%,IF(K431&lt;100,4.5,IF(K431&lt;200,4.5%*K431,IF(K431&lt;300,9,IF(K431&lt;500,K431*3%,IF(K431&lt;1000,15,))))))))</f>
        <v>8.1</v>
      </c>
      <c r="N431" s="33">
        <v>7.4</v>
      </c>
      <c r="P431" s="32"/>
    </row>
    <row r="432" spans="2:16" ht="16.5" customHeight="1">
      <c r="B432" s="30">
        <v>67468772</v>
      </c>
      <c r="C432" s="54" t="s">
        <v>586</v>
      </c>
      <c r="D432" s="36" t="s">
        <v>76</v>
      </c>
      <c r="E432" s="30">
        <v>90</v>
      </c>
      <c r="F432" s="30" t="s">
        <v>73</v>
      </c>
      <c r="G432" s="30">
        <f t="shared" si="36"/>
        <v>91.5</v>
      </c>
      <c r="H432" s="31">
        <f t="shared" si="37"/>
        <v>88.5</v>
      </c>
      <c r="I432" s="31">
        <f t="shared" si="38"/>
        <v>94.5</v>
      </c>
      <c r="J432" s="31">
        <f t="shared" si="40"/>
        <v>85.5</v>
      </c>
      <c r="K432" s="32">
        <f t="shared" si="42"/>
        <v>90</v>
      </c>
      <c r="M432" s="33">
        <f t="shared" si="39"/>
        <v>4.5</v>
      </c>
      <c r="N432" s="33">
        <v>6.2</v>
      </c>
      <c r="P432" s="32"/>
    </row>
    <row r="433" spans="2:16" ht="16.5" customHeight="1">
      <c r="B433" s="30">
        <v>67468783</v>
      </c>
      <c r="C433" s="54" t="s">
        <v>587</v>
      </c>
      <c r="D433" s="36" t="s">
        <v>76</v>
      </c>
      <c r="E433" s="30">
        <v>140</v>
      </c>
      <c r="F433" s="30" t="s">
        <v>73</v>
      </c>
      <c r="G433" s="30">
        <f>IF(P433="TL tuyệt đối",K433*103%,K433+1/3*M433)</f>
        <v>142.1</v>
      </c>
      <c r="H433" s="31">
        <f>IF(P433="TL tuyệt đối",K433*101%,K433-1/3*M433)</f>
        <v>137.9</v>
      </c>
      <c r="I433" s="31">
        <f>IF(P433="TL tuyệt đối", K433*105%,K433+M433)</f>
        <v>146.30000000000001</v>
      </c>
      <c r="J433" s="31">
        <f>K433-M433</f>
        <v>133.69999999999999</v>
      </c>
      <c r="K433" s="32">
        <f t="shared" si="42"/>
        <v>140</v>
      </c>
      <c r="M433" s="33">
        <f>IF(P433="TL tuyệt đối",0, IF(K433&lt;5,0,IF(K433&lt;50,K433*9%,IF(K433&lt;100,4.5,IF(K433&lt;200,4.5%*K433,IF(K433&lt;300,9,IF(K433&lt;500,K433*3%,IF(K433&lt;1000,15,))))))))</f>
        <v>6.3</v>
      </c>
      <c r="N433" s="33">
        <v>7.6</v>
      </c>
      <c r="P433" s="32"/>
    </row>
    <row r="434" spans="2:16" ht="16.5" customHeight="1">
      <c r="B434" s="30">
        <v>67468770</v>
      </c>
      <c r="C434" s="54" t="s">
        <v>588</v>
      </c>
      <c r="D434" s="36" t="s">
        <v>76</v>
      </c>
      <c r="E434" s="30">
        <v>140</v>
      </c>
      <c r="F434" s="30" t="s">
        <v>73</v>
      </c>
      <c r="G434" s="30">
        <f t="shared" si="36"/>
        <v>142.1</v>
      </c>
      <c r="H434" s="31">
        <f t="shared" si="37"/>
        <v>137.9</v>
      </c>
      <c r="I434" s="31">
        <f t="shared" si="38"/>
        <v>146.30000000000001</v>
      </c>
      <c r="J434" s="31">
        <f t="shared" si="40"/>
        <v>133.69999999999999</v>
      </c>
      <c r="K434" s="32">
        <f t="shared" si="42"/>
        <v>140</v>
      </c>
      <c r="M434" s="33">
        <f t="shared" si="39"/>
        <v>6.3</v>
      </c>
      <c r="N434" s="33">
        <v>7.6</v>
      </c>
      <c r="P434" s="32"/>
    </row>
    <row r="435" spans="2:16" ht="16.5" customHeight="1">
      <c r="B435" s="30">
        <v>67468795</v>
      </c>
      <c r="C435" s="54" t="s">
        <v>589</v>
      </c>
      <c r="D435" s="36" t="s">
        <v>76</v>
      </c>
      <c r="E435" s="30">
        <v>140</v>
      </c>
      <c r="F435" s="30" t="s">
        <v>73</v>
      </c>
      <c r="G435" s="30">
        <f t="shared" si="36"/>
        <v>142.1</v>
      </c>
      <c r="H435" s="31">
        <f t="shared" si="37"/>
        <v>137.9</v>
      </c>
      <c r="I435" s="31">
        <f t="shared" si="38"/>
        <v>146.30000000000001</v>
      </c>
      <c r="J435" s="31">
        <f t="shared" si="40"/>
        <v>133.69999999999999</v>
      </c>
      <c r="K435" s="32">
        <f t="shared" si="42"/>
        <v>140</v>
      </c>
      <c r="M435" s="33">
        <f t="shared" si="39"/>
        <v>6.3</v>
      </c>
      <c r="N435" s="33">
        <v>7.6</v>
      </c>
      <c r="P435" s="32"/>
    </row>
    <row r="436" spans="2:16" ht="16.5" customHeight="1">
      <c r="B436" s="69">
        <v>67468779</v>
      </c>
      <c r="C436" s="70" t="s">
        <v>590</v>
      </c>
      <c r="D436" s="36" t="s">
        <v>76</v>
      </c>
      <c r="E436" s="30">
        <v>180</v>
      </c>
      <c r="F436" s="30" t="s">
        <v>73</v>
      </c>
      <c r="G436" s="30">
        <f t="shared" si="36"/>
        <v>182.7</v>
      </c>
      <c r="H436" s="31">
        <f t="shared" si="37"/>
        <v>177.3</v>
      </c>
      <c r="I436" s="31">
        <f t="shared" si="38"/>
        <v>188.1</v>
      </c>
      <c r="J436" s="31">
        <f t="shared" si="40"/>
        <v>171.9</v>
      </c>
      <c r="K436" s="32">
        <f t="shared" si="42"/>
        <v>180</v>
      </c>
      <c r="M436" s="33">
        <f t="shared" si="39"/>
        <v>8.1</v>
      </c>
      <c r="N436" s="33">
        <v>7.4</v>
      </c>
      <c r="P436" s="32"/>
    </row>
    <row r="437" spans="2:16" ht="16.5" customHeight="1">
      <c r="B437" s="30">
        <v>67468781</v>
      </c>
      <c r="C437" s="54" t="s">
        <v>591</v>
      </c>
      <c r="D437" s="36" t="s">
        <v>76</v>
      </c>
      <c r="E437" s="30">
        <v>100</v>
      </c>
      <c r="F437" s="30" t="s">
        <v>73</v>
      </c>
      <c r="G437" s="30">
        <f t="shared" si="36"/>
        <v>101.5</v>
      </c>
      <c r="H437" s="31">
        <f t="shared" si="37"/>
        <v>98.5</v>
      </c>
      <c r="I437" s="31">
        <f t="shared" si="38"/>
        <v>104.5</v>
      </c>
      <c r="J437" s="31">
        <f t="shared" si="40"/>
        <v>95.5</v>
      </c>
      <c r="K437" s="32">
        <v>100</v>
      </c>
      <c r="M437" s="33">
        <f t="shared" si="39"/>
        <v>4.5</v>
      </c>
      <c r="N437" s="33">
        <v>8.4</v>
      </c>
      <c r="P437" s="32"/>
    </row>
    <row r="438" spans="2:16" ht="16.5" customHeight="1">
      <c r="B438" s="30">
        <v>67436740</v>
      </c>
      <c r="C438" s="54" t="s">
        <v>592</v>
      </c>
      <c r="D438" s="13" t="s">
        <v>262</v>
      </c>
      <c r="E438" s="30">
        <v>20</v>
      </c>
      <c r="F438" s="30" t="s">
        <v>73</v>
      </c>
      <c r="G438" s="30">
        <f t="shared" si="36"/>
        <v>101.5</v>
      </c>
      <c r="H438" s="31">
        <f t="shared" si="37"/>
        <v>98.5</v>
      </c>
      <c r="I438" s="31">
        <f t="shared" si="38"/>
        <v>104.5</v>
      </c>
      <c r="J438" s="31">
        <f t="shared" si="40"/>
        <v>95.5</v>
      </c>
      <c r="K438" s="32">
        <v>100</v>
      </c>
      <c r="M438" s="33">
        <f t="shared" si="39"/>
        <v>4.5</v>
      </c>
      <c r="N438" s="33">
        <v>3.1</v>
      </c>
      <c r="P438" s="32"/>
    </row>
    <row r="439" spans="2:16" ht="16.5" customHeight="1">
      <c r="B439" s="30">
        <v>67400790</v>
      </c>
      <c r="C439" s="54" t="s">
        <v>593</v>
      </c>
      <c r="D439" s="36" t="s">
        <v>76</v>
      </c>
      <c r="E439" s="30">
        <v>180</v>
      </c>
      <c r="F439" s="30" t="s">
        <v>73</v>
      </c>
      <c r="G439" s="30">
        <f t="shared" si="36"/>
        <v>182.7</v>
      </c>
      <c r="H439" s="31">
        <f t="shared" si="37"/>
        <v>177.3</v>
      </c>
      <c r="I439" s="31">
        <f t="shared" si="38"/>
        <v>188.1</v>
      </c>
      <c r="J439" s="31">
        <f t="shared" si="40"/>
        <v>171.9</v>
      </c>
      <c r="K439" s="32">
        <f t="shared" ref="K439:K450" si="43">IF(F439="ml",E439*L439,E439)</f>
        <v>180</v>
      </c>
      <c r="M439" s="33">
        <f t="shared" si="39"/>
        <v>8.1</v>
      </c>
      <c r="N439" s="33">
        <v>9.8000000000000007</v>
      </c>
      <c r="P439" s="32"/>
    </row>
    <row r="440" spans="2:16" ht="16.5" customHeight="1">
      <c r="B440" s="30">
        <v>67434206</v>
      </c>
      <c r="C440" s="54" t="s">
        <v>594</v>
      </c>
      <c r="D440" s="36" t="s">
        <v>76</v>
      </c>
      <c r="E440" s="30">
        <v>30</v>
      </c>
      <c r="F440" s="30" t="s">
        <v>73</v>
      </c>
      <c r="G440" s="30">
        <f t="shared" si="36"/>
        <v>30.9</v>
      </c>
      <c r="H440" s="31">
        <f t="shared" si="37"/>
        <v>29.1</v>
      </c>
      <c r="I440" s="31">
        <f t="shared" si="38"/>
        <v>32.700000000000003</v>
      </c>
      <c r="J440" s="31">
        <f t="shared" si="40"/>
        <v>27.3</v>
      </c>
      <c r="K440" s="32">
        <f t="shared" si="43"/>
        <v>30</v>
      </c>
      <c r="M440" s="33">
        <f t="shared" si="39"/>
        <v>2.6999999999999997</v>
      </c>
      <c r="N440" s="33">
        <v>4</v>
      </c>
      <c r="P440" s="32"/>
    </row>
    <row r="441" spans="2:16" ht="16.5" customHeight="1">
      <c r="B441" s="30">
        <v>67400788</v>
      </c>
      <c r="C441" s="54" t="s">
        <v>595</v>
      </c>
      <c r="D441" s="36" t="s">
        <v>76</v>
      </c>
      <c r="E441" s="30">
        <v>100</v>
      </c>
      <c r="F441" s="30" t="s">
        <v>73</v>
      </c>
      <c r="G441" s="30">
        <f t="shared" si="36"/>
        <v>101.5</v>
      </c>
      <c r="H441" s="31">
        <f t="shared" si="37"/>
        <v>98.5</v>
      </c>
      <c r="I441" s="31">
        <f t="shared" si="38"/>
        <v>104.5</v>
      </c>
      <c r="J441" s="31">
        <f t="shared" si="40"/>
        <v>95.5</v>
      </c>
      <c r="K441" s="32">
        <f t="shared" si="43"/>
        <v>100</v>
      </c>
      <c r="M441" s="33">
        <f t="shared" si="39"/>
        <v>4.5</v>
      </c>
      <c r="N441" s="33">
        <v>8.4</v>
      </c>
      <c r="P441" s="32"/>
    </row>
    <row r="442" spans="2:16" ht="16.5" customHeight="1">
      <c r="B442" s="30">
        <v>67476825</v>
      </c>
      <c r="C442" s="54" t="s">
        <v>596</v>
      </c>
      <c r="D442" s="13" t="s">
        <v>262</v>
      </c>
      <c r="E442" s="30">
        <v>160</v>
      </c>
      <c r="F442" s="30" t="s">
        <v>73</v>
      </c>
      <c r="G442" s="30">
        <f t="shared" si="36"/>
        <v>162.4</v>
      </c>
      <c r="H442" s="31">
        <f t="shared" si="37"/>
        <v>157.6</v>
      </c>
      <c r="I442" s="31">
        <f t="shared" si="38"/>
        <v>167.2</v>
      </c>
      <c r="J442" s="31">
        <f t="shared" si="40"/>
        <v>152.80000000000001</v>
      </c>
      <c r="K442" s="32">
        <f t="shared" si="43"/>
        <v>160</v>
      </c>
      <c r="M442" s="33">
        <f t="shared" si="39"/>
        <v>7.1999999999999993</v>
      </c>
      <c r="N442" s="33">
        <v>7.3</v>
      </c>
      <c r="P442" s="32"/>
    </row>
    <row r="443" spans="2:16" ht="16.5" customHeight="1">
      <c r="B443" s="36">
        <v>67483466</v>
      </c>
      <c r="C443" s="37" t="s">
        <v>597</v>
      </c>
      <c r="D443" s="36" t="s">
        <v>76</v>
      </c>
      <c r="E443" s="30">
        <v>45</v>
      </c>
      <c r="F443" s="30" t="s">
        <v>73</v>
      </c>
      <c r="G443" s="30">
        <f t="shared" si="36"/>
        <v>46.35</v>
      </c>
      <c r="H443" s="31">
        <f t="shared" si="37"/>
        <v>43.65</v>
      </c>
      <c r="I443" s="31">
        <f t="shared" si="38"/>
        <v>49.05</v>
      </c>
      <c r="J443" s="31">
        <f t="shared" si="40"/>
        <v>40.950000000000003</v>
      </c>
      <c r="K443" s="32">
        <f t="shared" si="43"/>
        <v>45</v>
      </c>
      <c r="L443" s="32"/>
      <c r="M443" s="33">
        <f t="shared" si="39"/>
        <v>4.05</v>
      </c>
      <c r="N443" s="33">
        <v>4</v>
      </c>
      <c r="P443" s="32"/>
    </row>
    <row r="444" spans="2:16" ht="16.5" customHeight="1">
      <c r="B444" s="30">
        <v>67483469</v>
      </c>
      <c r="C444" s="37" t="s">
        <v>598</v>
      </c>
      <c r="D444" s="36" t="s">
        <v>76</v>
      </c>
      <c r="E444" s="30">
        <v>45</v>
      </c>
      <c r="F444" s="30" t="s">
        <v>73</v>
      </c>
      <c r="G444" s="30">
        <f t="shared" si="36"/>
        <v>46.35</v>
      </c>
      <c r="H444" s="31">
        <f t="shared" si="37"/>
        <v>43.65</v>
      </c>
      <c r="I444" s="31">
        <f t="shared" si="38"/>
        <v>49.05</v>
      </c>
      <c r="J444" s="31">
        <f t="shared" si="40"/>
        <v>40.950000000000003</v>
      </c>
      <c r="K444" s="32">
        <f t="shared" si="43"/>
        <v>45</v>
      </c>
      <c r="L444" s="32"/>
      <c r="M444" s="33">
        <f t="shared" si="39"/>
        <v>4.05</v>
      </c>
      <c r="N444" s="33">
        <v>4</v>
      </c>
      <c r="P444" s="32"/>
    </row>
    <row r="445" spans="2:16" ht="16.5" customHeight="1">
      <c r="B445" s="30">
        <v>67483471</v>
      </c>
      <c r="C445" s="54" t="s">
        <v>599</v>
      </c>
      <c r="D445" s="36" t="s">
        <v>76</v>
      </c>
      <c r="E445" s="30">
        <v>90</v>
      </c>
      <c r="F445" s="30" t="s">
        <v>73</v>
      </c>
      <c r="G445" s="30">
        <f t="shared" si="36"/>
        <v>91.5</v>
      </c>
      <c r="H445" s="31">
        <f t="shared" si="37"/>
        <v>88.5</v>
      </c>
      <c r="I445" s="31">
        <f t="shared" si="38"/>
        <v>94.5</v>
      </c>
      <c r="J445" s="31">
        <f t="shared" si="40"/>
        <v>85.5</v>
      </c>
      <c r="K445" s="32">
        <f t="shared" si="43"/>
        <v>90</v>
      </c>
      <c r="M445" s="33">
        <f t="shared" si="39"/>
        <v>4.5</v>
      </c>
      <c r="N445" s="33">
        <v>8.4</v>
      </c>
      <c r="P445" s="32"/>
    </row>
    <row r="446" spans="2:16" ht="16.5" customHeight="1">
      <c r="B446" s="30">
        <v>67434214</v>
      </c>
      <c r="C446" s="54" t="s">
        <v>600</v>
      </c>
      <c r="D446" s="36" t="s">
        <v>76</v>
      </c>
      <c r="E446" s="30">
        <v>240</v>
      </c>
      <c r="F446" s="30" t="s">
        <v>73</v>
      </c>
      <c r="G446" s="30">
        <f t="shared" si="36"/>
        <v>243</v>
      </c>
      <c r="H446" s="31">
        <f t="shared" si="37"/>
        <v>237</v>
      </c>
      <c r="I446" s="31">
        <f t="shared" si="38"/>
        <v>249</v>
      </c>
      <c r="J446" s="31">
        <f t="shared" si="40"/>
        <v>231</v>
      </c>
      <c r="K446" s="32">
        <f t="shared" si="43"/>
        <v>240</v>
      </c>
      <c r="M446" s="33">
        <f t="shared" si="39"/>
        <v>9</v>
      </c>
      <c r="N446" s="33">
        <v>9</v>
      </c>
      <c r="P446" s="32"/>
    </row>
    <row r="447" spans="2:16" ht="16.5" customHeight="1">
      <c r="B447" s="30">
        <v>67434200</v>
      </c>
      <c r="C447" s="54" t="s">
        <v>601</v>
      </c>
      <c r="D447" s="36" t="s">
        <v>76</v>
      </c>
      <c r="E447" s="30">
        <v>240</v>
      </c>
      <c r="F447" s="30" t="s">
        <v>73</v>
      </c>
      <c r="G447" s="30">
        <f t="shared" si="36"/>
        <v>243</v>
      </c>
      <c r="H447" s="31">
        <f t="shared" si="37"/>
        <v>237</v>
      </c>
      <c r="I447" s="31">
        <f t="shared" si="38"/>
        <v>249</v>
      </c>
      <c r="J447" s="31">
        <f t="shared" si="40"/>
        <v>231</v>
      </c>
      <c r="K447" s="32">
        <f t="shared" si="43"/>
        <v>240</v>
      </c>
      <c r="M447" s="33">
        <f t="shared" si="39"/>
        <v>9</v>
      </c>
      <c r="N447" s="33">
        <v>9</v>
      </c>
      <c r="P447" s="32"/>
    </row>
    <row r="448" spans="2:16" ht="16.5" customHeight="1">
      <c r="B448" s="30">
        <v>67434198</v>
      </c>
      <c r="C448" s="54" t="s">
        <v>602</v>
      </c>
      <c r="D448" s="36" t="s">
        <v>76</v>
      </c>
      <c r="E448" s="30">
        <v>190</v>
      </c>
      <c r="F448" s="30" t="s">
        <v>73</v>
      </c>
      <c r="G448" s="30">
        <f t="shared" si="36"/>
        <v>192.85</v>
      </c>
      <c r="H448" s="31">
        <f t="shared" si="37"/>
        <v>187.15</v>
      </c>
      <c r="I448" s="31">
        <f t="shared" si="38"/>
        <v>198.55</v>
      </c>
      <c r="J448" s="31">
        <f t="shared" si="40"/>
        <v>181.45</v>
      </c>
      <c r="K448" s="32">
        <f t="shared" si="43"/>
        <v>190</v>
      </c>
      <c r="M448" s="33">
        <f t="shared" si="39"/>
        <v>8.5499999999999989</v>
      </c>
      <c r="N448" s="33">
        <v>8</v>
      </c>
      <c r="P448" s="32"/>
    </row>
    <row r="449" spans="2:16" ht="16.5" customHeight="1">
      <c r="B449" s="30">
        <v>67434175</v>
      </c>
      <c r="C449" s="54" t="s">
        <v>603</v>
      </c>
      <c r="D449" s="36" t="s">
        <v>76</v>
      </c>
      <c r="E449" s="30">
        <v>190</v>
      </c>
      <c r="F449" s="30" t="s">
        <v>73</v>
      </c>
      <c r="G449" s="30">
        <f>IF(P449="TL tuyệt đối",K449*103%,K449+1/3*M449)</f>
        <v>192.85</v>
      </c>
      <c r="H449" s="31">
        <f>IF(P449="TL tuyệt đối",K449*101%,K449-1/3*M449)</f>
        <v>187.15</v>
      </c>
      <c r="I449" s="31">
        <f>IF(P449="TL tuyệt đối", K449*105%,K449+M449)</f>
        <v>198.55</v>
      </c>
      <c r="J449" s="31">
        <f>K449-M449</f>
        <v>181.45</v>
      </c>
      <c r="K449" s="32">
        <f t="shared" si="43"/>
        <v>190</v>
      </c>
      <c r="M449" s="33">
        <f>IF(P449="TL tuyệt đối",0, IF(K449&lt;5,0,IF(K449&lt;50,K449*9%,IF(K449&lt;100,4.5,IF(K449&lt;200,4.5%*K449,IF(K449&lt;300,9,IF(K449&lt;500,K449*3%,IF(K449&lt;1000,15,))))))))</f>
        <v>8.5499999999999989</v>
      </c>
      <c r="N449" s="33">
        <v>8.1999999999999993</v>
      </c>
      <c r="P449" s="32"/>
    </row>
    <row r="450" spans="2:16" ht="16.5" customHeight="1">
      <c r="B450" s="30">
        <v>67434184</v>
      </c>
      <c r="C450" s="54" t="s">
        <v>604</v>
      </c>
      <c r="D450" s="36" t="s">
        <v>76</v>
      </c>
      <c r="E450" s="30">
        <v>180</v>
      </c>
      <c r="F450" s="30" t="s">
        <v>73</v>
      </c>
      <c r="G450" s="30">
        <f t="shared" ref="G450:G512" si="44">IF(P450="TL tuyệt đối",K450*103%,K450+1/3*M450)</f>
        <v>182.7</v>
      </c>
      <c r="H450" s="31">
        <f t="shared" ref="H450:H512" si="45">IF(P450="TL tuyệt đối",K450*101%,K450-1/3*M450)</f>
        <v>177.3</v>
      </c>
      <c r="I450" s="31">
        <f t="shared" ref="I450:I512" si="46">IF(P450="TL tuyệt đối", K450*105%,K450+M450)</f>
        <v>188.1</v>
      </c>
      <c r="J450" s="31">
        <f t="shared" ref="J450:J512" si="47">K450-M450</f>
        <v>171.9</v>
      </c>
      <c r="K450" s="32">
        <f t="shared" si="43"/>
        <v>180</v>
      </c>
      <c r="M450" s="33">
        <f t="shared" ref="M450:M512" si="48">IF(P450="TL tuyệt đối",0, IF(K450&lt;5,0,IF(K450&lt;50,K450*9%,IF(K450&lt;100,4.5,IF(K450&lt;200,4.5%*K450,IF(K450&lt;300,9,IF(K450&lt;500,K450*3%,IF(K450&lt;1000,15,))))))))</f>
        <v>8.1</v>
      </c>
      <c r="N450" s="33">
        <v>7.4</v>
      </c>
      <c r="P450" s="32"/>
    </row>
    <row r="451" spans="2:16" ht="16.5" customHeight="1">
      <c r="B451" s="30">
        <v>67434202</v>
      </c>
      <c r="C451" s="54" t="s">
        <v>605</v>
      </c>
      <c r="D451" s="36" t="s">
        <v>76</v>
      </c>
      <c r="E451" s="30">
        <v>110</v>
      </c>
      <c r="F451" s="30" t="s">
        <v>73</v>
      </c>
      <c r="G451" s="30">
        <f t="shared" si="44"/>
        <v>111.65</v>
      </c>
      <c r="H451" s="31">
        <f t="shared" si="45"/>
        <v>108.35</v>
      </c>
      <c r="I451" s="31">
        <f t="shared" si="46"/>
        <v>114.95</v>
      </c>
      <c r="J451" s="31">
        <f t="shared" si="47"/>
        <v>105.05</v>
      </c>
      <c r="K451" s="32">
        <f>IF(F451="ml",E451*L451,E451)</f>
        <v>110</v>
      </c>
      <c r="M451" s="33">
        <f t="shared" si="48"/>
        <v>4.95</v>
      </c>
      <c r="N451" s="33">
        <v>5.9</v>
      </c>
      <c r="P451" s="32"/>
    </row>
    <row r="452" spans="2:16" ht="16.5" customHeight="1">
      <c r="B452" s="30">
        <v>67434208</v>
      </c>
      <c r="C452" s="54" t="s">
        <v>606</v>
      </c>
      <c r="D452" s="36" t="s">
        <v>76</v>
      </c>
      <c r="E452" s="30">
        <v>240</v>
      </c>
      <c r="F452" s="30" t="s">
        <v>73</v>
      </c>
      <c r="G452" s="30">
        <f t="shared" si="44"/>
        <v>243</v>
      </c>
      <c r="H452" s="31">
        <f t="shared" si="45"/>
        <v>237</v>
      </c>
      <c r="I452" s="31">
        <f t="shared" si="46"/>
        <v>249</v>
      </c>
      <c r="J452" s="31">
        <f t="shared" si="47"/>
        <v>231</v>
      </c>
      <c r="K452" s="32">
        <f t="shared" ref="K452:K466" si="49">IF(F452="ml",E452*L452,E452)</f>
        <v>240</v>
      </c>
      <c r="M452" s="33">
        <f t="shared" si="48"/>
        <v>9</v>
      </c>
      <c r="N452" s="33">
        <v>9</v>
      </c>
      <c r="P452" s="32"/>
    </row>
    <row r="453" spans="2:16" ht="16.5" customHeight="1">
      <c r="B453" s="30">
        <v>67434188</v>
      </c>
      <c r="C453" s="54" t="s">
        <v>607</v>
      </c>
      <c r="D453" s="36" t="s">
        <v>76</v>
      </c>
      <c r="E453" s="30">
        <v>100</v>
      </c>
      <c r="F453" s="30" t="s">
        <v>73</v>
      </c>
      <c r="G453" s="30">
        <f t="shared" si="44"/>
        <v>101.5</v>
      </c>
      <c r="H453" s="31">
        <f t="shared" si="45"/>
        <v>98.5</v>
      </c>
      <c r="I453" s="31">
        <f t="shared" si="46"/>
        <v>104.5</v>
      </c>
      <c r="J453" s="31">
        <f t="shared" si="47"/>
        <v>95.5</v>
      </c>
      <c r="K453" s="32">
        <f t="shared" si="49"/>
        <v>100</v>
      </c>
      <c r="M453" s="33">
        <f t="shared" si="48"/>
        <v>4.5</v>
      </c>
      <c r="N453" s="33">
        <v>6.1</v>
      </c>
      <c r="P453" s="32"/>
    </row>
    <row r="454" spans="2:16" ht="16.5" customHeight="1">
      <c r="B454" s="30">
        <v>67531812</v>
      </c>
      <c r="C454" s="54" t="s">
        <v>608</v>
      </c>
      <c r="D454" s="36" t="s">
        <v>76</v>
      </c>
      <c r="E454" s="30">
        <v>30</v>
      </c>
      <c r="F454" s="30" t="s">
        <v>73</v>
      </c>
      <c r="G454" s="30">
        <f t="shared" si="44"/>
        <v>30.9</v>
      </c>
      <c r="H454" s="31">
        <f t="shared" si="45"/>
        <v>29.1</v>
      </c>
      <c r="I454" s="31">
        <f t="shared" si="46"/>
        <v>32.700000000000003</v>
      </c>
      <c r="J454" s="31">
        <f t="shared" si="47"/>
        <v>27.3</v>
      </c>
      <c r="K454" s="32">
        <f t="shared" si="49"/>
        <v>30</v>
      </c>
      <c r="M454" s="33">
        <f t="shared" si="48"/>
        <v>2.6999999999999997</v>
      </c>
      <c r="N454" s="33">
        <v>4</v>
      </c>
      <c r="P454" s="32"/>
    </row>
    <row r="455" spans="2:16" ht="16.5" customHeight="1">
      <c r="B455" s="30">
        <v>67504134</v>
      </c>
      <c r="C455" s="54" t="s">
        <v>609</v>
      </c>
      <c r="D455" s="36" t="s">
        <v>76</v>
      </c>
      <c r="E455" s="30">
        <v>15</v>
      </c>
      <c r="F455" s="30" t="s">
        <v>73</v>
      </c>
      <c r="G455" s="30">
        <f t="shared" si="44"/>
        <v>15.45</v>
      </c>
      <c r="H455" s="31">
        <f t="shared" si="45"/>
        <v>14.55</v>
      </c>
      <c r="I455" s="31">
        <f t="shared" si="46"/>
        <v>16.350000000000001</v>
      </c>
      <c r="J455" s="31">
        <f t="shared" si="47"/>
        <v>13.65</v>
      </c>
      <c r="K455" s="32">
        <f t="shared" si="49"/>
        <v>15</v>
      </c>
      <c r="M455" s="33">
        <f t="shared" si="48"/>
        <v>1.3499999999999999</v>
      </c>
      <c r="N455" s="33">
        <v>3</v>
      </c>
      <c r="P455" s="32"/>
    </row>
    <row r="456" spans="2:16" ht="16.5" customHeight="1">
      <c r="B456" s="30">
        <v>67504138</v>
      </c>
      <c r="C456" s="54" t="s">
        <v>610</v>
      </c>
      <c r="D456" s="36" t="s">
        <v>76</v>
      </c>
      <c r="E456" s="30">
        <v>15</v>
      </c>
      <c r="F456" s="30" t="s">
        <v>73</v>
      </c>
      <c r="G456" s="30">
        <f t="shared" si="44"/>
        <v>15.45</v>
      </c>
      <c r="H456" s="31">
        <f t="shared" si="45"/>
        <v>14.55</v>
      </c>
      <c r="I456" s="31">
        <f t="shared" si="46"/>
        <v>16.350000000000001</v>
      </c>
      <c r="J456" s="31">
        <f t="shared" si="47"/>
        <v>13.65</v>
      </c>
      <c r="K456" s="32">
        <f t="shared" si="49"/>
        <v>15</v>
      </c>
      <c r="M456" s="33">
        <f t="shared" si="48"/>
        <v>1.3499999999999999</v>
      </c>
      <c r="N456" s="33">
        <v>3</v>
      </c>
      <c r="P456" s="32"/>
    </row>
    <row r="457" spans="2:16" ht="16.5" customHeight="1">
      <c r="B457" s="30">
        <v>67434190</v>
      </c>
      <c r="C457" s="54" t="s">
        <v>611</v>
      </c>
      <c r="D457" s="36" t="s">
        <v>76</v>
      </c>
      <c r="E457" s="30">
        <v>180</v>
      </c>
      <c r="F457" s="30" t="s">
        <v>73</v>
      </c>
      <c r="G457" s="30">
        <f t="shared" si="44"/>
        <v>182.7</v>
      </c>
      <c r="H457" s="31">
        <f t="shared" si="45"/>
        <v>177.3</v>
      </c>
      <c r="I457" s="31">
        <f t="shared" si="46"/>
        <v>188.1</v>
      </c>
      <c r="J457" s="31">
        <f t="shared" si="47"/>
        <v>171.9</v>
      </c>
      <c r="K457" s="32">
        <f t="shared" si="49"/>
        <v>180</v>
      </c>
      <c r="M457" s="33">
        <f t="shared" si="48"/>
        <v>8.1</v>
      </c>
      <c r="N457" s="33">
        <v>7.4</v>
      </c>
      <c r="P457" s="32"/>
    </row>
    <row r="458" spans="2:16" ht="16.5" customHeight="1">
      <c r="B458" s="30">
        <v>67434192</v>
      </c>
      <c r="C458" s="54" t="s">
        <v>612</v>
      </c>
      <c r="D458" s="36" t="s">
        <v>76</v>
      </c>
      <c r="E458" s="30">
        <v>190</v>
      </c>
      <c r="F458" s="30" t="s">
        <v>73</v>
      </c>
      <c r="G458" s="30">
        <f t="shared" si="44"/>
        <v>192.85</v>
      </c>
      <c r="H458" s="31">
        <f t="shared" si="45"/>
        <v>187.15</v>
      </c>
      <c r="I458" s="31">
        <f t="shared" si="46"/>
        <v>198.55</v>
      </c>
      <c r="J458" s="31">
        <f t="shared" si="47"/>
        <v>181.45</v>
      </c>
      <c r="K458" s="32">
        <f t="shared" si="49"/>
        <v>190</v>
      </c>
      <c r="M458" s="33">
        <f t="shared" si="48"/>
        <v>8.5499999999999989</v>
      </c>
      <c r="N458" s="33">
        <v>7.5</v>
      </c>
      <c r="P458" s="32"/>
    </row>
    <row r="459" spans="2:16" ht="16.5" customHeight="1">
      <c r="B459" s="30">
        <v>67434210</v>
      </c>
      <c r="C459" s="54" t="s">
        <v>613</v>
      </c>
      <c r="D459" s="36" t="s">
        <v>76</v>
      </c>
      <c r="E459" s="30">
        <v>30</v>
      </c>
      <c r="F459" s="30" t="s">
        <v>73</v>
      </c>
      <c r="G459" s="30">
        <f>IF(P459="TL tuyệt đối",K459*103%,K459+1/3*M459)</f>
        <v>30.9</v>
      </c>
      <c r="H459" s="31">
        <f>IF(P459="TL tuyệt đối",K459*101%,K459-1/3*M459)</f>
        <v>29.1</v>
      </c>
      <c r="I459" s="31">
        <f>IF(P459="TL tuyệt đối", K459*105%,K459+M459)</f>
        <v>32.700000000000003</v>
      </c>
      <c r="J459" s="31">
        <f>K459-M459</f>
        <v>27.3</v>
      </c>
      <c r="K459" s="32">
        <f t="shared" si="49"/>
        <v>30</v>
      </c>
      <c r="M459" s="33">
        <f>IF(P459="TL tuyệt đối",0, IF(K459&lt;5,0,IF(K459&lt;50,K459*9%,IF(K459&lt;100,4.5,IF(K459&lt;200,4.5%*K459,IF(K459&lt;300,9,IF(K459&lt;500,K459*3%,IF(K459&lt;1000,15,))))))))</f>
        <v>2.6999999999999997</v>
      </c>
      <c r="N459" s="33">
        <v>4</v>
      </c>
      <c r="P459" s="32"/>
    </row>
    <row r="460" spans="2:16" ht="16.5" customHeight="1">
      <c r="B460" s="30">
        <v>67504371</v>
      </c>
      <c r="C460" s="54" t="s">
        <v>614</v>
      </c>
      <c r="D460" s="36" t="s">
        <v>76</v>
      </c>
      <c r="E460" s="30">
        <v>180</v>
      </c>
      <c r="F460" s="30" t="s">
        <v>73</v>
      </c>
      <c r="G460" s="30">
        <f t="shared" si="44"/>
        <v>182.7</v>
      </c>
      <c r="H460" s="31">
        <f t="shared" si="45"/>
        <v>177.3</v>
      </c>
      <c r="I460" s="31">
        <f t="shared" si="46"/>
        <v>188.1</v>
      </c>
      <c r="J460" s="31">
        <f t="shared" si="47"/>
        <v>171.9</v>
      </c>
      <c r="K460" s="32">
        <f t="shared" si="49"/>
        <v>180</v>
      </c>
      <c r="M460" s="33">
        <f t="shared" si="48"/>
        <v>8.1</v>
      </c>
      <c r="N460" s="33">
        <v>7.4</v>
      </c>
      <c r="P460" s="32"/>
    </row>
    <row r="461" spans="2:16" ht="16.5" customHeight="1">
      <c r="B461" s="30">
        <v>67434931</v>
      </c>
      <c r="C461" s="54" t="s">
        <v>615</v>
      </c>
      <c r="D461" s="36" t="s">
        <v>76</v>
      </c>
      <c r="E461" s="30">
        <v>190</v>
      </c>
      <c r="F461" s="30" t="s">
        <v>73</v>
      </c>
      <c r="G461" s="30">
        <f>IF(P461="TL tuyệt đối",K461*103%,K461+1/3*M461)</f>
        <v>192.85</v>
      </c>
      <c r="H461" s="31">
        <f>IF(P461="TL tuyệt đối",K461*101%,K461-1/3*M461)</f>
        <v>187.15</v>
      </c>
      <c r="I461" s="31">
        <f>IF(P461="TL tuyệt đối", K461*105%,K461+M461)</f>
        <v>198.55</v>
      </c>
      <c r="J461" s="31">
        <f>K461-M461</f>
        <v>181.45</v>
      </c>
      <c r="K461" s="32">
        <f t="shared" si="49"/>
        <v>190</v>
      </c>
      <c r="M461" s="33">
        <f>IF(P461="TL tuyệt đối",0, IF(K461&lt;5,0,IF(K461&lt;50,K461*9%,IF(K461&lt;100,4.5,IF(K461&lt;200,4.5%*K461,IF(K461&lt;300,9,IF(K461&lt;500,K461*3%,IF(K461&lt;1000,15,))))))))</f>
        <v>8.5499999999999989</v>
      </c>
      <c r="N461" s="33">
        <v>8.4</v>
      </c>
      <c r="P461" s="32"/>
    </row>
    <row r="462" spans="2:16" ht="16.5" customHeight="1">
      <c r="B462" s="30">
        <v>67542338</v>
      </c>
      <c r="C462" s="54" t="s">
        <v>616</v>
      </c>
      <c r="D462" s="36" t="s">
        <v>516</v>
      </c>
      <c r="E462" s="30">
        <v>184.8</v>
      </c>
      <c r="F462" s="30" t="s">
        <v>73</v>
      </c>
      <c r="G462" s="30">
        <f t="shared" si="44"/>
        <v>187.572</v>
      </c>
      <c r="H462" s="31">
        <f t="shared" si="45"/>
        <v>182.02800000000002</v>
      </c>
      <c r="I462" s="31">
        <f t="shared" si="46"/>
        <v>193.11600000000001</v>
      </c>
      <c r="J462" s="31">
        <f t="shared" si="47"/>
        <v>176.48400000000001</v>
      </c>
      <c r="K462" s="32">
        <f t="shared" si="49"/>
        <v>184.8</v>
      </c>
      <c r="M462" s="33">
        <f t="shared" si="48"/>
        <v>8.3160000000000007</v>
      </c>
      <c r="N462" s="33">
        <v>8.6</v>
      </c>
      <c r="P462" s="32"/>
    </row>
    <row r="463" spans="2:16" ht="16.5" customHeight="1">
      <c r="B463" s="30">
        <v>67542339</v>
      </c>
      <c r="C463" s="54" t="s">
        <v>617</v>
      </c>
      <c r="D463" s="36" t="s">
        <v>516</v>
      </c>
      <c r="E463" s="30">
        <v>118.8</v>
      </c>
      <c r="F463" s="30" t="s">
        <v>73</v>
      </c>
      <c r="G463" s="30">
        <f t="shared" si="44"/>
        <v>120.58199999999999</v>
      </c>
      <c r="H463" s="31">
        <f t="shared" si="45"/>
        <v>117.018</v>
      </c>
      <c r="I463" s="31">
        <f t="shared" si="46"/>
        <v>124.146</v>
      </c>
      <c r="J463" s="31">
        <f t="shared" si="47"/>
        <v>113.45399999999999</v>
      </c>
      <c r="K463" s="32">
        <f t="shared" si="49"/>
        <v>118.8</v>
      </c>
      <c r="M463" s="33">
        <f t="shared" si="48"/>
        <v>5.3460000000000001</v>
      </c>
      <c r="N463" s="33">
        <v>6.7</v>
      </c>
      <c r="P463" s="32"/>
    </row>
    <row r="464" spans="2:16" ht="16.5" customHeight="1">
      <c r="B464" s="30">
        <v>67542342</v>
      </c>
      <c r="C464" s="54" t="s">
        <v>618</v>
      </c>
      <c r="D464" s="36" t="s">
        <v>516</v>
      </c>
      <c r="E464" s="30">
        <v>118.8</v>
      </c>
      <c r="F464" s="30" t="s">
        <v>73</v>
      </c>
      <c r="G464" s="30">
        <f>IF(P464="TL tuyệt đối",K464*103%,K464+1/3*M464)</f>
        <v>120.58199999999999</v>
      </c>
      <c r="H464" s="31">
        <f>IF(P464="TL tuyệt đối",K464*101%,K464-1/3*M464)</f>
        <v>117.018</v>
      </c>
      <c r="I464" s="31">
        <f>IF(P464="TL tuyệt đối", K464*105%,K464+M464)</f>
        <v>124.146</v>
      </c>
      <c r="J464" s="31">
        <f>K464-M464</f>
        <v>113.45399999999999</v>
      </c>
      <c r="K464" s="32">
        <f t="shared" si="49"/>
        <v>118.8</v>
      </c>
      <c r="M464" s="33">
        <f>IF(P464="TL tuyệt đối",0, IF(K464&lt;5,0,IF(K464&lt;50,K464*9%,IF(K464&lt;100,4.5,IF(K464&lt;200,4.5%*K464,IF(K464&lt;300,9,IF(K464&lt;500,K464*3%,IF(K464&lt;1000,15,))))))))</f>
        <v>5.3460000000000001</v>
      </c>
      <c r="N464" s="33">
        <v>6.7</v>
      </c>
      <c r="P464" s="32"/>
    </row>
    <row r="465" spans="1:16" ht="16.5" customHeight="1">
      <c r="B465" s="30">
        <v>67542341</v>
      </c>
      <c r="C465" s="54" t="s">
        <v>619</v>
      </c>
      <c r="D465" s="36" t="s">
        <v>516</v>
      </c>
      <c r="E465" s="30">
        <v>184.8</v>
      </c>
      <c r="F465" s="30" t="s">
        <v>73</v>
      </c>
      <c r="G465" s="30">
        <f>IF(P465="TL tuyệt đối",K465*103%,K465+1/3*M465)</f>
        <v>187.572</v>
      </c>
      <c r="H465" s="31">
        <f>IF(P465="TL tuyệt đối",K465*101%,K465-1/3*M465)</f>
        <v>182.02800000000002</v>
      </c>
      <c r="I465" s="31">
        <f>IF(P465="TL tuyệt đối", K465*105%,K465+M465)</f>
        <v>193.11600000000001</v>
      </c>
      <c r="J465" s="31">
        <f>K465-M465</f>
        <v>176.48400000000001</v>
      </c>
      <c r="K465" s="32">
        <f t="shared" si="49"/>
        <v>184.8</v>
      </c>
      <c r="M465" s="33">
        <f>IF(P465="TL tuyệt đối",0, IF(K465&lt;5,0,IF(K465&lt;50,K465*9%,IF(K465&lt;100,4.5,IF(K465&lt;200,4.5%*K465,IF(K465&lt;300,9,IF(K465&lt;500,K465*3%,IF(K465&lt;1000,15,))))))))</f>
        <v>8.3160000000000007</v>
      </c>
      <c r="N465" s="33">
        <v>8.6</v>
      </c>
      <c r="P465" s="32"/>
    </row>
    <row r="466" spans="1:16" ht="16.5" customHeight="1">
      <c r="B466" s="30">
        <v>67519396</v>
      </c>
      <c r="C466" s="54" t="s">
        <v>620</v>
      </c>
      <c r="D466" s="36" t="s">
        <v>76</v>
      </c>
      <c r="E466" s="30">
        <v>190</v>
      </c>
      <c r="F466" s="30" t="s">
        <v>73</v>
      </c>
      <c r="G466" s="30">
        <f t="shared" si="44"/>
        <v>192.85</v>
      </c>
      <c r="H466" s="31">
        <f t="shared" si="45"/>
        <v>187.15</v>
      </c>
      <c r="I466" s="31">
        <f t="shared" si="46"/>
        <v>198.55</v>
      </c>
      <c r="J466" s="31">
        <f t="shared" si="47"/>
        <v>181.45</v>
      </c>
      <c r="K466" s="32">
        <f t="shared" si="49"/>
        <v>190</v>
      </c>
      <c r="M466" s="33">
        <f t="shared" si="48"/>
        <v>8.5499999999999989</v>
      </c>
      <c r="N466" s="33">
        <v>8</v>
      </c>
      <c r="P466" s="32"/>
    </row>
    <row r="467" spans="1:16" ht="16.5" customHeight="1">
      <c r="B467" s="30">
        <v>67569825</v>
      </c>
      <c r="C467" s="54" t="s">
        <v>621</v>
      </c>
      <c r="D467" s="13" t="s">
        <v>262</v>
      </c>
      <c r="E467" s="30">
        <v>160</v>
      </c>
      <c r="F467" s="30" t="s">
        <v>73</v>
      </c>
      <c r="G467" s="30">
        <f t="shared" si="44"/>
        <v>162.4</v>
      </c>
      <c r="H467" s="31">
        <f t="shared" si="45"/>
        <v>157.6</v>
      </c>
      <c r="I467" s="31">
        <f t="shared" si="46"/>
        <v>167.2</v>
      </c>
      <c r="J467" s="31">
        <f t="shared" si="47"/>
        <v>152.80000000000001</v>
      </c>
      <c r="K467" s="32">
        <f>IF(F467="ml",E467*L467,E467)</f>
        <v>160</v>
      </c>
      <c r="M467" s="33">
        <f t="shared" si="48"/>
        <v>7.1999999999999993</v>
      </c>
      <c r="N467" s="33">
        <v>7.3</v>
      </c>
      <c r="P467" s="32"/>
    </row>
    <row r="468" spans="1:16" ht="16.5" customHeight="1">
      <c r="B468" s="30">
        <v>67569829</v>
      </c>
      <c r="C468" s="54" t="s">
        <v>622</v>
      </c>
      <c r="D468" s="13" t="s">
        <v>262</v>
      </c>
      <c r="E468" s="30">
        <v>160</v>
      </c>
      <c r="F468" s="30" t="s">
        <v>73</v>
      </c>
      <c r="G468" s="30">
        <f t="shared" si="44"/>
        <v>162.4</v>
      </c>
      <c r="H468" s="31">
        <f t="shared" si="45"/>
        <v>157.6</v>
      </c>
      <c r="I468" s="31">
        <f t="shared" si="46"/>
        <v>167.2</v>
      </c>
      <c r="J468" s="31">
        <f t="shared" si="47"/>
        <v>152.80000000000001</v>
      </c>
      <c r="K468" s="32">
        <f t="shared" ref="K468:K531" si="50">IF(F468="ml",E468*L468,E468)</f>
        <v>160</v>
      </c>
      <c r="M468" s="33">
        <f t="shared" si="48"/>
        <v>7.1999999999999993</v>
      </c>
      <c r="N468" s="33">
        <v>7.3</v>
      </c>
      <c r="P468" s="32"/>
    </row>
    <row r="469" spans="1:16" ht="16.5" customHeight="1">
      <c r="B469" s="30">
        <v>67639249</v>
      </c>
      <c r="C469" s="54" t="s">
        <v>623</v>
      </c>
      <c r="D469" s="36" t="s">
        <v>76</v>
      </c>
      <c r="E469" s="30">
        <v>180</v>
      </c>
      <c r="F469" s="30" t="s">
        <v>73</v>
      </c>
      <c r="G469" s="30">
        <f t="shared" si="44"/>
        <v>182.7</v>
      </c>
      <c r="H469" s="31">
        <f t="shared" si="45"/>
        <v>177.3</v>
      </c>
      <c r="I469" s="31">
        <f t="shared" si="46"/>
        <v>188.1</v>
      </c>
      <c r="J469" s="31">
        <f t="shared" si="47"/>
        <v>171.9</v>
      </c>
      <c r="K469" s="32">
        <f t="shared" si="50"/>
        <v>180</v>
      </c>
      <c r="M469" s="33">
        <f t="shared" si="48"/>
        <v>8.1</v>
      </c>
      <c r="N469" s="33">
        <v>7.4</v>
      </c>
      <c r="P469" s="32"/>
    </row>
    <row r="470" spans="1:16" ht="16.5" customHeight="1">
      <c r="B470" s="30">
        <v>67131716</v>
      </c>
      <c r="C470" s="54" t="s">
        <v>624</v>
      </c>
      <c r="D470" s="13" t="s">
        <v>116</v>
      </c>
      <c r="E470" s="30">
        <v>30</v>
      </c>
      <c r="F470" s="30" t="s">
        <v>73</v>
      </c>
      <c r="G470" s="30">
        <f t="shared" si="44"/>
        <v>30.9</v>
      </c>
      <c r="H470" s="31">
        <f t="shared" si="45"/>
        <v>29.1</v>
      </c>
      <c r="I470" s="31">
        <f t="shared" si="46"/>
        <v>32.700000000000003</v>
      </c>
      <c r="J470" s="31">
        <f t="shared" si="47"/>
        <v>27.3</v>
      </c>
      <c r="K470" s="32">
        <f t="shared" si="50"/>
        <v>30</v>
      </c>
      <c r="M470" s="33">
        <f t="shared" si="48"/>
        <v>2.6999999999999997</v>
      </c>
      <c r="N470" s="33">
        <v>4</v>
      </c>
      <c r="P470" s="32"/>
    </row>
    <row r="471" spans="1:16" ht="16.5" customHeight="1">
      <c r="B471" s="30">
        <v>67639249</v>
      </c>
      <c r="C471" s="54" t="s">
        <v>623</v>
      </c>
      <c r="D471" s="36" t="s">
        <v>76</v>
      </c>
      <c r="E471" s="30">
        <v>180</v>
      </c>
      <c r="F471" s="30" t="s">
        <v>73</v>
      </c>
      <c r="G471" s="30">
        <f t="shared" si="44"/>
        <v>182.7</v>
      </c>
      <c r="H471" s="31">
        <f t="shared" si="45"/>
        <v>177.3</v>
      </c>
      <c r="I471" s="31">
        <f t="shared" si="46"/>
        <v>188.1</v>
      </c>
      <c r="J471" s="31">
        <f t="shared" si="47"/>
        <v>171.9</v>
      </c>
      <c r="K471" s="32">
        <f t="shared" si="50"/>
        <v>180</v>
      </c>
      <c r="M471" s="33">
        <f t="shared" si="48"/>
        <v>8.1</v>
      </c>
      <c r="N471" s="33">
        <v>7.4</v>
      </c>
      <c r="P471" s="32"/>
    </row>
    <row r="472" spans="1:16" ht="16.5" customHeight="1">
      <c r="B472" s="30">
        <v>67679586</v>
      </c>
      <c r="C472" s="54" t="s">
        <v>625</v>
      </c>
      <c r="D472" s="36" t="s">
        <v>76</v>
      </c>
      <c r="E472" s="30">
        <v>190</v>
      </c>
      <c r="F472" s="30" t="s">
        <v>73</v>
      </c>
      <c r="G472" s="30">
        <f t="shared" si="44"/>
        <v>192.85</v>
      </c>
      <c r="H472" s="31">
        <f t="shared" si="45"/>
        <v>187.15</v>
      </c>
      <c r="I472" s="31">
        <f t="shared" si="46"/>
        <v>198.55</v>
      </c>
      <c r="J472" s="31">
        <f t="shared" si="47"/>
        <v>181.45</v>
      </c>
      <c r="K472" s="32">
        <f t="shared" si="50"/>
        <v>190</v>
      </c>
      <c r="M472" s="33">
        <f t="shared" si="48"/>
        <v>8.5499999999999989</v>
      </c>
      <c r="N472" s="33">
        <v>8.1999999999999993</v>
      </c>
      <c r="P472" s="32"/>
    </row>
    <row r="473" spans="1:16" ht="16.5" customHeight="1">
      <c r="A473" s="25"/>
      <c r="B473" s="30">
        <v>67683800</v>
      </c>
      <c r="C473" s="54" t="s">
        <v>626</v>
      </c>
      <c r="D473" s="36" t="s">
        <v>76</v>
      </c>
      <c r="E473" s="30">
        <v>180</v>
      </c>
      <c r="F473" s="30" t="s">
        <v>73</v>
      </c>
      <c r="G473" s="30">
        <f t="shared" si="44"/>
        <v>182.7</v>
      </c>
      <c r="H473" s="31">
        <f t="shared" si="45"/>
        <v>177.3</v>
      </c>
      <c r="I473" s="31">
        <f t="shared" si="46"/>
        <v>188.1</v>
      </c>
      <c r="J473" s="31">
        <f t="shared" si="47"/>
        <v>171.9</v>
      </c>
      <c r="K473" s="32">
        <f t="shared" si="50"/>
        <v>180</v>
      </c>
      <c r="L473" s="32"/>
      <c r="M473" s="33">
        <f t="shared" si="48"/>
        <v>8.1</v>
      </c>
      <c r="N473" s="33">
        <v>7.4</v>
      </c>
      <c r="P473" s="32"/>
    </row>
    <row r="474" spans="1:16" ht="16.5" customHeight="1">
      <c r="B474" s="30">
        <v>67683802</v>
      </c>
      <c r="C474" s="54" t="s">
        <v>627</v>
      </c>
      <c r="D474" s="36" t="s">
        <v>76</v>
      </c>
      <c r="E474" s="30">
        <v>230</v>
      </c>
      <c r="F474" s="30" t="s">
        <v>73</v>
      </c>
      <c r="G474" s="30">
        <f t="shared" si="44"/>
        <v>233</v>
      </c>
      <c r="H474" s="31">
        <f t="shared" si="45"/>
        <v>227</v>
      </c>
      <c r="I474" s="31">
        <f t="shared" si="46"/>
        <v>239</v>
      </c>
      <c r="J474" s="31">
        <f t="shared" si="47"/>
        <v>221</v>
      </c>
      <c r="K474" s="32">
        <f t="shared" si="50"/>
        <v>230</v>
      </c>
      <c r="M474" s="33">
        <f t="shared" si="48"/>
        <v>9</v>
      </c>
      <c r="N474" s="33">
        <v>9</v>
      </c>
      <c r="P474" s="32"/>
    </row>
    <row r="475" spans="1:16" ht="16.5" customHeight="1">
      <c r="B475" s="30">
        <v>67676128</v>
      </c>
      <c r="C475" s="54" t="s">
        <v>628</v>
      </c>
      <c r="D475" s="36" t="s">
        <v>76</v>
      </c>
      <c r="E475" s="30">
        <v>230</v>
      </c>
      <c r="F475" s="30" t="s">
        <v>73</v>
      </c>
      <c r="G475" s="30">
        <f t="shared" si="44"/>
        <v>233</v>
      </c>
      <c r="H475" s="31">
        <f t="shared" si="45"/>
        <v>227</v>
      </c>
      <c r="I475" s="31">
        <f t="shared" si="46"/>
        <v>239</v>
      </c>
      <c r="J475" s="31">
        <f t="shared" si="47"/>
        <v>221</v>
      </c>
      <c r="K475" s="32">
        <f t="shared" si="50"/>
        <v>230</v>
      </c>
      <c r="M475" s="33">
        <f t="shared" si="48"/>
        <v>9</v>
      </c>
      <c r="N475" s="33">
        <v>8.6</v>
      </c>
      <c r="P475" s="32"/>
    </row>
    <row r="476" spans="1:16" ht="16.5" customHeight="1">
      <c r="B476" s="30">
        <v>67663841</v>
      </c>
      <c r="C476" s="54" t="s">
        <v>629</v>
      </c>
      <c r="D476" s="36" t="s">
        <v>76</v>
      </c>
      <c r="E476" s="30">
        <v>230</v>
      </c>
      <c r="F476" s="30" t="s">
        <v>73</v>
      </c>
      <c r="G476" s="30">
        <f t="shared" si="44"/>
        <v>233</v>
      </c>
      <c r="H476" s="31">
        <f t="shared" si="45"/>
        <v>227</v>
      </c>
      <c r="I476" s="31">
        <f t="shared" si="46"/>
        <v>239</v>
      </c>
      <c r="J476" s="31">
        <f t="shared" si="47"/>
        <v>221</v>
      </c>
      <c r="K476" s="32">
        <f t="shared" si="50"/>
        <v>230</v>
      </c>
      <c r="M476" s="33">
        <f t="shared" si="48"/>
        <v>9</v>
      </c>
      <c r="N476" s="33">
        <v>11.5</v>
      </c>
      <c r="P476" s="32"/>
    </row>
    <row r="477" spans="1:16" ht="16.5" customHeight="1">
      <c r="B477" s="30">
        <v>67580701</v>
      </c>
      <c r="C477" s="54" t="s">
        <v>630</v>
      </c>
      <c r="D477" s="36" t="s">
        <v>76</v>
      </c>
      <c r="E477" s="30">
        <v>100</v>
      </c>
      <c r="F477" s="30" t="s">
        <v>73</v>
      </c>
      <c r="G477" s="30">
        <f t="shared" si="44"/>
        <v>101.5</v>
      </c>
      <c r="H477" s="31">
        <f t="shared" si="45"/>
        <v>98.5</v>
      </c>
      <c r="I477" s="31">
        <f t="shared" si="46"/>
        <v>104.5</v>
      </c>
      <c r="J477" s="31">
        <f t="shared" si="47"/>
        <v>95.5</v>
      </c>
      <c r="K477" s="32">
        <f t="shared" si="50"/>
        <v>100</v>
      </c>
      <c r="M477" s="33">
        <f t="shared" si="48"/>
        <v>4.5</v>
      </c>
      <c r="N477" s="33">
        <v>6.2</v>
      </c>
      <c r="P477" s="32"/>
    </row>
    <row r="478" spans="1:16" ht="16.5" customHeight="1">
      <c r="B478" s="30">
        <v>67580703</v>
      </c>
      <c r="C478" s="54" t="s">
        <v>631</v>
      </c>
      <c r="D478" s="36" t="s">
        <v>76</v>
      </c>
      <c r="E478" s="30">
        <v>100</v>
      </c>
      <c r="F478" s="30" t="s">
        <v>73</v>
      </c>
      <c r="G478" s="30">
        <f>IF(P478="TL tuyệt đối",K478*103%,K478+1/3*M478)</f>
        <v>101.5</v>
      </c>
      <c r="H478" s="31">
        <f>IF(P478="TL tuyệt đối",K478*101%,K478-1/3*M478)</f>
        <v>98.5</v>
      </c>
      <c r="I478" s="31">
        <f>IF(P478="TL tuyệt đối", K478*105%,K478+M478)</f>
        <v>104.5</v>
      </c>
      <c r="J478" s="31">
        <f>K478-M478</f>
        <v>95.5</v>
      </c>
      <c r="K478" s="32">
        <f t="shared" si="50"/>
        <v>100</v>
      </c>
      <c r="M478" s="33">
        <f>IF(P478="TL tuyệt đối",0, IF(K478&lt;5,0,IF(K478&lt;50,K478*9%,IF(K478&lt;100,4.5,IF(K478&lt;200,4.5%*K478,IF(K478&lt;300,9,IF(K478&lt;500,K478*3%,IF(K478&lt;1000,15,))))))))</f>
        <v>4.5</v>
      </c>
      <c r="N478" s="33">
        <v>6.2</v>
      </c>
      <c r="P478" s="32"/>
    </row>
    <row r="479" spans="1:16" ht="16.5" customHeight="1">
      <c r="B479" s="30">
        <v>67580699</v>
      </c>
      <c r="C479" s="54" t="s">
        <v>632</v>
      </c>
      <c r="D479" s="36" t="s">
        <v>76</v>
      </c>
      <c r="E479" s="30">
        <v>150</v>
      </c>
      <c r="F479" s="30" t="s">
        <v>73</v>
      </c>
      <c r="G479" s="30">
        <f>IF(P479="TL tuyệt đối",K479*103%,K479+1/3*M479)</f>
        <v>152.25</v>
      </c>
      <c r="H479" s="31">
        <f>IF(P479="TL tuyệt đối",K479*101%,K479-1/3*M479)</f>
        <v>147.75</v>
      </c>
      <c r="I479" s="31">
        <f>IF(P479="TL tuyệt đối", K479*105%,K479+M479)</f>
        <v>156.75</v>
      </c>
      <c r="J479" s="31">
        <f>K479-M479</f>
        <v>143.25</v>
      </c>
      <c r="K479" s="32">
        <f t="shared" si="50"/>
        <v>150</v>
      </c>
      <c r="M479" s="33">
        <f>IF(P479="TL tuyệt đối",0, IF(K479&lt;5,0,IF(K479&lt;50,K479*9%,IF(K479&lt;100,4.5,IF(K479&lt;200,4.5%*K479,IF(K479&lt;300,9,IF(K479&lt;500,K479*3%,IF(K479&lt;1000,15,))))))))</f>
        <v>6.75</v>
      </c>
      <c r="N479" s="33">
        <v>9.6</v>
      </c>
      <c r="P479" s="32"/>
    </row>
    <row r="480" spans="1:16" ht="16.5" customHeight="1">
      <c r="B480" s="30">
        <v>67580710</v>
      </c>
      <c r="C480" s="54" t="s">
        <v>633</v>
      </c>
      <c r="D480" s="36" t="s">
        <v>76</v>
      </c>
      <c r="E480" s="30">
        <v>30</v>
      </c>
      <c r="F480" s="30" t="s">
        <v>73</v>
      </c>
      <c r="G480" s="30">
        <f>IF(P480="TL tuyệt đối",K480*103%,K480+1/3*M480)</f>
        <v>30.9</v>
      </c>
      <c r="H480" s="31">
        <f>IF(P480="TL tuyệt đối",K480*101%,K480-1/3*M480)</f>
        <v>29.1</v>
      </c>
      <c r="I480" s="31">
        <f>IF(P480="TL tuyệt đối", K480*105%,K480+M480)</f>
        <v>32.700000000000003</v>
      </c>
      <c r="J480" s="31">
        <f>K480-M480</f>
        <v>27.3</v>
      </c>
      <c r="K480" s="32">
        <f t="shared" si="50"/>
        <v>30</v>
      </c>
      <c r="M480" s="33">
        <f>IF(P480="TL tuyệt đối",0, IF(K480&lt;5,0,IF(K480&lt;50,K480*9%,IF(K480&lt;100,4.5,IF(K480&lt;200,4.5%*K480,IF(K480&lt;300,9,IF(K480&lt;500,K480*3%,IF(K480&lt;1000,15,))))))))</f>
        <v>2.6999999999999997</v>
      </c>
      <c r="N480" s="33">
        <v>4</v>
      </c>
      <c r="P480" s="32"/>
    </row>
    <row r="481" spans="2:16" ht="16.5" customHeight="1">
      <c r="B481" s="69">
        <v>67658712</v>
      </c>
      <c r="C481" s="70" t="s">
        <v>634</v>
      </c>
      <c r="D481" s="36" t="s">
        <v>76</v>
      </c>
      <c r="E481" s="30">
        <v>180</v>
      </c>
      <c r="F481" s="30" t="s">
        <v>73</v>
      </c>
      <c r="G481" s="30">
        <f>IF(P481="TL tuyệt đối",K481*103%,K481+1/3*M481)</f>
        <v>182.7</v>
      </c>
      <c r="H481" s="31">
        <f>IF(P481="TL tuyệt đối",K481*101%,K481-1/3*M481)</f>
        <v>177.3</v>
      </c>
      <c r="I481" s="31">
        <f>IF(P481="TL tuyệt đối", K481*105%,K481+M481)</f>
        <v>188.1</v>
      </c>
      <c r="J481" s="31">
        <f>K481-M481</f>
        <v>171.9</v>
      </c>
      <c r="K481" s="32">
        <f t="shared" si="50"/>
        <v>180</v>
      </c>
      <c r="L481" s="32"/>
      <c r="M481" s="33">
        <f>IF(P481="TL tuyệt đối",0, IF(K481&lt;5,0,IF(K481&lt;50,K481*9%,IF(K481&lt;100,4.5,IF(K481&lt;200,4.5%*K481,IF(K481&lt;300,9,IF(K481&lt;500,K481*3%,IF(K481&lt;1000,15,))))))))</f>
        <v>8.1</v>
      </c>
      <c r="N481" s="33">
        <v>9.8000000000000007</v>
      </c>
      <c r="P481" s="32"/>
    </row>
    <row r="482" spans="2:16" ht="16.5" customHeight="1">
      <c r="B482" s="69">
        <v>67658714</v>
      </c>
      <c r="C482" s="70" t="s">
        <v>635</v>
      </c>
      <c r="D482" s="36" t="s">
        <v>76</v>
      </c>
      <c r="E482" s="30">
        <v>230</v>
      </c>
      <c r="F482" s="30" t="s">
        <v>73</v>
      </c>
      <c r="G482" s="30">
        <f t="shared" si="44"/>
        <v>233</v>
      </c>
      <c r="H482" s="31">
        <f t="shared" si="45"/>
        <v>227</v>
      </c>
      <c r="I482" s="31">
        <f t="shared" si="46"/>
        <v>239</v>
      </c>
      <c r="J482" s="31">
        <f t="shared" si="47"/>
        <v>221</v>
      </c>
      <c r="K482" s="32">
        <f t="shared" si="50"/>
        <v>230</v>
      </c>
      <c r="M482" s="33">
        <f t="shared" si="48"/>
        <v>9</v>
      </c>
      <c r="N482" s="33">
        <v>11.5</v>
      </c>
      <c r="P482" s="32"/>
    </row>
    <row r="483" spans="2:16" ht="16.5" customHeight="1">
      <c r="B483" s="69">
        <v>67580706</v>
      </c>
      <c r="C483" s="70" t="s">
        <v>636</v>
      </c>
      <c r="D483" s="36" t="s">
        <v>76</v>
      </c>
      <c r="E483" s="30">
        <v>100</v>
      </c>
      <c r="F483" s="30" t="s">
        <v>73</v>
      </c>
      <c r="G483" s="30">
        <f t="shared" si="44"/>
        <v>101.5</v>
      </c>
      <c r="H483" s="31">
        <f t="shared" si="45"/>
        <v>98.5</v>
      </c>
      <c r="I483" s="31">
        <f t="shared" si="46"/>
        <v>104.5</v>
      </c>
      <c r="J483" s="31">
        <f t="shared" si="47"/>
        <v>95.5</v>
      </c>
      <c r="K483" s="32">
        <f t="shared" si="50"/>
        <v>100</v>
      </c>
      <c r="M483" s="33">
        <f t="shared" si="48"/>
        <v>4.5</v>
      </c>
      <c r="N483" s="33">
        <v>6.2</v>
      </c>
      <c r="P483" s="32"/>
    </row>
    <row r="484" spans="2:16" ht="16.5" customHeight="1">
      <c r="B484" s="69">
        <v>67789462</v>
      </c>
      <c r="C484" s="70" t="s">
        <v>637</v>
      </c>
      <c r="D484" s="36" t="s">
        <v>76</v>
      </c>
      <c r="E484" s="30">
        <v>180</v>
      </c>
      <c r="F484" s="30" t="s">
        <v>73</v>
      </c>
      <c r="G484" s="30">
        <f t="shared" si="44"/>
        <v>182.7</v>
      </c>
      <c r="H484" s="31">
        <f t="shared" si="45"/>
        <v>177.3</v>
      </c>
      <c r="I484" s="31">
        <f t="shared" si="46"/>
        <v>188.1</v>
      </c>
      <c r="J484" s="31">
        <f t="shared" si="47"/>
        <v>171.9</v>
      </c>
      <c r="K484" s="32">
        <f t="shared" si="50"/>
        <v>180</v>
      </c>
      <c r="M484" s="33">
        <f t="shared" si="48"/>
        <v>8.1</v>
      </c>
      <c r="N484" s="33">
        <v>8.4</v>
      </c>
      <c r="P484" s="32"/>
    </row>
    <row r="485" spans="2:16" ht="16.5" customHeight="1">
      <c r="B485" s="69">
        <v>67789460</v>
      </c>
      <c r="C485" s="54" t="s">
        <v>638</v>
      </c>
      <c r="D485" s="36" t="s">
        <v>76</v>
      </c>
      <c r="E485" s="30">
        <v>180</v>
      </c>
      <c r="F485" s="30" t="s">
        <v>73</v>
      </c>
      <c r="G485" s="30">
        <f t="shared" si="44"/>
        <v>182.7</v>
      </c>
      <c r="H485" s="31">
        <f>IF(P485="TL tuyệt đối",K485*101%,K485-1/3*M485)</f>
        <v>177.3</v>
      </c>
      <c r="I485" s="31">
        <f>IF(P485="TL tuyệt đối", K485*105%,K485+M485)</f>
        <v>188.1</v>
      </c>
      <c r="J485" s="31">
        <f>K485-M485</f>
        <v>171.9</v>
      </c>
      <c r="K485" s="32">
        <f t="shared" si="50"/>
        <v>180</v>
      </c>
      <c r="M485" s="33">
        <f>IF(P485="TL tuyệt đối",0, IF(K485&lt;5,0,IF(K485&lt;50,K485*9%,IF(K485&lt;100,4.5,IF(K485&lt;200,4.5%*K485,IF(K485&lt;300,9,IF(K485&lt;500,K485*3%,IF(K485&lt;1000,15,))))))))</f>
        <v>8.1</v>
      </c>
      <c r="N485" s="33">
        <v>8.4</v>
      </c>
      <c r="P485" s="32"/>
    </row>
    <row r="486" spans="2:16" ht="16.5" customHeight="1">
      <c r="B486" s="30">
        <v>67744667</v>
      </c>
      <c r="C486" s="54" t="s">
        <v>639</v>
      </c>
      <c r="D486" s="36" t="s">
        <v>76</v>
      </c>
      <c r="E486" s="30">
        <v>180</v>
      </c>
      <c r="F486" s="30" t="s">
        <v>73</v>
      </c>
      <c r="G486" s="30">
        <f>IF(P486="TL tuyệt đối",K486*103%,K486+1/3*M486)</f>
        <v>182.7</v>
      </c>
      <c r="H486" s="31">
        <f>IF(P486="TL tuyệt đối",K486*101%,K486-1/3*M486)</f>
        <v>177.3</v>
      </c>
      <c r="I486" s="31">
        <f>IF(P486="TL tuyệt đối", K486*105%,K486+M486)</f>
        <v>188.1</v>
      </c>
      <c r="J486" s="31">
        <f>K486-M486</f>
        <v>171.9</v>
      </c>
      <c r="K486" s="32">
        <f t="shared" si="50"/>
        <v>180</v>
      </c>
      <c r="M486" s="33">
        <f>IF(P486="TL tuyệt đối",0, IF(K486&lt;5,0,IF(K486&lt;50,K486*9%,IF(K486&lt;100,4.5,IF(K486&lt;200,4.5%*K486,IF(K486&lt;300,9,IF(K486&lt;500,K486*3%,IF(K486&lt;1000,15,))))))))</f>
        <v>8.1</v>
      </c>
      <c r="N486" s="33">
        <v>7.4</v>
      </c>
      <c r="P486" s="32"/>
    </row>
    <row r="487" spans="2:16" ht="16.5" customHeight="1">
      <c r="B487" s="30">
        <v>67744663</v>
      </c>
      <c r="C487" s="54" t="s">
        <v>640</v>
      </c>
      <c r="D487" s="36" t="s">
        <v>76</v>
      </c>
      <c r="E487" s="30">
        <v>180</v>
      </c>
      <c r="F487" s="30" t="s">
        <v>73</v>
      </c>
      <c r="G487" s="30">
        <f t="shared" si="44"/>
        <v>182.7</v>
      </c>
      <c r="H487" s="31">
        <f t="shared" si="45"/>
        <v>177.3</v>
      </c>
      <c r="I487" s="31">
        <f t="shared" si="46"/>
        <v>188.1</v>
      </c>
      <c r="J487" s="31">
        <f t="shared" si="47"/>
        <v>171.9</v>
      </c>
      <c r="K487" s="32">
        <f t="shared" si="50"/>
        <v>180</v>
      </c>
      <c r="M487" s="33">
        <f t="shared" si="48"/>
        <v>8.1</v>
      </c>
      <c r="N487" s="33">
        <v>7.4</v>
      </c>
      <c r="P487" s="32"/>
    </row>
    <row r="488" spans="2:16" ht="16.5" customHeight="1">
      <c r="B488" s="30">
        <v>67744665</v>
      </c>
      <c r="C488" s="54" t="s">
        <v>641</v>
      </c>
      <c r="D488" s="36" t="s">
        <v>76</v>
      </c>
      <c r="E488" s="30">
        <v>180</v>
      </c>
      <c r="F488" s="30" t="s">
        <v>73</v>
      </c>
      <c r="G488" s="30">
        <f t="shared" si="44"/>
        <v>182.7</v>
      </c>
      <c r="H488" s="31">
        <f t="shared" si="45"/>
        <v>177.3</v>
      </c>
      <c r="I488" s="31">
        <f t="shared" si="46"/>
        <v>188.1</v>
      </c>
      <c r="J488" s="31">
        <f t="shared" si="47"/>
        <v>171.9</v>
      </c>
      <c r="K488" s="32">
        <f t="shared" si="50"/>
        <v>180</v>
      </c>
      <c r="M488" s="33">
        <f t="shared" si="48"/>
        <v>8.1</v>
      </c>
      <c r="N488" s="33">
        <v>7.4</v>
      </c>
      <c r="P488" s="32"/>
    </row>
    <row r="489" spans="2:16" ht="16.5" customHeight="1">
      <c r="B489" s="30">
        <v>67753245</v>
      </c>
      <c r="C489" s="54" t="s">
        <v>642</v>
      </c>
      <c r="D489" s="36" t="s">
        <v>76</v>
      </c>
      <c r="E489" s="30">
        <v>30</v>
      </c>
      <c r="F489" s="30" t="s">
        <v>73</v>
      </c>
      <c r="G489" s="30">
        <f t="shared" si="44"/>
        <v>30.9</v>
      </c>
      <c r="H489" s="31">
        <f t="shared" si="45"/>
        <v>29.1</v>
      </c>
      <c r="I489" s="31">
        <f t="shared" si="46"/>
        <v>32.700000000000003</v>
      </c>
      <c r="J489" s="31">
        <f t="shared" si="47"/>
        <v>27.3</v>
      </c>
      <c r="K489" s="32">
        <f t="shared" si="50"/>
        <v>30</v>
      </c>
      <c r="M489" s="33">
        <f t="shared" si="48"/>
        <v>2.6999999999999997</v>
      </c>
      <c r="N489" s="33">
        <v>4</v>
      </c>
      <c r="P489" s="32"/>
    </row>
    <row r="490" spans="2:16" ht="16.5" customHeight="1">
      <c r="B490" s="30">
        <v>67774775</v>
      </c>
      <c r="C490" s="54" t="s">
        <v>643</v>
      </c>
      <c r="D490" s="36" t="s">
        <v>76</v>
      </c>
      <c r="E490" s="30">
        <v>190</v>
      </c>
      <c r="F490" s="30" t="s">
        <v>73</v>
      </c>
      <c r="G490" s="30">
        <f t="shared" si="44"/>
        <v>192.85</v>
      </c>
      <c r="H490" s="31">
        <f t="shared" si="45"/>
        <v>187.15</v>
      </c>
      <c r="I490" s="31">
        <f t="shared" si="46"/>
        <v>198.55</v>
      </c>
      <c r="J490" s="31">
        <f t="shared" si="47"/>
        <v>181.45</v>
      </c>
      <c r="K490" s="32">
        <f t="shared" si="50"/>
        <v>190</v>
      </c>
      <c r="M490" s="33">
        <f t="shared" si="48"/>
        <v>8.5499999999999989</v>
      </c>
      <c r="N490" s="33">
        <v>7</v>
      </c>
      <c r="P490" s="32"/>
    </row>
    <row r="491" spans="2:16" ht="16.5" customHeight="1">
      <c r="B491" s="30">
        <v>67856821</v>
      </c>
      <c r="C491" s="54" t="s">
        <v>644</v>
      </c>
      <c r="D491" s="36" t="s">
        <v>76</v>
      </c>
      <c r="E491" s="30">
        <v>30</v>
      </c>
      <c r="F491" s="30" t="s">
        <v>73</v>
      </c>
      <c r="G491" s="30">
        <f t="shared" si="44"/>
        <v>30.9</v>
      </c>
      <c r="H491" s="31">
        <f t="shared" si="45"/>
        <v>29.1</v>
      </c>
      <c r="I491" s="31">
        <f t="shared" si="46"/>
        <v>32.700000000000003</v>
      </c>
      <c r="J491" s="31">
        <f t="shared" si="47"/>
        <v>27.3</v>
      </c>
      <c r="K491" s="32">
        <f t="shared" si="50"/>
        <v>30</v>
      </c>
      <c r="M491" s="33">
        <f t="shared" si="48"/>
        <v>2.6999999999999997</v>
      </c>
      <c r="N491" s="33">
        <v>4</v>
      </c>
      <c r="P491" s="32"/>
    </row>
    <row r="492" spans="2:16" ht="16.5" customHeight="1">
      <c r="B492" s="30">
        <v>67774777</v>
      </c>
      <c r="C492" s="54" t="s">
        <v>645</v>
      </c>
      <c r="D492" s="36" t="s">
        <v>76</v>
      </c>
      <c r="E492" s="30">
        <v>240</v>
      </c>
      <c r="F492" s="30" t="s">
        <v>73</v>
      </c>
      <c r="G492" s="30">
        <f t="shared" si="44"/>
        <v>243</v>
      </c>
      <c r="H492" s="31">
        <f t="shared" si="45"/>
        <v>237</v>
      </c>
      <c r="I492" s="31">
        <f t="shared" si="46"/>
        <v>249</v>
      </c>
      <c r="J492" s="31">
        <f t="shared" si="47"/>
        <v>231</v>
      </c>
      <c r="K492" s="32">
        <f t="shared" si="50"/>
        <v>240</v>
      </c>
      <c r="M492" s="33">
        <f t="shared" si="48"/>
        <v>9</v>
      </c>
      <c r="N492" s="33">
        <v>8.6</v>
      </c>
      <c r="P492" s="32"/>
    </row>
    <row r="493" spans="2:16" ht="16.5" customHeight="1">
      <c r="B493" s="30">
        <v>67774781</v>
      </c>
      <c r="C493" s="54" t="s">
        <v>646</v>
      </c>
      <c r="D493" s="36" t="s">
        <v>76</v>
      </c>
      <c r="E493" s="30">
        <v>190</v>
      </c>
      <c r="F493" s="30" t="s">
        <v>73</v>
      </c>
      <c r="G493" s="30">
        <f t="shared" si="44"/>
        <v>192.85</v>
      </c>
      <c r="H493" s="31">
        <f t="shared" si="45"/>
        <v>187.15</v>
      </c>
      <c r="I493" s="31">
        <f t="shared" si="46"/>
        <v>198.55</v>
      </c>
      <c r="J493" s="31">
        <f t="shared" si="47"/>
        <v>181.45</v>
      </c>
      <c r="K493" s="32">
        <f t="shared" si="50"/>
        <v>190</v>
      </c>
      <c r="M493" s="33">
        <f t="shared" si="48"/>
        <v>8.5499999999999989</v>
      </c>
      <c r="N493" s="33">
        <v>8</v>
      </c>
      <c r="P493" s="32"/>
    </row>
    <row r="494" spans="2:16" ht="16.5" customHeight="1">
      <c r="B494" s="30">
        <v>67767191</v>
      </c>
      <c r="C494" s="54" t="s">
        <v>647</v>
      </c>
      <c r="D494" s="36" t="s">
        <v>648</v>
      </c>
      <c r="E494" s="30">
        <v>100</v>
      </c>
      <c r="F494" s="30" t="s">
        <v>82</v>
      </c>
      <c r="G494" s="30">
        <f t="shared" si="44"/>
        <v>154.28</v>
      </c>
      <c r="H494" s="31">
        <f t="shared" si="45"/>
        <v>149.72</v>
      </c>
      <c r="I494" s="31">
        <f t="shared" si="46"/>
        <v>158.84</v>
      </c>
      <c r="J494" s="31">
        <f t="shared" si="47"/>
        <v>145.16</v>
      </c>
      <c r="K494" s="32">
        <f t="shared" si="50"/>
        <v>152</v>
      </c>
      <c r="L494" s="57">
        <v>1.52</v>
      </c>
      <c r="M494" s="33">
        <f t="shared" si="48"/>
        <v>6.84</v>
      </c>
      <c r="N494" s="33">
        <v>6.4</v>
      </c>
      <c r="P494" s="32"/>
    </row>
    <row r="495" spans="2:16" ht="16.5" customHeight="1">
      <c r="B495" s="69">
        <v>67888133</v>
      </c>
      <c r="C495" s="61" t="s">
        <v>649</v>
      </c>
      <c r="D495" s="36" t="s">
        <v>76</v>
      </c>
      <c r="E495" s="30">
        <v>230</v>
      </c>
      <c r="F495" s="30" t="s">
        <v>73</v>
      </c>
      <c r="G495" s="30">
        <f t="shared" si="44"/>
        <v>233</v>
      </c>
      <c r="H495" s="31">
        <f t="shared" si="45"/>
        <v>227</v>
      </c>
      <c r="I495" s="31">
        <f t="shared" si="46"/>
        <v>239</v>
      </c>
      <c r="J495" s="31">
        <f t="shared" si="47"/>
        <v>221</v>
      </c>
      <c r="K495" s="32">
        <f t="shared" si="50"/>
        <v>230</v>
      </c>
      <c r="M495" s="33">
        <f t="shared" si="48"/>
        <v>9</v>
      </c>
      <c r="N495" s="33">
        <v>11.5</v>
      </c>
      <c r="P495" s="32"/>
    </row>
    <row r="496" spans="2:16" ht="16.5" customHeight="1">
      <c r="B496" s="69">
        <v>67888131</v>
      </c>
      <c r="C496" s="61" t="s">
        <v>650</v>
      </c>
      <c r="D496" s="36" t="s">
        <v>76</v>
      </c>
      <c r="E496" s="30">
        <v>180</v>
      </c>
      <c r="F496" s="30" t="s">
        <v>73</v>
      </c>
      <c r="G496" s="30">
        <f t="shared" si="44"/>
        <v>182.7</v>
      </c>
      <c r="H496" s="31">
        <f t="shared" si="45"/>
        <v>177.3</v>
      </c>
      <c r="I496" s="31">
        <f t="shared" si="46"/>
        <v>188.1</v>
      </c>
      <c r="J496" s="31">
        <f t="shared" si="47"/>
        <v>171.9</v>
      </c>
      <c r="K496" s="32">
        <f t="shared" si="50"/>
        <v>180</v>
      </c>
      <c r="L496" s="32"/>
      <c r="M496" s="33">
        <f t="shared" si="48"/>
        <v>8.1</v>
      </c>
      <c r="N496" s="33">
        <v>9.8000000000000007</v>
      </c>
      <c r="P496" s="32"/>
    </row>
    <row r="497" spans="2:16" ht="16.5" customHeight="1">
      <c r="B497" s="73">
        <v>67721577</v>
      </c>
      <c r="C497" s="74" t="s">
        <v>651</v>
      </c>
      <c r="D497" s="73" t="s">
        <v>371</v>
      </c>
      <c r="E497" s="75">
        <v>160</v>
      </c>
      <c r="F497" s="63" t="s">
        <v>73</v>
      </c>
      <c r="G497" s="30">
        <f t="shared" si="44"/>
        <v>162.4</v>
      </c>
      <c r="H497" s="31">
        <f t="shared" si="45"/>
        <v>157.6</v>
      </c>
      <c r="I497" s="31">
        <f t="shared" si="46"/>
        <v>167.2</v>
      </c>
      <c r="J497" s="31">
        <f t="shared" si="47"/>
        <v>152.80000000000001</v>
      </c>
      <c r="K497" s="32">
        <f t="shared" si="50"/>
        <v>160</v>
      </c>
      <c r="L497" s="32"/>
      <c r="M497" s="33">
        <f t="shared" si="48"/>
        <v>7.1999999999999993</v>
      </c>
      <c r="N497" s="33">
        <v>7.3</v>
      </c>
      <c r="P497" s="32"/>
    </row>
    <row r="498" spans="2:16" ht="16.5" customHeight="1">
      <c r="B498" s="30">
        <v>67761423</v>
      </c>
      <c r="C498" s="54" t="s">
        <v>652</v>
      </c>
      <c r="D498" s="26" t="s">
        <v>205</v>
      </c>
      <c r="E498" s="30">
        <v>125</v>
      </c>
      <c r="F498" s="30" t="s">
        <v>73</v>
      </c>
      <c r="G498" s="30">
        <f t="shared" si="44"/>
        <v>126.875</v>
      </c>
      <c r="H498" s="31">
        <f t="shared" si="45"/>
        <v>123.125</v>
      </c>
      <c r="I498" s="31">
        <f t="shared" si="46"/>
        <v>130.625</v>
      </c>
      <c r="J498" s="31">
        <f t="shared" si="47"/>
        <v>119.375</v>
      </c>
      <c r="K498" s="32">
        <f t="shared" si="50"/>
        <v>125</v>
      </c>
      <c r="M498" s="33">
        <f t="shared" si="48"/>
        <v>5.625</v>
      </c>
      <c r="N498" s="33">
        <v>7.2</v>
      </c>
      <c r="P498" s="32" t="s">
        <v>385</v>
      </c>
    </row>
    <row r="499" spans="2:16" ht="16.5" customHeight="1">
      <c r="B499" s="30">
        <v>67951482</v>
      </c>
      <c r="C499" s="54" t="s">
        <v>653</v>
      </c>
      <c r="D499" s="36" t="s">
        <v>76</v>
      </c>
      <c r="E499" s="30">
        <v>180</v>
      </c>
      <c r="F499" s="30" t="s">
        <v>73</v>
      </c>
      <c r="G499" s="30">
        <f t="shared" si="44"/>
        <v>182.7</v>
      </c>
      <c r="H499" s="31">
        <f t="shared" si="45"/>
        <v>177.3</v>
      </c>
      <c r="I499" s="31">
        <f t="shared" si="46"/>
        <v>188.1</v>
      </c>
      <c r="J499" s="31">
        <f t="shared" si="47"/>
        <v>171.9</v>
      </c>
      <c r="K499" s="32">
        <f t="shared" si="50"/>
        <v>180</v>
      </c>
      <c r="M499" s="33">
        <f t="shared" si="48"/>
        <v>8.1</v>
      </c>
      <c r="N499" s="33">
        <v>7.4</v>
      </c>
      <c r="P499" s="32"/>
    </row>
    <row r="500" spans="2:16" ht="16.5" customHeight="1">
      <c r="B500" s="30">
        <v>67951480</v>
      </c>
      <c r="C500" s="54" t="s">
        <v>654</v>
      </c>
      <c r="D500" s="36" t="s">
        <v>76</v>
      </c>
      <c r="E500" s="30">
        <v>240</v>
      </c>
      <c r="F500" s="30" t="s">
        <v>73</v>
      </c>
      <c r="G500" s="30">
        <f t="shared" si="44"/>
        <v>243</v>
      </c>
      <c r="H500" s="31">
        <f t="shared" si="45"/>
        <v>237</v>
      </c>
      <c r="I500" s="31">
        <f t="shared" si="46"/>
        <v>249</v>
      </c>
      <c r="J500" s="31">
        <f t="shared" si="47"/>
        <v>231</v>
      </c>
      <c r="K500" s="32">
        <f t="shared" si="50"/>
        <v>240</v>
      </c>
      <c r="M500" s="33">
        <f t="shared" si="48"/>
        <v>9</v>
      </c>
      <c r="N500" s="33">
        <v>9</v>
      </c>
      <c r="P500" s="32"/>
    </row>
    <row r="501" spans="2:16" ht="16.5" customHeight="1">
      <c r="B501" s="30">
        <v>67902915</v>
      </c>
      <c r="C501" s="54" t="s">
        <v>655</v>
      </c>
      <c r="D501" s="36" t="s">
        <v>76</v>
      </c>
      <c r="E501" s="30">
        <v>190</v>
      </c>
      <c r="F501" s="30" t="s">
        <v>73</v>
      </c>
      <c r="G501" s="30">
        <f>IF(P501="TL tuyệt đối",K501*103%,K501+1/3*M501)</f>
        <v>192.85</v>
      </c>
      <c r="H501" s="31">
        <f>IF(P501="TL tuyệt đối",K501*101%,K501-1/3*M501)</f>
        <v>187.15</v>
      </c>
      <c r="I501" s="31">
        <f>IF(P501="TL tuyệt đối", K501*105%,K501+M501)</f>
        <v>198.55</v>
      </c>
      <c r="J501" s="31">
        <f>K501-M501</f>
        <v>181.45</v>
      </c>
      <c r="K501" s="32">
        <f t="shared" si="50"/>
        <v>190</v>
      </c>
      <c r="M501" s="33">
        <f>IF(P501="TL tuyệt đối",0, IF(K501&lt;5,0,IF(K501&lt;50,K501*9%,IF(K501&lt;100,4.5,IF(K501&lt;200,4.5%*K501,IF(K501&lt;300,9,IF(K501&lt;500,K501*3%,IF(K501&lt;1000,15,))))))))</f>
        <v>8.5499999999999989</v>
      </c>
      <c r="N501" s="33">
        <v>8</v>
      </c>
      <c r="P501" s="32"/>
    </row>
    <row r="502" spans="2:16" ht="16.5" customHeight="1">
      <c r="B502" s="30">
        <v>67951478</v>
      </c>
      <c r="C502" s="54" t="s">
        <v>656</v>
      </c>
      <c r="D502" s="36" t="s">
        <v>76</v>
      </c>
      <c r="E502" s="30">
        <v>180</v>
      </c>
      <c r="F502" s="30" t="s">
        <v>73</v>
      </c>
      <c r="G502" s="30">
        <f t="shared" si="44"/>
        <v>182.7</v>
      </c>
      <c r="H502" s="31">
        <f t="shared" si="45"/>
        <v>177.3</v>
      </c>
      <c r="I502" s="31">
        <f t="shared" si="46"/>
        <v>188.1</v>
      </c>
      <c r="J502" s="31">
        <f t="shared" si="47"/>
        <v>171.9</v>
      </c>
      <c r="K502" s="32">
        <f t="shared" si="50"/>
        <v>180</v>
      </c>
      <c r="M502" s="33">
        <f t="shared" si="48"/>
        <v>8.1</v>
      </c>
      <c r="N502" s="33">
        <v>7.4</v>
      </c>
      <c r="P502" s="32"/>
    </row>
    <row r="503" spans="2:16" ht="16.5" customHeight="1">
      <c r="B503" s="30">
        <v>67951476</v>
      </c>
      <c r="C503" s="54" t="s">
        <v>657</v>
      </c>
      <c r="D503" s="36" t="s">
        <v>76</v>
      </c>
      <c r="E503" s="30">
        <v>110</v>
      </c>
      <c r="F503" s="30" t="s">
        <v>73</v>
      </c>
      <c r="G503" s="30">
        <f t="shared" si="44"/>
        <v>111.65</v>
      </c>
      <c r="H503" s="31">
        <f t="shared" si="45"/>
        <v>108.35</v>
      </c>
      <c r="I503" s="31">
        <f t="shared" si="46"/>
        <v>114.95</v>
      </c>
      <c r="J503" s="31">
        <f t="shared" si="47"/>
        <v>105.05</v>
      </c>
      <c r="K503" s="32">
        <f t="shared" si="50"/>
        <v>110</v>
      </c>
      <c r="M503" s="33">
        <f t="shared" si="48"/>
        <v>4.95</v>
      </c>
      <c r="N503" s="33">
        <v>5.9</v>
      </c>
      <c r="P503" s="32"/>
    </row>
    <row r="504" spans="2:16" ht="16.5" customHeight="1">
      <c r="B504" s="30">
        <v>67962155</v>
      </c>
      <c r="C504" s="54" t="s">
        <v>658</v>
      </c>
      <c r="D504" s="36" t="s">
        <v>76</v>
      </c>
      <c r="E504" s="30">
        <v>190</v>
      </c>
      <c r="F504" s="30" t="s">
        <v>73</v>
      </c>
      <c r="G504" s="30">
        <f t="shared" si="44"/>
        <v>192.85</v>
      </c>
      <c r="H504" s="31">
        <f t="shared" si="45"/>
        <v>187.15</v>
      </c>
      <c r="I504" s="31">
        <f t="shared" si="46"/>
        <v>198.55</v>
      </c>
      <c r="J504" s="31">
        <f t="shared" si="47"/>
        <v>181.45</v>
      </c>
      <c r="K504" s="32">
        <f t="shared" si="50"/>
        <v>190</v>
      </c>
      <c r="M504" s="33">
        <f t="shared" si="48"/>
        <v>8.5499999999999989</v>
      </c>
      <c r="N504" s="33">
        <v>8.4</v>
      </c>
      <c r="P504" s="32"/>
    </row>
    <row r="505" spans="2:16" ht="16.5" customHeight="1">
      <c r="B505" s="30">
        <v>67962157</v>
      </c>
      <c r="C505" s="54" t="s">
        <v>659</v>
      </c>
      <c r="D505" s="36" t="s">
        <v>76</v>
      </c>
      <c r="E505" s="30">
        <v>190</v>
      </c>
      <c r="F505" s="30" t="s">
        <v>73</v>
      </c>
      <c r="G505" s="30">
        <f t="shared" si="44"/>
        <v>192.85</v>
      </c>
      <c r="H505" s="31">
        <f t="shared" si="45"/>
        <v>187.15</v>
      </c>
      <c r="I505" s="31">
        <f t="shared" si="46"/>
        <v>198.55</v>
      </c>
      <c r="J505" s="31">
        <f t="shared" si="47"/>
        <v>181.45</v>
      </c>
      <c r="K505" s="32">
        <f t="shared" si="50"/>
        <v>190</v>
      </c>
      <c r="M505" s="33">
        <f t="shared" si="48"/>
        <v>8.5499999999999989</v>
      </c>
      <c r="N505" s="33">
        <v>8.1999999999999993</v>
      </c>
      <c r="P505" s="32"/>
    </row>
    <row r="506" spans="2:16" ht="16.5" customHeight="1">
      <c r="B506" s="30">
        <v>67849436</v>
      </c>
      <c r="C506" s="54" t="s">
        <v>660</v>
      </c>
      <c r="D506" s="36" t="s">
        <v>81</v>
      </c>
      <c r="E506" s="30">
        <v>130</v>
      </c>
      <c r="F506" s="30" t="s">
        <v>73</v>
      </c>
      <c r="G506" s="30">
        <f t="shared" si="44"/>
        <v>131.94999999999999</v>
      </c>
      <c r="H506" s="31">
        <f t="shared" si="45"/>
        <v>128.05000000000001</v>
      </c>
      <c r="I506" s="31">
        <f t="shared" si="46"/>
        <v>135.85</v>
      </c>
      <c r="J506" s="31">
        <f t="shared" si="47"/>
        <v>124.15</v>
      </c>
      <c r="K506" s="32">
        <f t="shared" si="50"/>
        <v>130</v>
      </c>
      <c r="M506" s="33">
        <f t="shared" si="48"/>
        <v>5.85</v>
      </c>
      <c r="N506" s="33">
        <v>6.5</v>
      </c>
      <c r="P506" s="32"/>
    </row>
    <row r="507" spans="2:16" ht="16.5" customHeight="1">
      <c r="B507" s="30">
        <v>68140536</v>
      </c>
      <c r="C507" s="54" t="s">
        <v>661</v>
      </c>
      <c r="D507" s="36" t="s">
        <v>76</v>
      </c>
      <c r="E507" s="30">
        <v>230</v>
      </c>
      <c r="F507" s="30" t="s">
        <v>73</v>
      </c>
      <c r="G507" s="30">
        <f t="shared" si="44"/>
        <v>233</v>
      </c>
      <c r="H507" s="31">
        <f t="shared" si="45"/>
        <v>227</v>
      </c>
      <c r="I507" s="31">
        <f t="shared" si="46"/>
        <v>239</v>
      </c>
      <c r="J507" s="31">
        <f t="shared" si="47"/>
        <v>221</v>
      </c>
      <c r="K507" s="32">
        <f t="shared" si="50"/>
        <v>230</v>
      </c>
      <c r="M507" s="33">
        <f t="shared" si="48"/>
        <v>9</v>
      </c>
      <c r="N507" s="33">
        <v>9.1999999999999993</v>
      </c>
      <c r="P507" s="32"/>
    </row>
    <row r="508" spans="2:16" ht="16.5" customHeight="1">
      <c r="B508" s="30">
        <v>67976213</v>
      </c>
      <c r="C508" s="54" t="s">
        <v>662</v>
      </c>
      <c r="D508" s="36" t="s">
        <v>76</v>
      </c>
      <c r="E508" s="30">
        <v>240</v>
      </c>
      <c r="F508" s="30" t="s">
        <v>73</v>
      </c>
      <c r="G508" s="30">
        <f t="shared" si="44"/>
        <v>243</v>
      </c>
      <c r="H508" s="31">
        <f t="shared" si="45"/>
        <v>237</v>
      </c>
      <c r="I508" s="31">
        <f t="shared" si="46"/>
        <v>249</v>
      </c>
      <c r="J508" s="31">
        <f t="shared" si="47"/>
        <v>231</v>
      </c>
      <c r="K508" s="32">
        <f t="shared" si="50"/>
        <v>240</v>
      </c>
      <c r="M508" s="33">
        <f t="shared" si="48"/>
        <v>9</v>
      </c>
      <c r="N508" s="33">
        <v>9</v>
      </c>
      <c r="P508" s="32"/>
    </row>
    <row r="509" spans="2:16" ht="16.5" customHeight="1">
      <c r="B509" s="30">
        <v>67888135</v>
      </c>
      <c r="C509" s="54" t="s">
        <v>663</v>
      </c>
      <c r="D509" s="36" t="s">
        <v>76</v>
      </c>
      <c r="E509" s="30">
        <v>30</v>
      </c>
      <c r="F509" s="30" t="s">
        <v>73</v>
      </c>
      <c r="G509" s="30">
        <f>IF(P509="TL tuyệt đối",K509*103%,K509+1/3*M509)</f>
        <v>30.9</v>
      </c>
      <c r="H509" s="31">
        <f>IF(P509="TL tuyệt đối",K509*101%,K509-1/3*M509)</f>
        <v>29.1</v>
      </c>
      <c r="I509" s="31">
        <f>IF(P509="TL tuyệt đối", K509*105%,K509+M509)</f>
        <v>32.700000000000003</v>
      </c>
      <c r="J509" s="31">
        <f>K509-M509</f>
        <v>27.3</v>
      </c>
      <c r="K509" s="32">
        <f t="shared" si="50"/>
        <v>30</v>
      </c>
      <c r="M509" s="33">
        <f t="shared" si="48"/>
        <v>2.6999999999999997</v>
      </c>
      <c r="N509" s="33">
        <v>4</v>
      </c>
      <c r="P509" s="32"/>
    </row>
    <row r="510" spans="2:16" ht="16.5" customHeight="1">
      <c r="B510" s="30">
        <v>68168917</v>
      </c>
      <c r="C510" s="54" t="s">
        <v>664</v>
      </c>
      <c r="D510" s="36" t="s">
        <v>76</v>
      </c>
      <c r="E510" s="30">
        <v>180</v>
      </c>
      <c r="F510" s="30" t="s">
        <v>73</v>
      </c>
      <c r="G510" s="30">
        <f t="shared" si="44"/>
        <v>182.7</v>
      </c>
      <c r="H510" s="31">
        <f t="shared" si="45"/>
        <v>177.3</v>
      </c>
      <c r="I510" s="31">
        <f t="shared" si="46"/>
        <v>188.1</v>
      </c>
      <c r="J510" s="31">
        <f t="shared" si="47"/>
        <v>171.9</v>
      </c>
      <c r="K510" s="32">
        <f t="shared" si="50"/>
        <v>180</v>
      </c>
      <c r="M510" s="33">
        <f t="shared" si="48"/>
        <v>8.1</v>
      </c>
      <c r="N510" s="33">
        <v>7.4</v>
      </c>
      <c r="P510" s="32"/>
    </row>
    <row r="511" spans="2:16" ht="16.5" customHeight="1">
      <c r="B511" s="30">
        <v>68168919</v>
      </c>
      <c r="C511" s="54" t="s">
        <v>665</v>
      </c>
      <c r="D511" s="36" t="s">
        <v>76</v>
      </c>
      <c r="E511" s="30">
        <v>180</v>
      </c>
      <c r="F511" s="30" t="s">
        <v>73</v>
      </c>
      <c r="G511" s="30">
        <f t="shared" si="44"/>
        <v>182.7</v>
      </c>
      <c r="H511" s="31">
        <f t="shared" si="45"/>
        <v>177.3</v>
      </c>
      <c r="I511" s="31">
        <f t="shared" si="46"/>
        <v>188.1</v>
      </c>
      <c r="J511" s="31">
        <f t="shared" si="47"/>
        <v>171.9</v>
      </c>
      <c r="K511" s="32">
        <f t="shared" si="50"/>
        <v>180</v>
      </c>
      <c r="M511" s="33">
        <f t="shared" si="48"/>
        <v>8.1</v>
      </c>
      <c r="N511" s="33">
        <v>7.4</v>
      </c>
      <c r="P511" s="32"/>
    </row>
    <row r="512" spans="2:16" ht="16.5" customHeight="1">
      <c r="B512" s="30">
        <v>68136424</v>
      </c>
      <c r="C512" s="54" t="s">
        <v>666</v>
      </c>
      <c r="D512" s="13" t="s">
        <v>667</v>
      </c>
      <c r="E512" s="30">
        <v>150</v>
      </c>
      <c r="F512" s="30" t="s">
        <v>73</v>
      </c>
      <c r="G512" s="30">
        <f t="shared" si="44"/>
        <v>152.25</v>
      </c>
      <c r="H512" s="31">
        <f t="shared" si="45"/>
        <v>147.75</v>
      </c>
      <c r="I512" s="31">
        <f t="shared" si="46"/>
        <v>156.75</v>
      </c>
      <c r="J512" s="31">
        <f t="shared" si="47"/>
        <v>143.25</v>
      </c>
      <c r="K512" s="32">
        <f t="shared" si="50"/>
        <v>150</v>
      </c>
      <c r="M512" s="33">
        <f t="shared" si="48"/>
        <v>6.75</v>
      </c>
      <c r="N512" s="33">
        <v>7</v>
      </c>
      <c r="P512" s="32"/>
    </row>
    <row r="513" spans="2:16" ht="16.5" customHeight="1">
      <c r="B513" s="30">
        <v>68196224</v>
      </c>
      <c r="C513" s="54" t="s">
        <v>668</v>
      </c>
      <c r="D513" s="36" t="s">
        <v>76</v>
      </c>
      <c r="E513" s="30">
        <v>180</v>
      </c>
      <c r="F513" s="30" t="s">
        <v>73</v>
      </c>
      <c r="G513" s="30">
        <f>IF(P513="TL tuyệt đối",K513*103%,K513+1/3*M513)</f>
        <v>182.7</v>
      </c>
      <c r="H513" s="31">
        <f>IF(P513="TL tuyệt đối",K513*101%,K513-1/3*M513)</f>
        <v>177.3</v>
      </c>
      <c r="I513" s="31">
        <f>IF(P513="TL tuyệt đối", K513*105%,K513+M513)</f>
        <v>188.1</v>
      </c>
      <c r="J513" s="31">
        <f>K513-M513</f>
        <v>171.9</v>
      </c>
      <c r="K513" s="32">
        <f t="shared" si="50"/>
        <v>180</v>
      </c>
      <c r="M513" s="33">
        <f>IF(P513="TL tuyệt đối",0, IF(K513&lt;5,0,IF(K513&lt;50,K513*9%,IF(K513&lt;100,4.5,IF(K513&lt;200,4.5%*K513,IF(K513&lt;300,9,IF(K513&lt;500,K513*3%,IF(K513&lt;1000,15,))))))))</f>
        <v>8.1</v>
      </c>
      <c r="N513" s="33">
        <v>8</v>
      </c>
      <c r="P513" s="32"/>
    </row>
    <row r="514" spans="2:16" ht="16.5" customHeight="1">
      <c r="B514" s="30">
        <v>68196226</v>
      </c>
      <c r="C514" s="54" t="s">
        <v>669</v>
      </c>
      <c r="D514" s="36" t="s">
        <v>76</v>
      </c>
      <c r="E514" s="30">
        <v>180</v>
      </c>
      <c r="F514" s="30" t="s">
        <v>73</v>
      </c>
      <c r="G514" s="30">
        <f>IF(P514="TL tuyệt đối",K514*103%,K514+1/3*M514)</f>
        <v>182.7</v>
      </c>
      <c r="H514" s="31">
        <f>IF(P514="TL tuyệt đối",K514*101%,K514-1/3*M514)</f>
        <v>177.3</v>
      </c>
      <c r="I514" s="31">
        <f>IF(P514="TL tuyệt đối", K514*105%,K514+M514)</f>
        <v>188.1</v>
      </c>
      <c r="J514" s="31">
        <f>K514-M514</f>
        <v>171.9</v>
      </c>
      <c r="K514" s="32">
        <f t="shared" si="50"/>
        <v>180</v>
      </c>
      <c r="M514" s="33">
        <f>IF(P514="TL tuyệt đối",0, IF(K514&lt;5,0,IF(K514&lt;50,K514*9%,IF(K514&lt;100,4.5,IF(K514&lt;200,4.5%*K514,IF(K514&lt;300,9,IF(K514&lt;500,K514*3%,IF(K514&lt;1000,15,))))))))</f>
        <v>8.1</v>
      </c>
      <c r="N514" s="33">
        <v>7.4</v>
      </c>
      <c r="P514" s="32"/>
    </row>
    <row r="515" spans="2:16" ht="16.5" customHeight="1">
      <c r="B515" s="30">
        <v>67996855</v>
      </c>
      <c r="C515" s="54" t="s">
        <v>670</v>
      </c>
      <c r="D515" s="36" t="s">
        <v>516</v>
      </c>
      <c r="E515" s="30">
        <v>191</v>
      </c>
      <c r="F515" s="30" t="s">
        <v>73</v>
      </c>
      <c r="G515" s="30">
        <f t="shared" ref="G515:G571" si="51">IF(P515="TL tuyệt đối",K515*103%,K515+1/3*M515)</f>
        <v>193.86500000000001</v>
      </c>
      <c r="H515" s="31">
        <f t="shared" ref="H515:H571" si="52">IF(P515="TL tuyệt đối",K515*101%,K515-1/3*M515)</f>
        <v>188.13499999999999</v>
      </c>
      <c r="I515" s="31">
        <f t="shared" ref="I515:I571" si="53">IF(P515="TL tuyệt đối", K515*105%,K515+M515)</f>
        <v>199.595</v>
      </c>
      <c r="J515" s="31">
        <f t="shared" ref="J515:J578" si="54">K515-M515</f>
        <v>182.405</v>
      </c>
      <c r="K515" s="32">
        <f t="shared" si="50"/>
        <v>191</v>
      </c>
      <c r="M515" s="33">
        <f t="shared" ref="M515:M571" si="55">IF(P515="TL tuyệt đối",0, IF(K515&lt;5,0,IF(K515&lt;50,K515*9%,IF(K515&lt;100,4.5,IF(K515&lt;200,4.5%*K515,IF(K515&lt;300,9,IF(K515&lt;500,K515*3%,IF(K515&lt;1000,15,))))))))</f>
        <v>8.5949999999999989</v>
      </c>
      <c r="N515" s="33">
        <v>7.8</v>
      </c>
      <c r="P515" s="32"/>
    </row>
    <row r="516" spans="2:16" ht="16.5" customHeight="1">
      <c r="B516" s="30">
        <v>67996859</v>
      </c>
      <c r="C516" s="54" t="s">
        <v>671</v>
      </c>
      <c r="D516" s="36" t="s">
        <v>516</v>
      </c>
      <c r="E516" s="30">
        <v>191</v>
      </c>
      <c r="F516" s="30" t="s">
        <v>73</v>
      </c>
      <c r="G516" s="30">
        <f t="shared" si="51"/>
        <v>193.86500000000001</v>
      </c>
      <c r="H516" s="31">
        <f t="shared" si="52"/>
        <v>188.13499999999999</v>
      </c>
      <c r="I516" s="31">
        <f t="shared" si="53"/>
        <v>199.595</v>
      </c>
      <c r="J516" s="31">
        <f t="shared" si="54"/>
        <v>182.405</v>
      </c>
      <c r="K516" s="32">
        <f t="shared" si="50"/>
        <v>191</v>
      </c>
      <c r="M516" s="33">
        <f t="shared" si="55"/>
        <v>8.5949999999999989</v>
      </c>
      <c r="N516" s="33">
        <v>7.8</v>
      </c>
      <c r="P516" s="32"/>
    </row>
    <row r="517" spans="2:16" ht="16.5" customHeight="1">
      <c r="B517" s="30">
        <v>67996861</v>
      </c>
      <c r="C517" s="54" t="s">
        <v>672</v>
      </c>
      <c r="D517" s="36" t="s">
        <v>516</v>
      </c>
      <c r="E517" s="30">
        <v>125</v>
      </c>
      <c r="F517" s="30" t="s">
        <v>73</v>
      </c>
      <c r="G517" s="30">
        <f t="shared" si="51"/>
        <v>126.875</v>
      </c>
      <c r="H517" s="31">
        <f t="shared" si="52"/>
        <v>123.125</v>
      </c>
      <c r="I517" s="31">
        <f t="shared" si="53"/>
        <v>130.625</v>
      </c>
      <c r="J517" s="31">
        <f t="shared" si="54"/>
        <v>119.375</v>
      </c>
      <c r="K517" s="32">
        <f t="shared" si="50"/>
        <v>125</v>
      </c>
      <c r="M517" s="33">
        <f t="shared" si="55"/>
        <v>5.625</v>
      </c>
      <c r="N517" s="33">
        <v>7</v>
      </c>
      <c r="P517" s="32"/>
    </row>
    <row r="518" spans="2:16" ht="16.5" customHeight="1">
      <c r="B518" s="30">
        <v>67996866</v>
      </c>
      <c r="C518" s="54" t="s">
        <v>673</v>
      </c>
      <c r="D518" s="36" t="s">
        <v>516</v>
      </c>
      <c r="E518" s="30">
        <v>125</v>
      </c>
      <c r="F518" s="30" t="s">
        <v>73</v>
      </c>
      <c r="G518" s="30">
        <f t="shared" si="51"/>
        <v>126.875</v>
      </c>
      <c r="H518" s="31">
        <f t="shared" si="52"/>
        <v>123.125</v>
      </c>
      <c r="I518" s="31">
        <f t="shared" si="53"/>
        <v>130.625</v>
      </c>
      <c r="J518" s="31">
        <f t="shared" si="54"/>
        <v>119.375</v>
      </c>
      <c r="K518" s="32">
        <f t="shared" si="50"/>
        <v>125</v>
      </c>
      <c r="M518" s="33">
        <f t="shared" si="55"/>
        <v>5.625</v>
      </c>
      <c r="N518" s="33">
        <v>7</v>
      </c>
      <c r="P518" s="32"/>
    </row>
    <row r="519" spans="2:16" ht="16.5" customHeight="1">
      <c r="B519" s="30">
        <v>67855074</v>
      </c>
      <c r="C519" s="54" t="s">
        <v>674</v>
      </c>
      <c r="D519" s="36" t="s">
        <v>81</v>
      </c>
      <c r="E519" s="30">
        <v>65</v>
      </c>
      <c r="F519" s="30" t="s">
        <v>73</v>
      </c>
      <c r="G519" s="30">
        <f t="shared" si="51"/>
        <v>66.5</v>
      </c>
      <c r="H519" s="31">
        <f t="shared" si="52"/>
        <v>63.5</v>
      </c>
      <c r="I519" s="31">
        <f t="shared" si="53"/>
        <v>69.5</v>
      </c>
      <c r="J519" s="31">
        <f t="shared" si="54"/>
        <v>60.5</v>
      </c>
      <c r="K519" s="32">
        <f t="shared" si="50"/>
        <v>65</v>
      </c>
      <c r="M519" s="33">
        <f t="shared" si="55"/>
        <v>4.5</v>
      </c>
      <c r="N519" s="33">
        <v>4.5999999999999996</v>
      </c>
      <c r="P519" s="32"/>
    </row>
    <row r="520" spans="2:16" ht="16.5" customHeight="1">
      <c r="B520" s="30">
        <v>68210180</v>
      </c>
      <c r="C520" s="54" t="s">
        <v>675</v>
      </c>
      <c r="D520" s="36" t="s">
        <v>76</v>
      </c>
      <c r="E520" s="30">
        <v>180</v>
      </c>
      <c r="F520" s="30" t="s">
        <v>73</v>
      </c>
      <c r="G520" s="30">
        <f t="shared" si="51"/>
        <v>182.7</v>
      </c>
      <c r="H520" s="31">
        <f t="shared" si="52"/>
        <v>177.3</v>
      </c>
      <c r="I520" s="31">
        <f t="shared" si="53"/>
        <v>188.1</v>
      </c>
      <c r="J520" s="31">
        <f t="shared" si="54"/>
        <v>171.9</v>
      </c>
      <c r="K520" s="32">
        <f t="shared" si="50"/>
        <v>180</v>
      </c>
      <c r="M520" s="33">
        <f t="shared" si="55"/>
        <v>8.1</v>
      </c>
      <c r="N520" s="33">
        <v>8</v>
      </c>
      <c r="P520" s="32"/>
    </row>
    <row r="521" spans="2:16" ht="16.5" customHeight="1">
      <c r="B521" s="30">
        <v>67821785</v>
      </c>
      <c r="C521" s="54" t="s">
        <v>676</v>
      </c>
      <c r="D521" s="36" t="s">
        <v>516</v>
      </c>
      <c r="E521" s="30">
        <v>175</v>
      </c>
      <c r="F521" s="30" t="s">
        <v>73</v>
      </c>
      <c r="G521" s="30">
        <f t="shared" si="51"/>
        <v>177.625</v>
      </c>
      <c r="H521" s="31">
        <f t="shared" si="52"/>
        <v>172.375</v>
      </c>
      <c r="I521" s="31">
        <f t="shared" si="53"/>
        <v>182.875</v>
      </c>
      <c r="J521" s="31">
        <f t="shared" si="54"/>
        <v>167.125</v>
      </c>
      <c r="K521" s="32">
        <f t="shared" si="50"/>
        <v>175</v>
      </c>
      <c r="M521" s="33">
        <f t="shared" si="55"/>
        <v>7.875</v>
      </c>
      <c r="N521" s="33">
        <v>8.1999999999999993</v>
      </c>
      <c r="P521" s="32"/>
    </row>
    <row r="522" spans="2:16" ht="16.5" customHeight="1">
      <c r="B522" s="30">
        <v>67821786</v>
      </c>
      <c r="C522" s="54" t="s">
        <v>677</v>
      </c>
      <c r="D522" s="36" t="s">
        <v>516</v>
      </c>
      <c r="E522" s="30">
        <v>175</v>
      </c>
      <c r="F522" s="30" t="s">
        <v>73</v>
      </c>
      <c r="G522" s="30">
        <f t="shared" si="51"/>
        <v>177.625</v>
      </c>
      <c r="H522" s="31">
        <f t="shared" si="52"/>
        <v>172.375</v>
      </c>
      <c r="I522" s="31">
        <f t="shared" si="53"/>
        <v>182.875</v>
      </c>
      <c r="J522" s="31">
        <f t="shared" si="54"/>
        <v>167.125</v>
      </c>
      <c r="K522" s="32">
        <f t="shared" si="50"/>
        <v>175</v>
      </c>
      <c r="M522" s="33">
        <f t="shared" si="55"/>
        <v>7.875</v>
      </c>
      <c r="N522" s="33">
        <v>8.1999999999999993</v>
      </c>
      <c r="P522" s="32"/>
    </row>
    <row r="523" spans="2:16" ht="16.5" customHeight="1">
      <c r="B523" s="30">
        <v>67855073</v>
      </c>
      <c r="C523" s="54" t="s">
        <v>678</v>
      </c>
      <c r="D523" s="36" t="s">
        <v>81</v>
      </c>
      <c r="E523" s="30">
        <v>150</v>
      </c>
      <c r="F523" s="30" t="s">
        <v>73</v>
      </c>
      <c r="G523" s="30">
        <f t="shared" si="51"/>
        <v>152.25</v>
      </c>
      <c r="H523" s="31">
        <f t="shared" si="52"/>
        <v>147.75</v>
      </c>
      <c r="I523" s="31">
        <f t="shared" si="53"/>
        <v>156.75</v>
      </c>
      <c r="J523" s="31">
        <f t="shared" si="54"/>
        <v>143.25</v>
      </c>
      <c r="K523" s="32">
        <f t="shared" si="50"/>
        <v>150</v>
      </c>
      <c r="M523" s="33">
        <f t="shared" si="55"/>
        <v>6.75</v>
      </c>
      <c r="N523" s="33">
        <v>6.8</v>
      </c>
      <c r="P523" s="32"/>
    </row>
    <row r="524" spans="2:16" ht="16.5" customHeight="1">
      <c r="B524" s="30">
        <v>67958846</v>
      </c>
      <c r="C524" s="54" t="s">
        <v>679</v>
      </c>
      <c r="D524" s="36" t="s">
        <v>516</v>
      </c>
      <c r="E524" s="30">
        <v>120</v>
      </c>
      <c r="F524" s="30" t="s">
        <v>73</v>
      </c>
      <c r="G524" s="30">
        <f t="shared" si="51"/>
        <v>121.8</v>
      </c>
      <c r="H524" s="31">
        <f t="shared" si="52"/>
        <v>118.2</v>
      </c>
      <c r="I524" s="31">
        <f t="shared" si="53"/>
        <v>125.4</v>
      </c>
      <c r="J524" s="31">
        <f t="shared" si="54"/>
        <v>114.6</v>
      </c>
      <c r="K524" s="32">
        <f t="shared" si="50"/>
        <v>120</v>
      </c>
      <c r="M524" s="33">
        <f t="shared" si="55"/>
        <v>5.3999999999999995</v>
      </c>
      <c r="N524" s="33">
        <v>6.2</v>
      </c>
      <c r="P524" s="32"/>
    </row>
    <row r="525" spans="2:16" ht="16.5" customHeight="1">
      <c r="B525" s="30">
        <v>67958848</v>
      </c>
      <c r="C525" s="54" t="s">
        <v>680</v>
      </c>
      <c r="D525" s="36" t="s">
        <v>516</v>
      </c>
      <c r="E525" s="30">
        <v>120</v>
      </c>
      <c r="F525" s="30" t="s">
        <v>73</v>
      </c>
      <c r="G525" s="30">
        <f>IF(P525="TL tuyệt đối",K525*103%,K525+1/3*M525)</f>
        <v>121.8</v>
      </c>
      <c r="H525" s="31">
        <f>IF(P525="TL tuyệt đối",K525*101%,K525-1/3*M525)</f>
        <v>118.2</v>
      </c>
      <c r="I525" s="31">
        <f>IF(P525="TL tuyệt đối", K525*105%,K525+M525)</f>
        <v>125.4</v>
      </c>
      <c r="J525" s="31">
        <f>K525-M525</f>
        <v>114.6</v>
      </c>
      <c r="K525" s="32">
        <f t="shared" si="50"/>
        <v>120</v>
      </c>
      <c r="M525" s="33">
        <f>IF(P525="TL tuyệt đối",0, IF(K525&lt;5,0,IF(K525&lt;50,K525*9%,IF(K525&lt;100,4.5,IF(K525&lt;200,4.5%*K525,IF(K525&lt;300,9,IF(K525&lt;500,K525*3%,IF(K525&lt;1000,15,))))))))</f>
        <v>5.3999999999999995</v>
      </c>
      <c r="N525" s="33">
        <v>6.2</v>
      </c>
      <c r="P525" s="32"/>
    </row>
    <row r="526" spans="2:16" ht="16.5" customHeight="1">
      <c r="B526" s="30">
        <v>68180415</v>
      </c>
      <c r="C526" s="54" t="s">
        <v>681</v>
      </c>
      <c r="D526" s="36" t="s">
        <v>76</v>
      </c>
      <c r="E526" s="30">
        <v>180</v>
      </c>
      <c r="F526" s="30" t="s">
        <v>73</v>
      </c>
      <c r="G526" s="30">
        <f t="shared" si="51"/>
        <v>182.7</v>
      </c>
      <c r="H526" s="31">
        <f t="shared" si="52"/>
        <v>177.3</v>
      </c>
      <c r="I526" s="31">
        <f t="shared" si="53"/>
        <v>188.1</v>
      </c>
      <c r="J526" s="31">
        <f t="shared" si="54"/>
        <v>171.9</v>
      </c>
      <c r="K526" s="32">
        <f t="shared" si="50"/>
        <v>180</v>
      </c>
      <c r="M526" s="33">
        <f t="shared" si="55"/>
        <v>8.1</v>
      </c>
      <c r="N526" s="33">
        <v>7.4</v>
      </c>
      <c r="P526" s="32"/>
    </row>
    <row r="527" spans="2:16" ht="16.5" customHeight="1">
      <c r="B527" s="30">
        <v>68180417</v>
      </c>
      <c r="C527" s="54" t="s">
        <v>682</v>
      </c>
      <c r="D527" s="36" t="s">
        <v>76</v>
      </c>
      <c r="E527" s="30">
        <v>230</v>
      </c>
      <c r="F527" s="30" t="s">
        <v>73</v>
      </c>
      <c r="G527" s="30">
        <f t="shared" si="51"/>
        <v>233</v>
      </c>
      <c r="H527" s="31">
        <f t="shared" si="52"/>
        <v>227</v>
      </c>
      <c r="I527" s="31">
        <f t="shared" si="53"/>
        <v>239</v>
      </c>
      <c r="J527" s="31">
        <f t="shared" si="54"/>
        <v>221</v>
      </c>
      <c r="K527" s="32">
        <f t="shared" si="50"/>
        <v>230</v>
      </c>
      <c r="M527" s="33">
        <f t="shared" si="55"/>
        <v>9</v>
      </c>
      <c r="N527" s="33">
        <v>9</v>
      </c>
      <c r="P527" s="32"/>
    </row>
    <row r="528" spans="2:16" ht="16.5" customHeight="1">
      <c r="B528" s="30">
        <v>68199866</v>
      </c>
      <c r="C528" s="54" t="s">
        <v>683</v>
      </c>
      <c r="D528" s="36" t="s">
        <v>76</v>
      </c>
      <c r="E528" s="30">
        <v>180</v>
      </c>
      <c r="F528" s="30" t="s">
        <v>73</v>
      </c>
      <c r="G528" s="30">
        <f t="shared" si="51"/>
        <v>182.7</v>
      </c>
      <c r="H528" s="31">
        <f t="shared" si="52"/>
        <v>177.3</v>
      </c>
      <c r="I528" s="31">
        <f t="shared" si="53"/>
        <v>188.1</v>
      </c>
      <c r="J528" s="31">
        <f t="shared" si="54"/>
        <v>171.9</v>
      </c>
      <c r="K528" s="32">
        <f t="shared" si="50"/>
        <v>180</v>
      </c>
      <c r="M528" s="33">
        <f t="shared" si="55"/>
        <v>8.1</v>
      </c>
      <c r="N528" s="33">
        <v>7.4</v>
      </c>
      <c r="P528" s="32"/>
    </row>
    <row r="529" spans="1:18" ht="16.5" customHeight="1">
      <c r="B529" s="30">
        <v>67995529</v>
      </c>
      <c r="C529" s="54" t="s">
        <v>684</v>
      </c>
      <c r="D529" s="36" t="s">
        <v>516</v>
      </c>
      <c r="E529" s="30">
        <v>191</v>
      </c>
      <c r="F529" s="30" t="s">
        <v>73</v>
      </c>
      <c r="G529" s="30">
        <f t="shared" si="51"/>
        <v>193.86500000000001</v>
      </c>
      <c r="H529" s="31">
        <f t="shared" si="52"/>
        <v>188.13499999999999</v>
      </c>
      <c r="I529" s="31">
        <f t="shared" si="53"/>
        <v>199.595</v>
      </c>
      <c r="J529" s="31">
        <f t="shared" si="54"/>
        <v>182.405</v>
      </c>
      <c r="K529" s="32">
        <f t="shared" si="50"/>
        <v>191</v>
      </c>
      <c r="M529" s="33">
        <f t="shared" si="55"/>
        <v>8.5949999999999989</v>
      </c>
      <c r="N529" s="33">
        <v>8.8000000000000007</v>
      </c>
      <c r="P529" s="32"/>
    </row>
    <row r="530" spans="1:18" ht="16.5" customHeight="1">
      <c r="B530" s="30">
        <v>67995531</v>
      </c>
      <c r="C530" s="54" t="s">
        <v>685</v>
      </c>
      <c r="D530" s="36" t="s">
        <v>516</v>
      </c>
      <c r="E530" s="30">
        <v>125</v>
      </c>
      <c r="F530" s="30" t="s">
        <v>73</v>
      </c>
      <c r="G530" s="30">
        <f t="shared" si="51"/>
        <v>126.875</v>
      </c>
      <c r="H530" s="31">
        <f t="shared" si="52"/>
        <v>123.125</v>
      </c>
      <c r="I530" s="31">
        <f t="shared" si="53"/>
        <v>130.625</v>
      </c>
      <c r="J530" s="31">
        <f t="shared" si="54"/>
        <v>119.375</v>
      </c>
      <c r="K530" s="32">
        <f t="shared" si="50"/>
        <v>125</v>
      </c>
      <c r="M530" s="33">
        <f t="shared" si="55"/>
        <v>5.625</v>
      </c>
      <c r="N530" s="33">
        <v>7.2</v>
      </c>
      <c r="P530" s="32"/>
    </row>
    <row r="531" spans="1:18" ht="16.5" customHeight="1">
      <c r="B531" s="30">
        <v>67995533</v>
      </c>
      <c r="C531" s="54" t="s">
        <v>686</v>
      </c>
      <c r="D531" s="36" t="s">
        <v>516</v>
      </c>
      <c r="E531" s="30">
        <v>191</v>
      </c>
      <c r="F531" s="30" t="s">
        <v>73</v>
      </c>
      <c r="G531" s="30">
        <f t="shared" si="51"/>
        <v>193.86500000000001</v>
      </c>
      <c r="H531" s="31">
        <f t="shared" si="52"/>
        <v>188.13499999999999</v>
      </c>
      <c r="I531" s="31">
        <f t="shared" si="53"/>
        <v>199.595</v>
      </c>
      <c r="J531" s="31">
        <f t="shared" si="54"/>
        <v>182.405</v>
      </c>
      <c r="K531" s="32">
        <f t="shared" si="50"/>
        <v>191</v>
      </c>
      <c r="M531" s="33">
        <f t="shared" si="55"/>
        <v>8.5949999999999989</v>
      </c>
      <c r="N531" s="33">
        <v>8.8000000000000007</v>
      </c>
      <c r="P531" s="32"/>
    </row>
    <row r="532" spans="1:18" ht="16.5" customHeight="1">
      <c r="B532" s="30">
        <v>67995538</v>
      </c>
      <c r="C532" s="54" t="s">
        <v>687</v>
      </c>
      <c r="D532" s="36" t="s">
        <v>516</v>
      </c>
      <c r="E532" s="30">
        <v>125</v>
      </c>
      <c r="F532" s="30" t="s">
        <v>73</v>
      </c>
      <c r="G532" s="30">
        <f t="shared" si="51"/>
        <v>126.875</v>
      </c>
      <c r="H532" s="31">
        <f t="shared" si="52"/>
        <v>123.125</v>
      </c>
      <c r="I532" s="31">
        <f t="shared" si="53"/>
        <v>130.625</v>
      </c>
      <c r="J532" s="31">
        <f t="shared" si="54"/>
        <v>119.375</v>
      </c>
      <c r="K532" s="32">
        <f t="shared" ref="K532:K593" si="56">IF(F532="ml",E532*L532,E532)</f>
        <v>125</v>
      </c>
      <c r="M532" s="33">
        <f t="shared" si="55"/>
        <v>5.625</v>
      </c>
      <c r="N532" s="33">
        <v>7.2</v>
      </c>
      <c r="P532" s="32"/>
    </row>
    <row r="533" spans="1:18" ht="16.5" customHeight="1">
      <c r="B533" s="30">
        <v>67855425</v>
      </c>
      <c r="C533" s="54" t="s">
        <v>688</v>
      </c>
      <c r="D533" s="36" t="s">
        <v>81</v>
      </c>
      <c r="E533" s="30">
        <v>65</v>
      </c>
      <c r="F533" s="30" t="s">
        <v>73</v>
      </c>
      <c r="G533" s="30">
        <f t="shared" si="51"/>
        <v>66.5</v>
      </c>
      <c r="H533" s="31">
        <f t="shared" si="52"/>
        <v>63.5</v>
      </c>
      <c r="I533" s="31">
        <f t="shared" si="53"/>
        <v>69.5</v>
      </c>
      <c r="J533" s="31">
        <f t="shared" si="54"/>
        <v>60.5</v>
      </c>
      <c r="K533" s="32">
        <f t="shared" si="56"/>
        <v>65</v>
      </c>
      <c r="M533" s="33">
        <f t="shared" si="55"/>
        <v>4.5</v>
      </c>
      <c r="N533" s="33">
        <v>4.5999999999999996</v>
      </c>
      <c r="P533" s="32"/>
    </row>
    <row r="534" spans="1:18" ht="16.5" customHeight="1">
      <c r="B534" s="30">
        <v>68199868</v>
      </c>
      <c r="C534" s="54" t="s">
        <v>689</v>
      </c>
      <c r="D534" s="36" t="s">
        <v>76</v>
      </c>
      <c r="E534" s="30">
        <v>240</v>
      </c>
      <c r="F534" s="30" t="s">
        <v>73</v>
      </c>
      <c r="G534" s="30">
        <f t="shared" si="51"/>
        <v>243</v>
      </c>
      <c r="H534" s="31">
        <f t="shared" si="52"/>
        <v>237</v>
      </c>
      <c r="I534" s="31">
        <f t="shared" si="53"/>
        <v>249</v>
      </c>
      <c r="J534" s="31">
        <f t="shared" si="54"/>
        <v>231</v>
      </c>
      <c r="K534" s="32">
        <f t="shared" si="56"/>
        <v>240</v>
      </c>
      <c r="M534" s="33">
        <f t="shared" si="55"/>
        <v>9</v>
      </c>
      <c r="N534" s="33">
        <v>9</v>
      </c>
      <c r="P534" s="32"/>
    </row>
    <row r="535" spans="1:18" ht="16.5" customHeight="1">
      <c r="B535" s="30">
        <v>67504136</v>
      </c>
      <c r="C535" s="54" t="s">
        <v>690</v>
      </c>
      <c r="D535" s="36" t="s">
        <v>76</v>
      </c>
      <c r="E535" s="30">
        <v>15</v>
      </c>
      <c r="F535" s="30" t="s">
        <v>73</v>
      </c>
      <c r="G535" s="30">
        <f t="shared" si="51"/>
        <v>15.45</v>
      </c>
      <c r="H535" s="31">
        <f t="shared" si="52"/>
        <v>14.55</v>
      </c>
      <c r="I535" s="31">
        <f t="shared" si="53"/>
        <v>16.350000000000001</v>
      </c>
      <c r="J535" s="31">
        <f t="shared" si="54"/>
        <v>13.65</v>
      </c>
      <c r="K535" s="32">
        <f t="shared" si="56"/>
        <v>15</v>
      </c>
      <c r="L535" s="32"/>
      <c r="M535" s="33">
        <f t="shared" si="55"/>
        <v>1.3499999999999999</v>
      </c>
      <c r="N535" s="33">
        <v>3.2</v>
      </c>
      <c r="P535" s="32"/>
    </row>
    <row r="536" spans="1:18" ht="16.5" customHeight="1">
      <c r="B536" s="30">
        <v>68283109</v>
      </c>
      <c r="C536" s="54" t="s">
        <v>691</v>
      </c>
      <c r="D536" s="36" t="s">
        <v>76</v>
      </c>
      <c r="E536" s="30">
        <v>240</v>
      </c>
      <c r="F536" s="30" t="s">
        <v>73</v>
      </c>
      <c r="G536" s="30">
        <f t="shared" si="51"/>
        <v>243</v>
      </c>
      <c r="H536" s="31">
        <f t="shared" si="52"/>
        <v>237</v>
      </c>
      <c r="I536" s="31">
        <f t="shared" si="53"/>
        <v>249</v>
      </c>
      <c r="J536" s="31">
        <f t="shared" si="54"/>
        <v>231</v>
      </c>
      <c r="K536" s="32">
        <f t="shared" si="56"/>
        <v>240</v>
      </c>
      <c r="M536" s="33">
        <f t="shared" si="55"/>
        <v>9</v>
      </c>
      <c r="N536" s="33">
        <v>9</v>
      </c>
      <c r="P536" s="32"/>
    </row>
    <row r="537" spans="1:18" ht="16.5" customHeight="1">
      <c r="B537" s="30">
        <v>68267274</v>
      </c>
      <c r="C537" s="54" t="s">
        <v>692</v>
      </c>
      <c r="D537" s="36" t="s">
        <v>76</v>
      </c>
      <c r="E537" s="30">
        <v>110</v>
      </c>
      <c r="F537" s="30" t="s">
        <v>73</v>
      </c>
      <c r="G537" s="30">
        <f t="shared" si="51"/>
        <v>111.65</v>
      </c>
      <c r="H537" s="31">
        <f t="shared" si="52"/>
        <v>108.35</v>
      </c>
      <c r="I537" s="31">
        <f t="shared" si="53"/>
        <v>114.95</v>
      </c>
      <c r="J537" s="31">
        <f t="shared" si="54"/>
        <v>105.05</v>
      </c>
      <c r="K537" s="32">
        <f t="shared" si="56"/>
        <v>110</v>
      </c>
      <c r="M537" s="33">
        <f t="shared" si="55"/>
        <v>4.95</v>
      </c>
      <c r="N537" s="33">
        <v>5.9</v>
      </c>
      <c r="P537" s="32"/>
    </row>
    <row r="538" spans="1:18" ht="16.5" customHeight="1">
      <c r="A538" s="76" t="s">
        <v>693</v>
      </c>
      <c r="B538" s="50">
        <v>67258588</v>
      </c>
      <c r="C538" s="76" t="s">
        <v>694</v>
      </c>
      <c r="D538" s="36" t="s">
        <v>76</v>
      </c>
      <c r="E538" s="30">
        <v>520</v>
      </c>
      <c r="F538" s="30" t="s">
        <v>82</v>
      </c>
      <c r="G538" s="30">
        <f t="shared" si="51"/>
        <v>525</v>
      </c>
      <c r="H538" s="31">
        <f t="shared" si="52"/>
        <v>515</v>
      </c>
      <c r="I538" s="31">
        <f t="shared" si="53"/>
        <v>535</v>
      </c>
      <c r="J538" s="31">
        <f t="shared" si="54"/>
        <v>505</v>
      </c>
      <c r="K538" s="32">
        <f t="shared" si="56"/>
        <v>520</v>
      </c>
      <c r="L538" s="57">
        <v>1</v>
      </c>
      <c r="M538" s="33">
        <f t="shared" si="55"/>
        <v>15</v>
      </c>
      <c r="N538" s="33">
        <v>53.5</v>
      </c>
      <c r="P538" s="32"/>
      <c r="Q538" s="23" t="s">
        <v>695</v>
      </c>
      <c r="R538" s="77" t="s">
        <v>696</v>
      </c>
    </row>
    <row r="539" spans="1:18" ht="16.5" customHeight="1">
      <c r="A539" s="76" t="s">
        <v>693</v>
      </c>
      <c r="B539" s="50">
        <v>67258593</v>
      </c>
      <c r="C539" s="76" t="s">
        <v>697</v>
      </c>
      <c r="D539" s="36" t="s">
        <v>76</v>
      </c>
      <c r="E539" s="30">
        <v>520</v>
      </c>
      <c r="F539" s="30" t="s">
        <v>82</v>
      </c>
      <c r="G539" s="30">
        <f t="shared" si="51"/>
        <v>525</v>
      </c>
      <c r="H539" s="31">
        <f t="shared" si="52"/>
        <v>515</v>
      </c>
      <c r="I539" s="31">
        <f t="shared" si="53"/>
        <v>535</v>
      </c>
      <c r="J539" s="31">
        <f t="shared" si="54"/>
        <v>505</v>
      </c>
      <c r="K539" s="32">
        <f t="shared" si="56"/>
        <v>520</v>
      </c>
      <c r="L539" s="57">
        <v>1</v>
      </c>
      <c r="M539" s="33">
        <f t="shared" si="55"/>
        <v>15</v>
      </c>
      <c r="N539" s="33">
        <v>54</v>
      </c>
      <c r="P539" s="32"/>
      <c r="Q539" s="23" t="s">
        <v>698</v>
      </c>
      <c r="R539" s="77" t="s">
        <v>696</v>
      </c>
    </row>
    <row r="540" spans="1:18" ht="16.5" customHeight="1">
      <c r="A540" s="76" t="s">
        <v>693</v>
      </c>
      <c r="B540" s="50">
        <v>67640176</v>
      </c>
      <c r="C540" s="76" t="s">
        <v>699</v>
      </c>
      <c r="D540" s="36" t="s">
        <v>76</v>
      </c>
      <c r="E540" s="30">
        <v>520</v>
      </c>
      <c r="F540" s="30" t="s">
        <v>82</v>
      </c>
      <c r="G540" s="30">
        <f t="shared" si="51"/>
        <v>527.59999999999991</v>
      </c>
      <c r="H540" s="31">
        <f t="shared" si="52"/>
        <v>517.59999999999991</v>
      </c>
      <c r="I540" s="31">
        <f t="shared" si="53"/>
        <v>537.59999999999991</v>
      </c>
      <c r="J540" s="31">
        <f t="shared" si="54"/>
        <v>507.59999999999991</v>
      </c>
      <c r="K540" s="32">
        <f t="shared" si="56"/>
        <v>522.59999999999991</v>
      </c>
      <c r="L540" s="57">
        <v>1.0049999999999999</v>
      </c>
      <c r="M540" s="33">
        <f t="shared" si="55"/>
        <v>15</v>
      </c>
      <c r="N540" s="33">
        <v>53.8</v>
      </c>
      <c r="P540" s="32"/>
      <c r="Q540" s="23" t="s">
        <v>700</v>
      </c>
      <c r="R540" s="77" t="s">
        <v>701</v>
      </c>
    </row>
    <row r="541" spans="1:18" ht="16.5" customHeight="1">
      <c r="A541" s="76" t="s">
        <v>702</v>
      </c>
      <c r="B541" s="50">
        <v>67917225</v>
      </c>
      <c r="C541" s="76" t="s">
        <v>703</v>
      </c>
      <c r="D541" s="36" t="s">
        <v>76</v>
      </c>
      <c r="E541" s="30">
        <v>3800</v>
      </c>
      <c r="F541" s="30" t="s">
        <v>73</v>
      </c>
      <c r="G541" s="30">
        <f t="shared" si="51"/>
        <v>3800</v>
      </c>
      <c r="H541" s="31">
        <f t="shared" si="52"/>
        <v>3800</v>
      </c>
      <c r="I541" s="31">
        <f t="shared" si="53"/>
        <v>3800</v>
      </c>
      <c r="J541" s="31">
        <f t="shared" si="54"/>
        <v>3800</v>
      </c>
      <c r="K541" s="32">
        <f t="shared" si="56"/>
        <v>3800</v>
      </c>
      <c r="M541" s="33">
        <f t="shared" si="55"/>
        <v>0</v>
      </c>
      <c r="N541" s="33"/>
      <c r="P541" s="32"/>
    </row>
    <row r="542" spans="1:18" ht="16.5" customHeight="1">
      <c r="A542" s="76" t="s">
        <v>693</v>
      </c>
      <c r="B542" s="50">
        <v>67294751</v>
      </c>
      <c r="C542" s="76" t="s">
        <v>704</v>
      </c>
      <c r="D542" s="78" t="s">
        <v>705</v>
      </c>
      <c r="E542" s="30">
        <v>520</v>
      </c>
      <c r="F542" s="30" t="s">
        <v>82</v>
      </c>
      <c r="G542" s="30">
        <f t="shared" si="51"/>
        <v>538.27799999999991</v>
      </c>
      <c r="H542" s="31">
        <f t="shared" si="52"/>
        <v>527.82599999999991</v>
      </c>
      <c r="I542" s="31">
        <f t="shared" si="53"/>
        <v>548.7299999999999</v>
      </c>
      <c r="J542" s="31">
        <f t="shared" si="54"/>
        <v>522.59999999999991</v>
      </c>
      <c r="K542" s="32">
        <f t="shared" si="56"/>
        <v>522.59999999999991</v>
      </c>
      <c r="L542" s="57">
        <v>1.0049999999999999</v>
      </c>
      <c r="M542" s="33">
        <f t="shared" si="55"/>
        <v>0</v>
      </c>
      <c r="N542" s="33">
        <v>54.5</v>
      </c>
      <c r="P542" s="41" t="s">
        <v>88</v>
      </c>
      <c r="Q542" s="23" t="s">
        <v>706</v>
      </c>
      <c r="R542" s="77" t="s">
        <v>701</v>
      </c>
    </row>
    <row r="543" spans="1:18" ht="16.5" customHeight="1">
      <c r="A543" s="76" t="s">
        <v>693</v>
      </c>
      <c r="B543" s="50">
        <v>67469202</v>
      </c>
      <c r="C543" s="76" t="s">
        <v>707</v>
      </c>
      <c r="D543" s="78" t="s">
        <v>705</v>
      </c>
      <c r="E543" s="30">
        <v>5000</v>
      </c>
      <c r="F543" s="30" t="s">
        <v>73</v>
      </c>
      <c r="G543" s="30">
        <f t="shared" si="51"/>
        <v>5048.0666666666666</v>
      </c>
      <c r="H543" s="31">
        <f t="shared" si="52"/>
        <v>4951.9333333333334</v>
      </c>
      <c r="I543" s="31">
        <f t="shared" si="53"/>
        <v>5144.2</v>
      </c>
      <c r="J543" s="31">
        <f t="shared" si="54"/>
        <v>4855.8</v>
      </c>
      <c r="K543" s="32">
        <f t="shared" si="56"/>
        <v>5000</v>
      </c>
      <c r="L543" s="57">
        <v>1.0049999999999999</v>
      </c>
      <c r="M543" s="33">
        <v>144.19999999999999</v>
      </c>
      <c r="N543" s="33">
        <v>280</v>
      </c>
      <c r="P543" s="32"/>
      <c r="Q543" s="23" t="s">
        <v>706</v>
      </c>
      <c r="R543" s="77" t="s">
        <v>701</v>
      </c>
    </row>
    <row r="544" spans="1:18" ht="16.5" customHeight="1">
      <c r="B544" s="69">
        <v>67767192</v>
      </c>
      <c r="C544" s="70" t="s">
        <v>708</v>
      </c>
      <c r="D544" s="36" t="s">
        <v>648</v>
      </c>
      <c r="E544" s="30">
        <v>76</v>
      </c>
      <c r="F544" s="30" t="s">
        <v>73</v>
      </c>
      <c r="G544" s="30">
        <f t="shared" si="51"/>
        <v>77.5</v>
      </c>
      <c r="H544" s="31">
        <f t="shared" si="52"/>
        <v>74.5</v>
      </c>
      <c r="I544" s="31">
        <f t="shared" si="53"/>
        <v>80.5</v>
      </c>
      <c r="J544" s="31">
        <f t="shared" si="54"/>
        <v>71.5</v>
      </c>
      <c r="K544" s="32">
        <f t="shared" si="56"/>
        <v>76</v>
      </c>
      <c r="L544" s="40">
        <v>1.52</v>
      </c>
      <c r="M544" s="33">
        <f>IF(P544="TL tuyệt đối",0, IF(K544&lt;5,0,IF(K544&lt;50,K544*9%,IF(K544&lt;100,4.5,IF(K544&lt;200,4.5%*K544,IF(K544&lt;300,9,IF(K544&lt;500,K544*3%,IF(K544&lt;1000,15,))))))))</f>
        <v>4.5</v>
      </c>
      <c r="N544" s="33">
        <v>4.5999999999999996</v>
      </c>
      <c r="P544" s="32"/>
    </row>
    <row r="545" spans="1:18" ht="16.5" customHeight="1">
      <c r="B545" s="30">
        <v>67898543</v>
      </c>
      <c r="C545" s="54" t="s">
        <v>709</v>
      </c>
      <c r="D545" s="13" t="s">
        <v>710</v>
      </c>
      <c r="E545" s="30">
        <v>76</v>
      </c>
      <c r="F545" s="30" t="s">
        <v>73</v>
      </c>
      <c r="G545" s="30">
        <f t="shared" si="51"/>
        <v>77.5</v>
      </c>
      <c r="H545" s="31">
        <f t="shared" si="52"/>
        <v>74.5</v>
      </c>
      <c r="I545" s="31">
        <f t="shared" si="53"/>
        <v>80.5</v>
      </c>
      <c r="J545" s="31">
        <f t="shared" si="54"/>
        <v>71.5</v>
      </c>
      <c r="K545" s="32">
        <f t="shared" si="56"/>
        <v>76</v>
      </c>
      <c r="L545" s="57">
        <v>1.52</v>
      </c>
      <c r="M545" s="33">
        <f t="shared" si="55"/>
        <v>4.5</v>
      </c>
      <c r="N545" s="33">
        <v>4.5</v>
      </c>
      <c r="P545" s="32"/>
    </row>
    <row r="546" spans="1:18" ht="16.5" customHeight="1">
      <c r="B546" s="26">
        <v>67898541</v>
      </c>
      <c r="C546" s="27" t="s">
        <v>711</v>
      </c>
      <c r="D546" s="13" t="s">
        <v>710</v>
      </c>
      <c r="E546" s="28">
        <v>100</v>
      </c>
      <c r="F546" s="29" t="s">
        <v>82</v>
      </c>
      <c r="G546" s="30">
        <f t="shared" si="51"/>
        <v>154.28</v>
      </c>
      <c r="H546" s="31">
        <f t="shared" si="52"/>
        <v>149.72</v>
      </c>
      <c r="I546" s="31">
        <f t="shared" si="53"/>
        <v>158.84</v>
      </c>
      <c r="J546" s="31">
        <f t="shared" si="54"/>
        <v>145.16</v>
      </c>
      <c r="K546" s="32">
        <f t="shared" si="56"/>
        <v>152</v>
      </c>
      <c r="L546" s="40">
        <v>1.52</v>
      </c>
      <c r="M546" s="33">
        <f t="shared" si="55"/>
        <v>6.84</v>
      </c>
      <c r="N546" s="33">
        <v>6.5</v>
      </c>
      <c r="P546" s="32"/>
    </row>
    <row r="547" spans="1:18" ht="16.5" customHeight="1">
      <c r="B547" s="30">
        <v>67976213</v>
      </c>
      <c r="C547" s="54" t="s">
        <v>662</v>
      </c>
      <c r="D547" s="36" t="s">
        <v>76</v>
      </c>
      <c r="E547" s="30">
        <v>240</v>
      </c>
      <c r="F547" s="30" t="s">
        <v>73</v>
      </c>
      <c r="G547" s="30">
        <f t="shared" si="51"/>
        <v>243</v>
      </c>
      <c r="H547" s="31">
        <f t="shared" si="52"/>
        <v>237</v>
      </c>
      <c r="I547" s="31">
        <f t="shared" si="53"/>
        <v>249</v>
      </c>
      <c r="J547" s="31">
        <f t="shared" si="54"/>
        <v>231</v>
      </c>
      <c r="K547" s="32">
        <f t="shared" si="56"/>
        <v>240</v>
      </c>
      <c r="M547" s="33">
        <f t="shared" si="55"/>
        <v>9</v>
      </c>
      <c r="N547" s="33">
        <v>9</v>
      </c>
      <c r="P547" s="32"/>
    </row>
    <row r="548" spans="1:18" ht="16.5" customHeight="1">
      <c r="B548" s="30">
        <v>68180413</v>
      </c>
      <c r="C548" s="54" t="s">
        <v>712</v>
      </c>
      <c r="D548" s="36" t="s">
        <v>76</v>
      </c>
      <c r="E548" s="30">
        <v>30</v>
      </c>
      <c r="F548" s="30" t="s">
        <v>73</v>
      </c>
      <c r="G548" s="30">
        <f t="shared" si="51"/>
        <v>30.9</v>
      </c>
      <c r="H548" s="31">
        <f t="shared" si="52"/>
        <v>29.1</v>
      </c>
      <c r="I548" s="31">
        <f t="shared" si="53"/>
        <v>32.700000000000003</v>
      </c>
      <c r="J548" s="31">
        <f t="shared" si="54"/>
        <v>27.3</v>
      </c>
      <c r="K548" s="32">
        <f t="shared" si="56"/>
        <v>30</v>
      </c>
      <c r="M548" s="33">
        <f t="shared" si="55"/>
        <v>2.6999999999999997</v>
      </c>
      <c r="N548" s="33">
        <v>4</v>
      </c>
      <c r="P548" s="32"/>
    </row>
    <row r="549" spans="1:18" ht="16.5" customHeight="1">
      <c r="A549" s="76" t="s">
        <v>693</v>
      </c>
      <c r="B549" s="50">
        <v>68362945</v>
      </c>
      <c r="C549" s="76" t="s">
        <v>713</v>
      </c>
      <c r="D549" s="36" t="s">
        <v>76</v>
      </c>
      <c r="E549" s="30">
        <v>520</v>
      </c>
      <c r="F549" s="30" t="s">
        <v>82</v>
      </c>
      <c r="G549" s="30">
        <f>IF(P549="TL tuyệt đối",K549*103%,K549+1/3*M549)</f>
        <v>527.59999999999991</v>
      </c>
      <c r="H549" s="31">
        <f>IF(P549="TL tuyệt đối",K549*101%,K549-1/3*M549)</f>
        <v>517.59999999999991</v>
      </c>
      <c r="I549" s="31">
        <f>IF(P549="TL tuyệt đối", K549*105%,K549+M549)</f>
        <v>537.59999999999991</v>
      </c>
      <c r="J549" s="31">
        <f>K549-M549</f>
        <v>507.59999999999991</v>
      </c>
      <c r="K549" s="32">
        <f t="shared" si="56"/>
        <v>522.59999999999991</v>
      </c>
      <c r="L549" s="57">
        <v>1.0049999999999999</v>
      </c>
      <c r="M549" s="33">
        <f>IF(P549="TL tuyệt đối",0, IF(K549&lt;5,0,IF(K549&lt;50,K549*9%,IF(K549&lt;100,4.5,IF(K549&lt;200,4.5%*K549,IF(K549&lt;300,9,IF(K549&lt;500,K549*3%,IF(K549&lt;1000,15,))))))))</f>
        <v>15</v>
      </c>
      <c r="N549" s="33">
        <v>53.8</v>
      </c>
      <c r="P549" s="32"/>
      <c r="Q549" s="23" t="s">
        <v>700</v>
      </c>
      <c r="R549" s="77" t="s">
        <v>701</v>
      </c>
    </row>
    <row r="550" spans="1:18" ht="16.5" customHeight="1">
      <c r="A550" s="76" t="s">
        <v>693</v>
      </c>
      <c r="B550" s="50">
        <v>67748878</v>
      </c>
      <c r="C550" s="76" t="s">
        <v>714</v>
      </c>
      <c r="D550" s="78" t="s">
        <v>705</v>
      </c>
      <c r="E550" s="30">
        <v>4200</v>
      </c>
      <c r="F550" s="30" t="s">
        <v>82</v>
      </c>
      <c r="G550" s="30">
        <f t="shared" si="51"/>
        <v>4347.63</v>
      </c>
      <c r="H550" s="31">
        <f t="shared" si="52"/>
        <v>4263.21</v>
      </c>
      <c r="I550" s="31">
        <f t="shared" si="53"/>
        <v>4432.05</v>
      </c>
      <c r="J550" s="31">
        <f t="shared" si="54"/>
        <v>4221</v>
      </c>
      <c r="K550" s="32">
        <f t="shared" si="56"/>
        <v>4221</v>
      </c>
      <c r="L550" s="57">
        <v>1.0049999999999999</v>
      </c>
      <c r="M550" s="33">
        <f t="shared" si="55"/>
        <v>0</v>
      </c>
      <c r="N550" s="33">
        <v>280</v>
      </c>
      <c r="P550" s="41" t="s">
        <v>88</v>
      </c>
      <c r="Q550" s="23" t="s">
        <v>706</v>
      </c>
      <c r="R550" s="77" t="s">
        <v>701</v>
      </c>
    </row>
    <row r="551" spans="1:18" ht="16.5" customHeight="1">
      <c r="B551" s="30">
        <v>68351774</v>
      </c>
      <c r="C551" s="54" t="s">
        <v>715</v>
      </c>
      <c r="D551" s="36" t="s">
        <v>76</v>
      </c>
      <c r="E551" s="30">
        <v>180</v>
      </c>
      <c r="F551" s="30" t="s">
        <v>73</v>
      </c>
      <c r="G551" s="30">
        <f>IF(P551="TL tuyệt đối",K551*103%,K551+1/3*M551)</f>
        <v>182.7</v>
      </c>
      <c r="H551" s="31">
        <f>IF(P551="TL tuyệt đối",K551*101%,K551-1/3*M551)</f>
        <v>177.3</v>
      </c>
      <c r="I551" s="31">
        <f>IF(P551="TL tuyệt đối", K551*105%,K551+M551)</f>
        <v>188.1</v>
      </c>
      <c r="J551" s="31">
        <f>K551-M551</f>
        <v>171.9</v>
      </c>
      <c r="K551" s="32">
        <f t="shared" si="56"/>
        <v>180</v>
      </c>
      <c r="M551" s="33">
        <f>IF(P551="TL tuyệt đối",0, IF(K551&lt;5,0,IF(K551&lt;50,K551*9%,IF(K551&lt;100,4.5,IF(K551&lt;200,4.5%*K551,IF(K551&lt;300,9,IF(K551&lt;500,K551*3%,IF(K551&lt;1000,15,))))))))</f>
        <v>8.1</v>
      </c>
      <c r="N551" s="33">
        <v>7.4</v>
      </c>
      <c r="P551" s="32"/>
    </row>
    <row r="552" spans="1:18" ht="16.5" customHeight="1">
      <c r="B552" s="30">
        <v>67855430</v>
      </c>
      <c r="C552" s="54" t="s">
        <v>716</v>
      </c>
      <c r="D552" s="13" t="s">
        <v>430</v>
      </c>
      <c r="E552" s="30">
        <v>175</v>
      </c>
      <c r="F552" s="30" t="s">
        <v>73</v>
      </c>
      <c r="G552" s="30">
        <f>IF(P552="TL tuyệt đối",K552*103%,K552+1/3*M552)</f>
        <v>177.625</v>
      </c>
      <c r="H552" s="31">
        <f>IF(P552="TL tuyệt đối",K552*101%,K552-1/3*M552)</f>
        <v>172.375</v>
      </c>
      <c r="I552" s="31">
        <f>IF(P552="TL tuyệt đối", K552*105%,K552+M552)</f>
        <v>182.875</v>
      </c>
      <c r="J552" s="31">
        <f>K552-M552</f>
        <v>167.125</v>
      </c>
      <c r="K552" s="32">
        <f t="shared" si="56"/>
        <v>175</v>
      </c>
      <c r="M552" s="33">
        <f>IF(P552="TL tuyệt đối",0, IF(K552&lt;5,0,IF(K552&lt;50,K552*9%,IF(K552&lt;100,4.5,IF(K552&lt;200,4.5%*K552,IF(K552&lt;300,9,IF(K552&lt;500,K552*3%,IF(K552&lt;1000,15,))))))))</f>
        <v>7.875</v>
      </c>
      <c r="N552" s="33">
        <v>7.2</v>
      </c>
      <c r="P552" s="32"/>
    </row>
    <row r="553" spans="1:18" ht="16.5" customHeight="1">
      <c r="A553" s="76" t="s">
        <v>693</v>
      </c>
      <c r="B553" s="50">
        <v>68362944</v>
      </c>
      <c r="C553" s="76" t="s">
        <v>717</v>
      </c>
      <c r="D553" s="36" t="s">
        <v>76</v>
      </c>
      <c r="E553" s="30">
        <v>520</v>
      </c>
      <c r="F553" s="30" t="s">
        <v>82</v>
      </c>
      <c r="G553" s="30">
        <f>IF(P553="TL tuyệt đối",K553*103%,K553+1/3*M553)</f>
        <v>525</v>
      </c>
      <c r="H553" s="31">
        <f>IF(P553="TL tuyệt đối",K553*101%,K553-1/3*M553)</f>
        <v>515</v>
      </c>
      <c r="I553" s="31">
        <f>IF(P553="TL tuyệt đối", K553*105%,K553+M553)</f>
        <v>535</v>
      </c>
      <c r="J553" s="31">
        <f>K553-M553</f>
        <v>505</v>
      </c>
      <c r="K553" s="32">
        <f t="shared" si="56"/>
        <v>520</v>
      </c>
      <c r="L553" s="57">
        <v>1</v>
      </c>
      <c r="M553" s="33">
        <f>IF(P553="TL tuyệt đối",0, IF(K553&lt;5,0,IF(K553&lt;50,K553*9%,IF(K553&lt;100,4.5,IF(K553&lt;200,4.5%*K553,IF(K553&lt;300,9,IF(K553&lt;500,K553*3%,IF(K553&lt;1000,15,))))))))</f>
        <v>15</v>
      </c>
      <c r="N553" s="33">
        <v>53.5</v>
      </c>
      <c r="P553" s="32"/>
      <c r="Q553" s="23" t="s">
        <v>695</v>
      </c>
      <c r="R553" s="77" t="s">
        <v>696</v>
      </c>
    </row>
    <row r="554" spans="1:18" ht="16.5" customHeight="1">
      <c r="B554" s="30">
        <v>67855440</v>
      </c>
      <c r="C554" s="54" t="s">
        <v>718</v>
      </c>
      <c r="D554" s="13" t="s">
        <v>430</v>
      </c>
      <c r="E554" s="30">
        <v>140</v>
      </c>
      <c r="F554" s="29" t="s">
        <v>73</v>
      </c>
      <c r="G554" s="30">
        <f>IF(P554="TL tuyệt đối",K554*103%,K554+1/3*M554)</f>
        <v>142.1</v>
      </c>
      <c r="H554" s="31">
        <f>IF(P554="TL tuyệt đối",K554*101%,K554-1/3*M554)</f>
        <v>137.9</v>
      </c>
      <c r="I554" s="31">
        <f>IF(P554="TL tuyệt đối", K554*105%,K554+M554)</f>
        <v>146.30000000000001</v>
      </c>
      <c r="J554" s="31">
        <f>K554-M554</f>
        <v>133.69999999999999</v>
      </c>
      <c r="K554" s="32">
        <f t="shared" si="56"/>
        <v>140</v>
      </c>
      <c r="M554" s="33">
        <f>IF(P554="TL tuyệt đối",0, IF(K554&lt;5,0,IF(K554&lt;50,K554*9%,IF(K554&lt;100,4.5,IF(K554&lt;200,4.5%*K554,IF(K554&lt;300,9,IF(K554&lt;500,K554*3%,IF(K554&lt;1000,15,))))))))</f>
        <v>6.3</v>
      </c>
      <c r="N554" s="33">
        <v>6.5</v>
      </c>
      <c r="P554" s="32"/>
    </row>
    <row r="555" spans="1:18" ht="16.5" customHeight="1">
      <c r="B555" s="30">
        <v>68408463</v>
      </c>
      <c r="C555" s="54" t="s">
        <v>719</v>
      </c>
      <c r="D555" s="36" t="s">
        <v>76</v>
      </c>
      <c r="E555" s="30">
        <v>190</v>
      </c>
      <c r="F555" s="30" t="s">
        <v>73</v>
      </c>
      <c r="G555" s="30">
        <f>IF(P555="TL tuyệt đối",K555*103%,K555+1/3*M555)</f>
        <v>192.85</v>
      </c>
      <c r="H555" s="31">
        <f>IF(P555="TL tuyệt đối",K555*101%,K555-1/3*M555)</f>
        <v>187.15</v>
      </c>
      <c r="I555" s="31">
        <f>IF(P555="TL tuyệt đối", K555*105%,K555+M555)</f>
        <v>198.55</v>
      </c>
      <c r="J555" s="31">
        <f>K555-M555</f>
        <v>181.45</v>
      </c>
      <c r="K555" s="32">
        <f t="shared" si="56"/>
        <v>190</v>
      </c>
      <c r="M555" s="33">
        <f>IF(P555="TL tuyệt đối",0, IF(K555&lt;5,0,IF(K555&lt;50,K555*9%,IF(K555&lt;100,4.5,IF(K555&lt;200,4.5%*K555,IF(K555&lt;300,9,IF(K555&lt;500,K555*3%,IF(K555&lt;1000,15,))))))))</f>
        <v>8.5499999999999989</v>
      </c>
      <c r="N555" s="33">
        <v>8</v>
      </c>
      <c r="P555" s="32"/>
    </row>
    <row r="556" spans="1:18" ht="16.5" customHeight="1">
      <c r="B556" s="30">
        <v>68418141</v>
      </c>
      <c r="C556" s="54" t="s">
        <v>720</v>
      </c>
      <c r="D556" s="36" t="s">
        <v>76</v>
      </c>
      <c r="E556" s="30">
        <v>180</v>
      </c>
      <c r="F556" s="30" t="s">
        <v>73</v>
      </c>
      <c r="G556" s="30">
        <f t="shared" si="51"/>
        <v>182.7</v>
      </c>
      <c r="H556" s="31">
        <f t="shared" si="52"/>
        <v>177.3</v>
      </c>
      <c r="I556" s="31">
        <f t="shared" si="53"/>
        <v>188.1</v>
      </c>
      <c r="J556" s="31">
        <f t="shared" si="54"/>
        <v>171.9</v>
      </c>
      <c r="K556" s="32">
        <f t="shared" si="56"/>
        <v>180</v>
      </c>
      <c r="M556" s="33">
        <f t="shared" si="55"/>
        <v>8.1</v>
      </c>
      <c r="N556" s="33">
        <v>7.4</v>
      </c>
      <c r="P556" s="32"/>
    </row>
    <row r="557" spans="1:18" ht="16.5" customHeight="1">
      <c r="B557" s="30">
        <v>68181852</v>
      </c>
      <c r="C557" s="54" t="s">
        <v>721</v>
      </c>
      <c r="D557" s="36" t="s">
        <v>76</v>
      </c>
      <c r="E557" s="30">
        <v>180</v>
      </c>
      <c r="F557" s="30" t="s">
        <v>73</v>
      </c>
      <c r="G557" s="30">
        <f t="shared" si="51"/>
        <v>182.7</v>
      </c>
      <c r="H557" s="31">
        <f t="shared" si="52"/>
        <v>177.3</v>
      </c>
      <c r="I557" s="31">
        <f t="shared" si="53"/>
        <v>188.1</v>
      </c>
      <c r="J557" s="31">
        <f t="shared" si="54"/>
        <v>171.9</v>
      </c>
      <c r="K557" s="32">
        <f t="shared" si="56"/>
        <v>180</v>
      </c>
      <c r="M557" s="33">
        <f t="shared" si="55"/>
        <v>8.1</v>
      </c>
      <c r="N557" s="33">
        <v>7.4</v>
      </c>
      <c r="P557" s="32"/>
    </row>
    <row r="558" spans="1:18" ht="16.5" customHeight="1">
      <c r="B558" s="30">
        <v>68181856</v>
      </c>
      <c r="C558" s="54" t="s">
        <v>722</v>
      </c>
      <c r="D558" s="36" t="s">
        <v>76</v>
      </c>
      <c r="E558" s="30">
        <v>140</v>
      </c>
      <c r="F558" s="29" t="s">
        <v>73</v>
      </c>
      <c r="G558" s="30">
        <f t="shared" si="51"/>
        <v>142.1</v>
      </c>
      <c r="H558" s="31">
        <f t="shared" si="52"/>
        <v>137.9</v>
      </c>
      <c r="I558" s="31">
        <f t="shared" si="53"/>
        <v>146.30000000000001</v>
      </c>
      <c r="J558" s="31">
        <f t="shared" si="54"/>
        <v>133.69999999999999</v>
      </c>
      <c r="K558" s="32">
        <f t="shared" si="56"/>
        <v>140</v>
      </c>
      <c r="M558" s="33">
        <f t="shared" si="55"/>
        <v>6.3</v>
      </c>
      <c r="N558" s="33">
        <v>7.2</v>
      </c>
      <c r="P558" s="32"/>
    </row>
    <row r="559" spans="1:18" ht="16.5" customHeight="1">
      <c r="B559" s="30">
        <v>68181854</v>
      </c>
      <c r="C559" s="54" t="s">
        <v>723</v>
      </c>
      <c r="D559" s="36" t="s">
        <v>76</v>
      </c>
      <c r="E559" s="30">
        <v>230</v>
      </c>
      <c r="F559" s="30" t="s">
        <v>73</v>
      </c>
      <c r="G559" s="30">
        <f t="shared" si="51"/>
        <v>233</v>
      </c>
      <c r="H559" s="31">
        <f t="shared" si="52"/>
        <v>227</v>
      </c>
      <c r="I559" s="31">
        <f t="shared" si="53"/>
        <v>239</v>
      </c>
      <c r="J559" s="31">
        <f t="shared" si="54"/>
        <v>221</v>
      </c>
      <c r="K559" s="32">
        <f t="shared" si="56"/>
        <v>230</v>
      </c>
      <c r="M559" s="33">
        <f t="shared" si="55"/>
        <v>9</v>
      </c>
      <c r="N559" s="33">
        <v>9</v>
      </c>
      <c r="P559" s="32"/>
    </row>
    <row r="560" spans="1:18" ht="16.5" customHeight="1">
      <c r="B560" s="30">
        <v>68181862</v>
      </c>
      <c r="C560" s="54" t="s">
        <v>724</v>
      </c>
      <c r="D560" s="36" t="s">
        <v>76</v>
      </c>
      <c r="E560" s="30">
        <v>230</v>
      </c>
      <c r="F560" s="30" t="s">
        <v>73</v>
      </c>
      <c r="G560" s="30">
        <f t="shared" si="51"/>
        <v>233</v>
      </c>
      <c r="H560" s="31">
        <f t="shared" si="52"/>
        <v>227</v>
      </c>
      <c r="I560" s="31">
        <f t="shared" si="53"/>
        <v>239</v>
      </c>
      <c r="J560" s="31">
        <f t="shared" si="54"/>
        <v>221</v>
      </c>
      <c r="K560" s="32">
        <f t="shared" si="56"/>
        <v>230</v>
      </c>
      <c r="M560" s="33">
        <f t="shared" si="55"/>
        <v>9</v>
      </c>
      <c r="N560" s="33">
        <v>9</v>
      </c>
      <c r="P560" s="32"/>
    </row>
    <row r="561" spans="1:16" ht="16.5" customHeight="1">
      <c r="B561" s="30">
        <v>68181864</v>
      </c>
      <c r="C561" s="54" t="s">
        <v>725</v>
      </c>
      <c r="D561" s="36" t="s">
        <v>76</v>
      </c>
      <c r="E561" s="30">
        <v>180</v>
      </c>
      <c r="F561" s="30" t="s">
        <v>73</v>
      </c>
      <c r="G561" s="30">
        <f t="shared" si="51"/>
        <v>182.7</v>
      </c>
      <c r="H561" s="31">
        <f t="shared" si="52"/>
        <v>177.3</v>
      </c>
      <c r="I561" s="31">
        <f t="shared" si="53"/>
        <v>188.1</v>
      </c>
      <c r="J561" s="31">
        <f t="shared" si="54"/>
        <v>171.9</v>
      </c>
      <c r="K561" s="32">
        <f t="shared" si="56"/>
        <v>180</v>
      </c>
      <c r="M561" s="33">
        <f t="shared" si="55"/>
        <v>8.1</v>
      </c>
      <c r="N561" s="33">
        <v>7.4</v>
      </c>
      <c r="P561" s="32"/>
    </row>
    <row r="562" spans="1:16" ht="16.5" customHeight="1">
      <c r="B562" s="30">
        <v>68181866</v>
      </c>
      <c r="C562" s="54" t="s">
        <v>726</v>
      </c>
      <c r="D562" s="36" t="s">
        <v>76</v>
      </c>
      <c r="E562" s="30">
        <v>140</v>
      </c>
      <c r="F562" s="29" t="s">
        <v>73</v>
      </c>
      <c r="G562" s="30">
        <f t="shared" si="51"/>
        <v>142.1</v>
      </c>
      <c r="H562" s="31">
        <f t="shared" si="52"/>
        <v>137.9</v>
      </c>
      <c r="I562" s="31">
        <f t="shared" si="53"/>
        <v>146.30000000000001</v>
      </c>
      <c r="J562" s="31">
        <f t="shared" si="54"/>
        <v>133.69999999999999</v>
      </c>
      <c r="K562" s="32">
        <f t="shared" si="56"/>
        <v>140</v>
      </c>
      <c r="M562" s="33">
        <f t="shared" si="55"/>
        <v>6.3</v>
      </c>
      <c r="N562" s="33">
        <v>7</v>
      </c>
      <c r="P562" s="32"/>
    </row>
    <row r="563" spans="1:16" ht="16.5" customHeight="1">
      <c r="B563" s="30">
        <v>68400766</v>
      </c>
      <c r="C563" s="54" t="s">
        <v>727</v>
      </c>
      <c r="D563" s="36" t="s">
        <v>76</v>
      </c>
      <c r="E563" s="30">
        <v>180</v>
      </c>
      <c r="F563" s="29" t="s">
        <v>73</v>
      </c>
      <c r="G563" s="30">
        <f t="shared" si="51"/>
        <v>182.7</v>
      </c>
      <c r="H563" s="31">
        <f t="shared" si="52"/>
        <v>177.3</v>
      </c>
      <c r="I563" s="31">
        <f t="shared" si="53"/>
        <v>188.1</v>
      </c>
      <c r="J563" s="31">
        <f t="shared" si="54"/>
        <v>171.9</v>
      </c>
      <c r="K563" s="32">
        <f t="shared" si="56"/>
        <v>180</v>
      </c>
      <c r="M563" s="33">
        <f t="shared" si="55"/>
        <v>8.1</v>
      </c>
      <c r="N563" s="33">
        <v>7.4</v>
      </c>
      <c r="P563" s="32"/>
    </row>
    <row r="564" spans="1:16" ht="16.5" customHeight="1">
      <c r="B564" s="30">
        <v>68400764</v>
      </c>
      <c r="C564" s="54" t="s">
        <v>728</v>
      </c>
      <c r="D564" s="36" t="s">
        <v>76</v>
      </c>
      <c r="E564" s="30">
        <v>180</v>
      </c>
      <c r="F564" s="29" t="s">
        <v>73</v>
      </c>
      <c r="G564" s="30">
        <f t="shared" si="51"/>
        <v>182.7</v>
      </c>
      <c r="H564" s="31">
        <f t="shared" si="52"/>
        <v>177.3</v>
      </c>
      <c r="I564" s="31">
        <f t="shared" si="53"/>
        <v>188.1</v>
      </c>
      <c r="J564" s="31">
        <f t="shared" si="54"/>
        <v>171.9</v>
      </c>
      <c r="K564" s="32">
        <f t="shared" si="56"/>
        <v>180</v>
      </c>
      <c r="M564" s="33">
        <f t="shared" si="55"/>
        <v>8.1</v>
      </c>
      <c r="N564" s="33">
        <v>7.4</v>
      </c>
      <c r="P564" s="32"/>
    </row>
    <row r="565" spans="1:16" ht="16.5" customHeight="1">
      <c r="B565" s="79">
        <v>68193714</v>
      </c>
      <c r="C565" s="79" t="s">
        <v>729</v>
      </c>
      <c r="D565" s="36" t="s">
        <v>76</v>
      </c>
      <c r="E565" s="30">
        <v>230</v>
      </c>
      <c r="F565" s="29" t="s">
        <v>73</v>
      </c>
      <c r="G565" s="30">
        <f t="shared" si="51"/>
        <v>233</v>
      </c>
      <c r="H565" s="31">
        <f t="shared" si="52"/>
        <v>227</v>
      </c>
      <c r="I565" s="31">
        <f t="shared" si="53"/>
        <v>239</v>
      </c>
      <c r="J565" s="31">
        <f t="shared" si="54"/>
        <v>221</v>
      </c>
      <c r="K565" s="32">
        <f t="shared" si="56"/>
        <v>230</v>
      </c>
      <c r="M565" s="33">
        <f t="shared" si="55"/>
        <v>9</v>
      </c>
      <c r="N565" s="33">
        <v>11.5</v>
      </c>
      <c r="P565" s="32"/>
    </row>
    <row r="566" spans="1:16" ht="16.5" customHeight="1">
      <c r="B566" s="79">
        <v>68193716</v>
      </c>
      <c r="C566" s="79" t="s">
        <v>730</v>
      </c>
      <c r="D566" s="36" t="s">
        <v>76</v>
      </c>
      <c r="E566" s="30">
        <v>230</v>
      </c>
      <c r="F566" s="29" t="s">
        <v>73</v>
      </c>
      <c r="G566" s="30">
        <f t="shared" si="51"/>
        <v>233</v>
      </c>
      <c r="H566" s="31">
        <f t="shared" si="52"/>
        <v>227</v>
      </c>
      <c r="I566" s="31">
        <f t="shared" si="53"/>
        <v>239</v>
      </c>
      <c r="J566" s="31">
        <f t="shared" si="54"/>
        <v>221</v>
      </c>
      <c r="K566" s="32">
        <f t="shared" si="56"/>
        <v>230</v>
      </c>
      <c r="M566" s="33">
        <f t="shared" si="55"/>
        <v>9</v>
      </c>
      <c r="N566" s="33">
        <v>11.5</v>
      </c>
      <c r="P566" s="32"/>
    </row>
    <row r="567" spans="1:16" ht="16.5" customHeight="1">
      <c r="B567" s="30">
        <v>68356897</v>
      </c>
      <c r="C567" s="54" t="s">
        <v>731</v>
      </c>
      <c r="D567" s="36" t="s">
        <v>76</v>
      </c>
      <c r="E567" s="30">
        <v>180</v>
      </c>
      <c r="F567" s="30" t="s">
        <v>73</v>
      </c>
      <c r="G567" s="30">
        <f t="shared" si="51"/>
        <v>182.7</v>
      </c>
      <c r="H567" s="31">
        <f t="shared" si="52"/>
        <v>177.3</v>
      </c>
      <c r="I567" s="31">
        <f t="shared" si="53"/>
        <v>188.1</v>
      </c>
      <c r="J567" s="31">
        <f t="shared" si="54"/>
        <v>171.9</v>
      </c>
      <c r="K567" s="32">
        <f t="shared" si="56"/>
        <v>180</v>
      </c>
      <c r="M567" s="33">
        <f t="shared" si="55"/>
        <v>8.1</v>
      </c>
      <c r="N567" s="33">
        <v>7.4</v>
      </c>
      <c r="P567" s="32"/>
    </row>
    <row r="568" spans="1:16" ht="16.5" customHeight="1">
      <c r="B568" s="30">
        <v>67821598</v>
      </c>
      <c r="C568" s="54" t="s">
        <v>732</v>
      </c>
      <c r="D568" s="73" t="s">
        <v>371</v>
      </c>
      <c r="E568" s="30">
        <v>160</v>
      </c>
      <c r="F568" s="30" t="s">
        <v>73</v>
      </c>
      <c r="G568" s="30">
        <f t="shared" si="51"/>
        <v>162.4</v>
      </c>
      <c r="H568" s="31">
        <f t="shared" si="52"/>
        <v>157.6</v>
      </c>
      <c r="I568" s="31">
        <f t="shared" si="53"/>
        <v>167.2</v>
      </c>
      <c r="J568" s="31">
        <f t="shared" si="54"/>
        <v>152.80000000000001</v>
      </c>
      <c r="K568" s="32">
        <f t="shared" si="56"/>
        <v>160</v>
      </c>
      <c r="M568" s="33">
        <f t="shared" si="55"/>
        <v>7.1999999999999993</v>
      </c>
      <c r="N568" s="33">
        <v>7.6</v>
      </c>
      <c r="P568" s="32"/>
    </row>
    <row r="569" spans="1:16" ht="16.5" customHeight="1">
      <c r="B569" s="30">
        <v>68163720</v>
      </c>
      <c r="C569" s="54" t="s">
        <v>733</v>
      </c>
      <c r="D569" s="36" t="s">
        <v>76</v>
      </c>
      <c r="E569" s="30">
        <v>100</v>
      </c>
      <c r="F569" s="30" t="s">
        <v>73</v>
      </c>
      <c r="G569" s="30">
        <f t="shared" si="51"/>
        <v>101.5</v>
      </c>
      <c r="H569" s="31">
        <f t="shared" si="52"/>
        <v>98.5</v>
      </c>
      <c r="I569" s="31">
        <f t="shared" si="53"/>
        <v>104.5</v>
      </c>
      <c r="J569" s="31">
        <f t="shared" si="54"/>
        <v>95.5</v>
      </c>
      <c r="K569" s="32">
        <f t="shared" si="56"/>
        <v>100</v>
      </c>
      <c r="M569" s="33">
        <f t="shared" si="55"/>
        <v>4.5</v>
      </c>
      <c r="N569" s="33">
        <v>7</v>
      </c>
      <c r="P569" s="32"/>
    </row>
    <row r="570" spans="1:16" ht="16.5" customHeight="1">
      <c r="B570" s="30">
        <v>68163724</v>
      </c>
      <c r="C570" s="54" t="s">
        <v>734</v>
      </c>
      <c r="D570" s="36" t="s">
        <v>76</v>
      </c>
      <c r="E570" s="30">
        <v>100</v>
      </c>
      <c r="F570" s="30" t="s">
        <v>73</v>
      </c>
      <c r="G570" s="30">
        <f t="shared" si="51"/>
        <v>101.5</v>
      </c>
      <c r="H570" s="31">
        <f t="shared" si="52"/>
        <v>98.5</v>
      </c>
      <c r="I570" s="31">
        <f t="shared" si="53"/>
        <v>104.5</v>
      </c>
      <c r="J570" s="31">
        <f t="shared" si="54"/>
        <v>95.5</v>
      </c>
      <c r="K570" s="32">
        <f t="shared" si="56"/>
        <v>100</v>
      </c>
      <c r="M570" s="33">
        <f t="shared" si="55"/>
        <v>4.5</v>
      </c>
      <c r="N570" s="33">
        <v>6.2</v>
      </c>
      <c r="P570" s="32"/>
    </row>
    <row r="571" spans="1:16" ht="16.5" customHeight="1">
      <c r="B571" s="30">
        <v>68163726</v>
      </c>
      <c r="C571" s="54" t="s">
        <v>735</v>
      </c>
      <c r="D571" s="36" t="s">
        <v>76</v>
      </c>
      <c r="E571" s="30">
        <v>100</v>
      </c>
      <c r="F571" s="30" t="s">
        <v>73</v>
      </c>
      <c r="G571" s="30">
        <f t="shared" si="51"/>
        <v>101.5</v>
      </c>
      <c r="H571" s="31">
        <f t="shared" si="52"/>
        <v>98.5</v>
      </c>
      <c r="I571" s="31">
        <f t="shared" si="53"/>
        <v>104.5</v>
      </c>
      <c r="J571" s="31">
        <f t="shared" si="54"/>
        <v>95.5</v>
      </c>
      <c r="K571" s="32">
        <f t="shared" si="56"/>
        <v>100</v>
      </c>
      <c r="M571" s="33">
        <f t="shared" si="55"/>
        <v>4.5</v>
      </c>
      <c r="N571" s="33">
        <v>6.2</v>
      </c>
      <c r="P571" s="32"/>
    </row>
    <row r="572" spans="1:16" ht="16.5" customHeight="1">
      <c r="B572" s="30">
        <v>68431709</v>
      </c>
      <c r="C572" s="54" t="s">
        <v>736</v>
      </c>
      <c r="D572" s="36" t="s">
        <v>76</v>
      </c>
      <c r="E572" s="30">
        <v>180</v>
      </c>
      <c r="F572" s="30" t="s">
        <v>73</v>
      </c>
      <c r="G572" s="30">
        <f>IF(P572="TL tuyệt đối",K572*103%,K572+1/3*M572)</f>
        <v>182.7</v>
      </c>
      <c r="H572" s="31">
        <f>IF(P572="TL tuyệt đối",K572*101%,K572-1/3*M572)</f>
        <v>177.3</v>
      </c>
      <c r="I572" s="31">
        <f>IF(P572="TL tuyệt đối", K572*105%,K572+M572)</f>
        <v>188.1</v>
      </c>
      <c r="J572" s="31">
        <f>K572-M572</f>
        <v>171.9</v>
      </c>
      <c r="K572" s="32">
        <f t="shared" si="56"/>
        <v>180</v>
      </c>
      <c r="M572" s="33">
        <f>IF(P572="TL tuyệt đối",0, IF(K572&lt;5,0,IF(K572&lt;50,K572*9%,IF(K572&lt;100,4.5,IF(K572&lt;200,4.5%*K572,IF(K572&lt;300,9,IF(K572&lt;500,K572*3%,IF(K572&lt;1000,15,))))))))</f>
        <v>8.1</v>
      </c>
      <c r="N572" s="33">
        <v>7.4</v>
      </c>
      <c r="P572" s="32"/>
    </row>
    <row r="573" spans="1:16" ht="16.5" customHeight="1">
      <c r="B573" s="30">
        <v>68175516</v>
      </c>
      <c r="C573" s="54" t="s">
        <v>737</v>
      </c>
      <c r="D573" s="36" t="s">
        <v>76</v>
      </c>
      <c r="E573" s="30">
        <v>30</v>
      </c>
      <c r="F573" s="30" t="s">
        <v>73</v>
      </c>
      <c r="G573" s="30">
        <f>IF(P573="TL tuyệt đối",K573*103%,K573+1/3*M573)</f>
        <v>30.9</v>
      </c>
      <c r="H573" s="31">
        <f>IF(P573="TL tuyệt đối",K573*101%,K573-1/3*M573)</f>
        <v>29.1</v>
      </c>
      <c r="I573" s="31">
        <f>IF(P573="TL tuyệt đối", K573*105%,K573+M573)</f>
        <v>32.700000000000003</v>
      </c>
      <c r="J573" s="31">
        <f>K573-M573</f>
        <v>27.3</v>
      </c>
      <c r="K573" s="32">
        <f t="shared" si="56"/>
        <v>30</v>
      </c>
      <c r="M573" s="33">
        <f>IF(P573="TL tuyệt đối",0, IF(K573&lt;5,0,IF(K573&lt;50,K573*9%,IF(K573&lt;100,4.5,IF(K573&lt;200,4.5%*K573,IF(K573&lt;300,9,IF(K573&lt;500,K573*3%,IF(K573&lt;1000,15,))))))))</f>
        <v>2.6999999999999997</v>
      </c>
      <c r="N573" s="33">
        <v>4</v>
      </c>
      <c r="P573" s="32"/>
    </row>
    <row r="574" spans="1:16" ht="16.5" customHeight="1">
      <c r="B574" s="30">
        <v>68175512</v>
      </c>
      <c r="C574" s="54" t="s">
        <v>738</v>
      </c>
      <c r="D574" s="36" t="s">
        <v>76</v>
      </c>
      <c r="E574" s="30">
        <v>30</v>
      </c>
      <c r="F574" s="30" t="s">
        <v>73</v>
      </c>
      <c r="G574" s="30">
        <f>IF(P574="TL tuyệt đối",K574*103%,K574+1/3*M574)</f>
        <v>30.9</v>
      </c>
      <c r="H574" s="31">
        <f>IF(P574="TL tuyệt đối",K574*101%,K574-1/3*M574)</f>
        <v>29.1</v>
      </c>
      <c r="I574" s="31">
        <f>IF(P574="TL tuyệt đối", K574*105%,K574+M574)</f>
        <v>32.700000000000003</v>
      </c>
      <c r="J574" s="31">
        <f>K574-M574</f>
        <v>27.3</v>
      </c>
      <c r="K574" s="32">
        <f t="shared" si="56"/>
        <v>30</v>
      </c>
      <c r="M574" s="33">
        <f>IF(P574="TL tuyệt đối",0, IF(K574&lt;5,0,IF(K574&lt;50,K574*9%,IF(K574&lt;100,4.5,IF(K574&lt;200,4.5%*K574,IF(K574&lt;300,9,IF(K574&lt;500,K574*3%,IF(K574&lt;1000,15,))))))))</f>
        <v>2.6999999999999997</v>
      </c>
      <c r="N574" s="33">
        <v>4</v>
      </c>
      <c r="P574" s="32"/>
    </row>
    <row r="575" spans="1:16" ht="16.5" customHeight="1">
      <c r="A575" s="76" t="s">
        <v>693</v>
      </c>
      <c r="B575" s="80">
        <v>68365740</v>
      </c>
      <c r="C575" s="80" t="s">
        <v>739</v>
      </c>
      <c r="D575" s="36" t="s">
        <v>76</v>
      </c>
      <c r="E575" s="30">
        <v>500</v>
      </c>
      <c r="F575" s="30" t="s">
        <v>82</v>
      </c>
      <c r="G575" s="30">
        <f t="shared" ref="G575:G638" si="57">IF(P575="TL tuyệt đối",K575*103%,K575+1/3*M575)</f>
        <v>507.49999999999994</v>
      </c>
      <c r="H575" s="31">
        <f t="shared" ref="H575:H638" si="58">IF(P575="TL tuyệt đối",K575*101%,K575-1/3*M575)</f>
        <v>497.49999999999994</v>
      </c>
      <c r="I575" s="31">
        <f t="shared" ref="I575:I638" si="59">IF(P575="TL tuyệt đối", K575*105%,K575+M575)</f>
        <v>517.5</v>
      </c>
      <c r="J575" s="31">
        <f t="shared" si="54"/>
        <v>487.49999999999994</v>
      </c>
      <c r="K575" s="32">
        <f t="shared" si="56"/>
        <v>502.49999999999994</v>
      </c>
      <c r="L575" s="57">
        <v>1.0049999999999999</v>
      </c>
      <c r="M575" s="33">
        <f t="shared" ref="M575:M634" si="60">IF(P575="TL tuyệt đối",0, IF(K575&lt;5,0,IF(K575&lt;50,K575*9%,IF(K575&lt;100,4.5,IF(K575&lt;200,4.5%*K575,IF(K575&lt;300,9,IF(K575&lt;500,K575*3%,IF(K575&lt;1000,15,))))))))</f>
        <v>15</v>
      </c>
      <c r="N575" s="33">
        <v>63.7</v>
      </c>
      <c r="P575" s="32"/>
    </row>
    <row r="576" spans="1:16" ht="16.5" customHeight="1">
      <c r="A576" s="76" t="s">
        <v>693</v>
      </c>
      <c r="B576" s="80">
        <v>68365742</v>
      </c>
      <c r="C576" s="80" t="s">
        <v>740</v>
      </c>
      <c r="D576" s="36" t="s">
        <v>76</v>
      </c>
      <c r="E576" s="30">
        <v>500</v>
      </c>
      <c r="F576" s="30" t="s">
        <v>82</v>
      </c>
      <c r="G576" s="30">
        <f t="shared" si="57"/>
        <v>507.49999999999994</v>
      </c>
      <c r="H576" s="31">
        <f t="shared" si="58"/>
        <v>497.49999999999994</v>
      </c>
      <c r="I576" s="31">
        <f t="shared" si="59"/>
        <v>517.5</v>
      </c>
      <c r="J576" s="31">
        <f t="shared" si="54"/>
        <v>487.49999999999994</v>
      </c>
      <c r="K576" s="32">
        <f t="shared" si="56"/>
        <v>502.49999999999994</v>
      </c>
      <c r="L576" s="57">
        <v>1.0049999999999999</v>
      </c>
      <c r="M576" s="33">
        <f t="shared" si="60"/>
        <v>15</v>
      </c>
      <c r="N576" s="33">
        <v>63.7</v>
      </c>
      <c r="P576" s="32"/>
    </row>
    <row r="577" spans="1:16" ht="16.5" customHeight="1">
      <c r="B577" s="30">
        <v>68272012</v>
      </c>
      <c r="C577" s="54" t="s">
        <v>741</v>
      </c>
      <c r="D577" s="36" t="s">
        <v>76</v>
      </c>
      <c r="E577" s="30">
        <v>80</v>
      </c>
      <c r="F577" s="30" t="s">
        <v>73</v>
      </c>
      <c r="G577" s="30">
        <f t="shared" si="57"/>
        <v>81.5</v>
      </c>
      <c r="H577" s="31">
        <f t="shared" si="58"/>
        <v>78.5</v>
      </c>
      <c r="I577" s="31">
        <f t="shared" si="59"/>
        <v>84.5</v>
      </c>
      <c r="J577" s="31">
        <f t="shared" si="54"/>
        <v>75.5</v>
      </c>
      <c r="K577" s="32">
        <f t="shared" si="56"/>
        <v>80</v>
      </c>
      <c r="M577" s="33">
        <f t="shared" si="60"/>
        <v>4.5</v>
      </c>
      <c r="N577" s="33">
        <v>6</v>
      </c>
      <c r="P577" s="32"/>
    </row>
    <row r="578" spans="1:16" ht="16.5" customHeight="1">
      <c r="B578" s="30">
        <v>67821596</v>
      </c>
      <c r="C578" s="54" t="s">
        <v>742</v>
      </c>
      <c r="D578" s="36" t="s">
        <v>262</v>
      </c>
      <c r="E578" s="30">
        <v>60</v>
      </c>
      <c r="F578" s="30" t="s">
        <v>73</v>
      </c>
      <c r="G578" s="30">
        <f t="shared" si="57"/>
        <v>61.5</v>
      </c>
      <c r="H578" s="31">
        <f t="shared" si="58"/>
        <v>58.5</v>
      </c>
      <c r="I578" s="31">
        <f t="shared" si="59"/>
        <v>64.5</v>
      </c>
      <c r="J578" s="31">
        <f t="shared" si="54"/>
        <v>55.5</v>
      </c>
      <c r="K578" s="32">
        <f t="shared" si="56"/>
        <v>60</v>
      </c>
      <c r="M578" s="33">
        <f t="shared" si="60"/>
        <v>4.5</v>
      </c>
      <c r="N578" s="33">
        <v>4.5999999999999996</v>
      </c>
      <c r="P578" s="32"/>
    </row>
    <row r="579" spans="1:16" ht="16.5" customHeight="1">
      <c r="B579" s="30">
        <v>68302838</v>
      </c>
      <c r="C579" s="54" t="s">
        <v>743</v>
      </c>
      <c r="D579" s="36" t="s">
        <v>516</v>
      </c>
      <c r="E579" s="30">
        <v>175</v>
      </c>
      <c r="F579" s="30" t="s">
        <v>73</v>
      </c>
      <c r="G579" s="30">
        <f t="shared" si="57"/>
        <v>177.625</v>
      </c>
      <c r="H579" s="31">
        <f t="shared" si="58"/>
        <v>172.375</v>
      </c>
      <c r="I579" s="31">
        <f t="shared" si="59"/>
        <v>182.875</v>
      </c>
      <c r="J579" s="31">
        <f t="shared" ref="J579:J642" si="61">K579-M579</f>
        <v>167.125</v>
      </c>
      <c r="K579" s="32">
        <f t="shared" si="56"/>
        <v>175</v>
      </c>
      <c r="M579" s="33">
        <f t="shared" si="60"/>
        <v>7.875</v>
      </c>
      <c r="N579" s="33">
        <v>7.3</v>
      </c>
      <c r="P579" s="32"/>
    </row>
    <row r="580" spans="1:16" ht="16.5" customHeight="1">
      <c r="B580" s="30">
        <v>68302836</v>
      </c>
      <c r="C580" s="54" t="s">
        <v>744</v>
      </c>
      <c r="D580" s="36" t="s">
        <v>516</v>
      </c>
      <c r="E580" s="30">
        <v>175</v>
      </c>
      <c r="F580" s="30" t="s">
        <v>73</v>
      </c>
      <c r="G580" s="30">
        <f>IF(P580="TL tuyệt đối",K580*103%,K580+1/3*M580)</f>
        <v>177.625</v>
      </c>
      <c r="H580" s="31">
        <f>IF(P580="TL tuyệt đối",K580*101%,K580-1/3*M580)</f>
        <v>172.375</v>
      </c>
      <c r="I580" s="31">
        <f>IF(P580="TL tuyệt đối", K580*105%,K580+M580)</f>
        <v>182.875</v>
      </c>
      <c r="J580" s="31">
        <f>K580-M580</f>
        <v>167.125</v>
      </c>
      <c r="K580" s="32">
        <f t="shared" si="56"/>
        <v>175</v>
      </c>
      <c r="M580" s="33">
        <f>IF(P580="TL tuyệt đối",0, IF(K580&lt;5,0,IF(K580&lt;50,K580*9%,IF(K580&lt;100,4.5,IF(K580&lt;200,4.5%*K580,IF(K580&lt;300,9,IF(K580&lt;500,K580*3%,IF(K580&lt;1000,15,))))))))</f>
        <v>7.875</v>
      </c>
      <c r="N580" s="33">
        <v>8.1999999999999993</v>
      </c>
      <c r="P580" s="32"/>
    </row>
    <row r="581" spans="1:16" ht="16.5" customHeight="1">
      <c r="A581" s="76" t="s">
        <v>745</v>
      </c>
      <c r="B581" s="50">
        <v>68405310</v>
      </c>
      <c r="C581" s="76" t="s">
        <v>746</v>
      </c>
      <c r="D581" s="36" t="s">
        <v>76</v>
      </c>
      <c r="E581" s="30">
        <v>500</v>
      </c>
      <c r="F581" s="30" t="s">
        <v>82</v>
      </c>
      <c r="G581" s="30">
        <f t="shared" si="57"/>
        <v>510</v>
      </c>
      <c r="H581" s="31">
        <f t="shared" si="58"/>
        <v>500</v>
      </c>
      <c r="I581" s="31">
        <f t="shared" si="59"/>
        <v>520</v>
      </c>
      <c r="J581" s="31">
        <f t="shared" si="61"/>
        <v>490</v>
      </c>
      <c r="K581" s="32">
        <f t="shared" si="56"/>
        <v>505</v>
      </c>
      <c r="L581" s="57">
        <v>1.01</v>
      </c>
      <c r="M581" s="33">
        <f t="shared" si="60"/>
        <v>15</v>
      </c>
      <c r="N581" s="33">
        <v>56.3</v>
      </c>
    </row>
    <row r="582" spans="1:16" ht="16.5" customHeight="1">
      <c r="B582" s="30">
        <v>67898545</v>
      </c>
      <c r="C582" s="54" t="s">
        <v>747</v>
      </c>
      <c r="D582" s="13" t="s">
        <v>748</v>
      </c>
      <c r="E582" s="30">
        <v>100</v>
      </c>
      <c r="F582" s="30" t="s">
        <v>82</v>
      </c>
      <c r="G582" s="30">
        <f t="shared" si="57"/>
        <v>154.28</v>
      </c>
      <c r="H582" s="31">
        <f t="shared" si="58"/>
        <v>149.72</v>
      </c>
      <c r="I582" s="31">
        <f t="shared" si="59"/>
        <v>158.84</v>
      </c>
      <c r="J582" s="31">
        <f t="shared" si="61"/>
        <v>145.16</v>
      </c>
      <c r="K582" s="32">
        <f t="shared" si="56"/>
        <v>152</v>
      </c>
      <c r="L582" s="57">
        <v>1.52</v>
      </c>
      <c r="M582" s="33">
        <f t="shared" si="60"/>
        <v>6.84</v>
      </c>
      <c r="N582" s="33">
        <v>7</v>
      </c>
    </row>
    <row r="583" spans="1:16" ht="16.5" customHeight="1">
      <c r="B583" s="30">
        <v>67898547</v>
      </c>
      <c r="C583" s="54" t="s">
        <v>749</v>
      </c>
      <c r="D583" s="13" t="s">
        <v>748</v>
      </c>
      <c r="E583" s="30">
        <v>50</v>
      </c>
      <c r="F583" s="30" t="s">
        <v>82</v>
      </c>
      <c r="G583" s="30">
        <f t="shared" si="57"/>
        <v>77.5</v>
      </c>
      <c r="H583" s="31">
        <f t="shared" si="58"/>
        <v>74.5</v>
      </c>
      <c r="I583" s="31">
        <f t="shared" si="59"/>
        <v>80.5</v>
      </c>
      <c r="J583" s="31">
        <f t="shared" si="61"/>
        <v>71.5</v>
      </c>
      <c r="K583" s="32">
        <f t="shared" si="56"/>
        <v>76</v>
      </c>
      <c r="L583" s="57">
        <v>1.52</v>
      </c>
      <c r="M583" s="33">
        <f t="shared" si="60"/>
        <v>4.5</v>
      </c>
      <c r="N583" s="33">
        <v>4.5999999999999996</v>
      </c>
    </row>
    <row r="584" spans="1:16" ht="16.5" customHeight="1">
      <c r="B584" s="30">
        <v>68181860</v>
      </c>
      <c r="C584" s="54" t="s">
        <v>750</v>
      </c>
      <c r="D584" s="36" t="s">
        <v>76</v>
      </c>
      <c r="E584" s="30">
        <v>30</v>
      </c>
      <c r="F584" s="30" t="s">
        <v>73</v>
      </c>
      <c r="G584" s="30">
        <f t="shared" si="57"/>
        <v>30.9</v>
      </c>
      <c r="H584" s="31">
        <f t="shared" si="58"/>
        <v>29.1</v>
      </c>
      <c r="I584" s="31">
        <f t="shared" si="59"/>
        <v>32.700000000000003</v>
      </c>
      <c r="J584" s="31">
        <f t="shared" si="61"/>
        <v>27.3</v>
      </c>
      <c r="K584" s="32">
        <f t="shared" si="56"/>
        <v>30</v>
      </c>
      <c r="M584" s="33">
        <f t="shared" si="60"/>
        <v>2.6999999999999997</v>
      </c>
      <c r="N584" s="33">
        <v>4</v>
      </c>
      <c r="P584" s="32"/>
    </row>
    <row r="585" spans="1:16" ht="16.5" customHeight="1">
      <c r="B585" s="30">
        <v>68506154</v>
      </c>
      <c r="C585" s="54" t="s">
        <v>751</v>
      </c>
      <c r="D585" s="36" t="s">
        <v>76</v>
      </c>
      <c r="E585" s="30">
        <v>180</v>
      </c>
      <c r="F585" s="30" t="s">
        <v>73</v>
      </c>
      <c r="G585" s="30">
        <f t="shared" si="57"/>
        <v>182.7</v>
      </c>
      <c r="H585" s="31">
        <f t="shared" si="58"/>
        <v>177.3</v>
      </c>
      <c r="I585" s="31">
        <f t="shared" si="59"/>
        <v>188.1</v>
      </c>
      <c r="J585" s="31">
        <f t="shared" si="61"/>
        <v>171.9</v>
      </c>
      <c r="K585" s="32">
        <f t="shared" si="56"/>
        <v>180</v>
      </c>
      <c r="M585" s="33">
        <f t="shared" si="60"/>
        <v>8.1</v>
      </c>
      <c r="N585" s="33">
        <v>7.4</v>
      </c>
    </row>
    <row r="586" spans="1:16" ht="16.5" customHeight="1">
      <c r="B586" s="30">
        <v>68506156</v>
      </c>
      <c r="C586" s="54" t="s">
        <v>752</v>
      </c>
      <c r="D586" s="36" t="s">
        <v>76</v>
      </c>
      <c r="E586" s="30">
        <v>180</v>
      </c>
      <c r="F586" s="30" t="s">
        <v>73</v>
      </c>
      <c r="G586" s="30">
        <f t="shared" si="57"/>
        <v>182.7</v>
      </c>
      <c r="H586" s="31">
        <f t="shared" si="58"/>
        <v>177.3</v>
      </c>
      <c r="I586" s="31">
        <f t="shared" si="59"/>
        <v>188.1</v>
      </c>
      <c r="J586" s="31">
        <f t="shared" si="61"/>
        <v>171.9</v>
      </c>
      <c r="K586" s="32">
        <f t="shared" si="56"/>
        <v>180</v>
      </c>
      <c r="M586" s="33">
        <f t="shared" si="60"/>
        <v>8.1</v>
      </c>
      <c r="N586" s="33">
        <v>7.4</v>
      </c>
    </row>
    <row r="587" spans="1:16" ht="16.5" customHeight="1">
      <c r="B587" s="30">
        <v>68490914</v>
      </c>
      <c r="C587" s="54" t="s">
        <v>753</v>
      </c>
      <c r="D587" s="36" t="s">
        <v>76</v>
      </c>
      <c r="E587" s="30">
        <v>180</v>
      </c>
      <c r="F587" s="30" t="s">
        <v>73</v>
      </c>
      <c r="G587" s="30">
        <f t="shared" si="57"/>
        <v>182.7</v>
      </c>
      <c r="H587" s="31">
        <f t="shared" si="58"/>
        <v>177.3</v>
      </c>
      <c r="I587" s="31">
        <f t="shared" si="59"/>
        <v>188.1</v>
      </c>
      <c r="J587" s="31">
        <f t="shared" si="61"/>
        <v>171.9</v>
      </c>
      <c r="K587" s="32">
        <f t="shared" si="56"/>
        <v>180</v>
      </c>
      <c r="M587" s="33">
        <f t="shared" si="60"/>
        <v>8.1</v>
      </c>
      <c r="N587" s="33">
        <v>7.4</v>
      </c>
      <c r="P587" s="32"/>
    </row>
    <row r="588" spans="1:16" ht="16.5" customHeight="1">
      <c r="B588" s="30">
        <v>68490910</v>
      </c>
      <c r="C588" s="54" t="s">
        <v>754</v>
      </c>
      <c r="D588" s="36" t="s">
        <v>76</v>
      </c>
      <c r="E588" s="30">
        <v>180</v>
      </c>
      <c r="F588" s="30" t="s">
        <v>73</v>
      </c>
      <c r="G588" s="30">
        <f>IF(P588="TL tuyệt đối",K588*103%,K588+1/3*M588)</f>
        <v>182.7</v>
      </c>
      <c r="H588" s="31">
        <f>IF(P588="TL tuyệt đối",K588*101%,K588-1/3*M588)</f>
        <v>177.3</v>
      </c>
      <c r="I588" s="31">
        <f>IF(P588="TL tuyệt đối", K588*105%,K588+M588)</f>
        <v>188.1</v>
      </c>
      <c r="J588" s="31">
        <f>K588-M588</f>
        <v>171.9</v>
      </c>
      <c r="K588" s="32">
        <f t="shared" si="56"/>
        <v>180</v>
      </c>
      <c r="M588" s="33">
        <f>IF(P588="TL tuyệt đối",0, IF(K588&lt;5,0,IF(K588&lt;50,K588*9%,IF(K588&lt;100,4.5,IF(K588&lt;200,4.5%*K588,IF(K588&lt;300,9,IF(K588&lt;500,K588*3%,IF(K588&lt;1000,15,))))))))</f>
        <v>8.1</v>
      </c>
      <c r="N588" s="33">
        <v>7.4</v>
      </c>
    </row>
    <row r="589" spans="1:16" ht="16.5" customHeight="1">
      <c r="B589" s="30">
        <v>68367598</v>
      </c>
      <c r="C589" s="54" t="s">
        <v>755</v>
      </c>
      <c r="D589" s="13" t="s">
        <v>81</v>
      </c>
      <c r="E589" s="30">
        <v>140</v>
      </c>
      <c r="F589" s="29" t="s">
        <v>73</v>
      </c>
      <c r="G589" s="30">
        <f>IF(P589="TL tuyệt đối",K589*103%,K589+1/3*M589)</f>
        <v>142.1</v>
      </c>
      <c r="H589" s="31">
        <f>IF(P589="TL tuyệt đối",K589*101%,K589-1/3*M589)</f>
        <v>137.9</v>
      </c>
      <c r="I589" s="31">
        <f>IF(P589="TL tuyệt đối", K589*105%,K589+M589)</f>
        <v>146.30000000000001</v>
      </c>
      <c r="J589" s="31">
        <f>K589-M589</f>
        <v>133.69999999999999</v>
      </c>
      <c r="K589" s="32">
        <f t="shared" si="56"/>
        <v>140</v>
      </c>
      <c r="M589" s="33">
        <f>IF(P589="TL tuyệt đối",0, IF(K589&lt;5,0,IF(K589&lt;50,K589*9%,IF(K589&lt;100,4.5,IF(K589&lt;200,4.5%*K589,IF(K589&lt;300,9,IF(K589&lt;500,K589*3%,IF(K589&lt;1000,15,))))))))</f>
        <v>6.3</v>
      </c>
      <c r="N589" s="33">
        <v>6.5</v>
      </c>
    </row>
    <row r="590" spans="1:16" ht="16.5" customHeight="1">
      <c r="B590" s="30">
        <v>67855434</v>
      </c>
      <c r="C590" s="54" t="s">
        <v>756</v>
      </c>
      <c r="D590" s="13" t="s">
        <v>430</v>
      </c>
      <c r="E590" s="30">
        <v>140</v>
      </c>
      <c r="F590" s="29" t="s">
        <v>73</v>
      </c>
      <c r="G590" s="30">
        <f>IF(P590="TL tuyệt đối",K590*103%,K590+1/3*M590)</f>
        <v>142.1</v>
      </c>
      <c r="H590" s="31">
        <f>IF(P590="TL tuyệt đối",K590*101%,K590-1/3*M590)</f>
        <v>137.9</v>
      </c>
      <c r="I590" s="31">
        <f>IF(P590="TL tuyệt đối", K590*105%,K590+M590)</f>
        <v>146.30000000000001</v>
      </c>
      <c r="J590" s="31">
        <f>K590-M590</f>
        <v>133.69999999999999</v>
      </c>
      <c r="K590" s="32">
        <f t="shared" si="56"/>
        <v>140</v>
      </c>
      <c r="M590" s="33">
        <f>IF(P590="TL tuyệt đối",0, IF(K590&lt;5,0,IF(K590&lt;50,K590*9%,IF(K590&lt;100,4.5,IF(K590&lt;200,4.5%*K590,IF(K590&lt;300,9,IF(K590&lt;500,K590*3%,IF(K590&lt;1000,15,))))))))</f>
        <v>6.3</v>
      </c>
      <c r="N590" s="33">
        <v>6.3</v>
      </c>
      <c r="P590" s="32"/>
    </row>
    <row r="591" spans="1:16" ht="16.5" customHeight="1">
      <c r="B591" s="30">
        <v>68569395</v>
      </c>
      <c r="C591" s="54" t="s">
        <v>757</v>
      </c>
      <c r="D591" s="36" t="s">
        <v>76</v>
      </c>
      <c r="E591" s="30">
        <v>190</v>
      </c>
      <c r="F591" s="30" t="s">
        <v>73</v>
      </c>
      <c r="G591" s="30">
        <f>IF(P591="TL tuyệt đối",K591*103%,K591+1/3*M591)</f>
        <v>192.85</v>
      </c>
      <c r="H591" s="31">
        <f>IF(P591="TL tuyệt đối",K591*101%,K591-1/3*M591)</f>
        <v>187.15</v>
      </c>
      <c r="I591" s="31">
        <f>IF(P591="TL tuyệt đối", K591*105%,K591+M591)</f>
        <v>198.55</v>
      </c>
      <c r="J591" s="31">
        <f>K591-M591</f>
        <v>181.45</v>
      </c>
      <c r="K591" s="32">
        <f>IF(F591="ml",E591*L591,E591)</f>
        <v>190</v>
      </c>
      <c r="M591" s="33">
        <f>IF(P591="TL tuyệt đối",0, IF(K591&lt;5,0,IF(K591&lt;50,K591*9%,IF(K591&lt;100,4.5,IF(K591&lt;200,4.5%*K591,IF(K591&lt;300,9,IF(K591&lt;500,K591*3%,IF(K591&lt;1000,15,))))))))</f>
        <v>8.5499999999999989</v>
      </c>
      <c r="N591" s="33">
        <v>8.1999999999999993</v>
      </c>
    </row>
    <row r="592" spans="1:16" ht="16.5" customHeight="1">
      <c r="B592" s="30">
        <v>68582943</v>
      </c>
      <c r="C592" s="54" t="s">
        <v>758</v>
      </c>
      <c r="D592" s="13" t="s">
        <v>759</v>
      </c>
      <c r="E592" s="30">
        <v>152</v>
      </c>
      <c r="F592" s="30" t="s">
        <v>73</v>
      </c>
      <c r="G592" s="30">
        <f t="shared" si="57"/>
        <v>154.28</v>
      </c>
      <c r="H592" s="31">
        <f t="shared" si="58"/>
        <v>149.72</v>
      </c>
      <c r="I592" s="31">
        <f t="shared" si="59"/>
        <v>158.84</v>
      </c>
      <c r="J592" s="31">
        <f t="shared" si="61"/>
        <v>145.16</v>
      </c>
      <c r="K592" s="32">
        <f t="shared" si="56"/>
        <v>152</v>
      </c>
      <c r="M592" s="33">
        <f t="shared" si="60"/>
        <v>6.84</v>
      </c>
      <c r="N592" s="33">
        <v>6.8</v>
      </c>
    </row>
    <row r="593" spans="2:14" ht="16.5" customHeight="1">
      <c r="B593" s="30">
        <v>68568642</v>
      </c>
      <c r="C593" s="54" t="s">
        <v>760</v>
      </c>
      <c r="D593" s="36" t="s">
        <v>76</v>
      </c>
      <c r="E593" s="30">
        <v>190</v>
      </c>
      <c r="F593" s="30" t="s">
        <v>73</v>
      </c>
      <c r="G593" s="30">
        <f>IF(P593="TL tuyệt đối",K593*103%,K593+1/3*M593)</f>
        <v>192.85</v>
      </c>
      <c r="H593" s="31">
        <f>IF(P593="TL tuyệt đối",K593*101%,K593-1/3*M593)</f>
        <v>187.15</v>
      </c>
      <c r="I593" s="31">
        <f>IF(P593="TL tuyệt đối", K593*105%,K593+M593)</f>
        <v>198.55</v>
      </c>
      <c r="J593" s="31">
        <f>K593-M593</f>
        <v>181.45</v>
      </c>
      <c r="K593" s="32">
        <f t="shared" si="56"/>
        <v>190</v>
      </c>
      <c r="M593" s="33">
        <f>IF(P593="TL tuyệt đối",0, IF(K593&lt;5,0,IF(K593&lt;50,K593*9%,IF(K593&lt;100,4.5,IF(K593&lt;200,4.5%*K593,IF(K593&lt;300,9,IF(K593&lt;500,K593*3%,IF(K593&lt;1000,15,))))))))</f>
        <v>8.5499999999999989</v>
      </c>
      <c r="N593" s="33">
        <v>8.1999999999999993</v>
      </c>
    </row>
    <row r="594" spans="2:14" ht="16.5" customHeight="1">
      <c r="B594" s="30">
        <v>68582941</v>
      </c>
      <c r="C594" s="54" t="s">
        <v>761</v>
      </c>
      <c r="D594" s="13" t="s">
        <v>759</v>
      </c>
      <c r="E594" s="30">
        <v>152</v>
      </c>
      <c r="F594" s="30" t="s">
        <v>73</v>
      </c>
      <c r="G594" s="30">
        <f>IF(P594="TL tuyệt đối",K594*103%,K594+1/3*M594)</f>
        <v>154.28</v>
      </c>
      <c r="H594" s="31">
        <f>IF(P594="TL tuyệt đối",K594*101%,K594-1/3*M594)</f>
        <v>149.72</v>
      </c>
      <c r="I594" s="31">
        <f>IF(P594="TL tuyệt đối", K594*105%,K594+M594)</f>
        <v>158.84</v>
      </c>
      <c r="J594" s="31">
        <f>K594-M594</f>
        <v>145.16</v>
      </c>
      <c r="K594" s="32">
        <f>IF(F594="ml",E594*L594,E594)</f>
        <v>152</v>
      </c>
      <c r="M594" s="33">
        <f>IF(P594="TL tuyệt đối",0, IF(K594&lt;5,0,IF(K594&lt;50,K594*9%,IF(K594&lt;100,4.5,IF(K594&lt;200,4.5%*K594,IF(K594&lt;300,9,IF(K594&lt;500,K594*3%,IF(K594&lt;1000,15,))))))))</f>
        <v>6.84</v>
      </c>
      <c r="N594" s="33">
        <v>6.8</v>
      </c>
    </row>
    <row r="595" spans="2:14" ht="16.5" customHeight="1">
      <c r="B595" s="30">
        <v>68582945</v>
      </c>
      <c r="C595" s="54" t="s">
        <v>762</v>
      </c>
      <c r="D595" s="13" t="s">
        <v>759</v>
      </c>
      <c r="E595" s="30">
        <v>154</v>
      </c>
      <c r="F595" s="30" t="s">
        <v>73</v>
      </c>
      <c r="G595" s="30">
        <f>IF(P595="TL tuyệt đối",K595*103%,K595+1/3*M595)</f>
        <v>156.31</v>
      </c>
      <c r="H595" s="31">
        <f>IF(P595="TL tuyệt đối",K595*101%,K595-1/3*M595)</f>
        <v>151.69</v>
      </c>
      <c r="I595" s="31">
        <f>IF(P595="TL tuyệt đối", K595*105%,K595+M595)</f>
        <v>160.93</v>
      </c>
      <c r="J595" s="31">
        <f>K595-M595</f>
        <v>147.07</v>
      </c>
      <c r="K595" s="32">
        <v>154</v>
      </c>
      <c r="M595" s="33">
        <f>IF(P595="TL tuyệt đối",0, IF(K595&lt;5,0,IF(K595&lt;50,K595*9%,IF(K595&lt;100,4.5,IF(K595&lt;200,4.5%*K595,IF(K595&lt;300,9,IF(K595&lt;500,K595*3%,IF(K595&lt;1000,15,))))))))</f>
        <v>6.93</v>
      </c>
      <c r="N595" s="33">
        <v>6.8</v>
      </c>
    </row>
    <row r="596" spans="2:14" ht="16.5" customHeight="1">
      <c r="B596" s="30">
        <v>68486099</v>
      </c>
      <c r="C596" s="54" t="s">
        <v>763</v>
      </c>
      <c r="D596" s="13" t="s">
        <v>764</v>
      </c>
      <c r="E596" s="30">
        <v>65</v>
      </c>
      <c r="F596" s="30" t="s">
        <v>73</v>
      </c>
      <c r="G596" s="30">
        <f>IF(P596="TL tuyệt đối",K596*103%,K596+1/3*M596)</f>
        <v>66.5</v>
      </c>
      <c r="H596" s="31">
        <f>IF(P596="TL tuyệt đối",K596*101%,K596-1/3*M596)</f>
        <v>63.5</v>
      </c>
      <c r="I596" s="31">
        <f>IF(P596="TL tuyệt đối", K596*105%,K596+M596)</f>
        <v>69.5</v>
      </c>
      <c r="J596" s="31">
        <f>K596-M596</f>
        <v>60.5</v>
      </c>
      <c r="K596" s="32">
        <f>IF(F596="ml",E596*L596,E596)</f>
        <v>65</v>
      </c>
      <c r="M596" s="33">
        <f>IF(P596="TL tuyệt đối",0, IF(K596&lt;5,0,IF(K596&lt;50,K596*9%,IF(K596&lt;100,4.5,IF(K596&lt;200,4.5%*K596,IF(K596&lt;300,9,IF(K596&lt;500,K596*3%,IF(K596&lt;1000,15,))))))))</f>
        <v>4.5</v>
      </c>
      <c r="N596" s="33">
        <v>4.5999999999999996</v>
      </c>
    </row>
    <row r="597" spans="2:14" ht="16.5" customHeight="1">
      <c r="B597" s="30">
        <v>68573683</v>
      </c>
      <c r="C597" s="54" t="s">
        <v>765</v>
      </c>
      <c r="D597" s="13" t="s">
        <v>262</v>
      </c>
      <c r="E597" s="30">
        <v>160</v>
      </c>
      <c r="F597" s="30" t="s">
        <v>73</v>
      </c>
      <c r="G597" s="30">
        <f t="shared" si="57"/>
        <v>162.4</v>
      </c>
      <c r="H597" s="31">
        <f t="shared" si="58"/>
        <v>157.6</v>
      </c>
      <c r="I597" s="31">
        <f t="shared" si="59"/>
        <v>167.2</v>
      </c>
      <c r="J597" s="31">
        <f t="shared" si="61"/>
        <v>152.80000000000001</v>
      </c>
      <c r="K597" s="32">
        <f t="shared" ref="K597:K660" si="62">IF(F597="ml",E597*L597,E597)</f>
        <v>160</v>
      </c>
      <c r="M597" s="33">
        <f t="shared" si="60"/>
        <v>7.1999999999999993</v>
      </c>
      <c r="N597" s="33">
        <v>7.6</v>
      </c>
    </row>
    <row r="598" spans="2:14" ht="16.5" customHeight="1">
      <c r="B598" s="81">
        <v>68274019</v>
      </c>
      <c r="C598" s="82" t="s">
        <v>766</v>
      </c>
      <c r="D598" s="13" t="s">
        <v>767</v>
      </c>
      <c r="E598" s="30">
        <v>140</v>
      </c>
      <c r="F598" s="29" t="s">
        <v>73</v>
      </c>
      <c r="G598" s="30">
        <f t="shared" si="57"/>
        <v>142.1</v>
      </c>
      <c r="H598" s="31">
        <f t="shared" si="58"/>
        <v>137.9</v>
      </c>
      <c r="I598" s="31">
        <f t="shared" si="59"/>
        <v>146.30000000000001</v>
      </c>
      <c r="J598" s="31">
        <f t="shared" si="61"/>
        <v>133.69999999999999</v>
      </c>
      <c r="K598" s="32">
        <f t="shared" si="62"/>
        <v>140</v>
      </c>
      <c r="M598" s="33">
        <f>IF(P598="TL tuyệt đối",0, IF(K598&lt;5,0,IF(K598&lt;50,K598*9%,IF(K598&lt;100,4.5,IF(K598&lt;200,4.5%*K598,IF(K598&lt;300,9,IF(K598&lt;500,K598*3%,IF(K598&lt;1000,15,))))))))</f>
        <v>6.3</v>
      </c>
      <c r="N598" s="33">
        <v>7.2</v>
      </c>
    </row>
    <row r="599" spans="2:14" ht="16.5" customHeight="1">
      <c r="B599" s="30">
        <v>68274017</v>
      </c>
      <c r="C599" s="54" t="s">
        <v>768</v>
      </c>
      <c r="D599" s="13" t="s">
        <v>767</v>
      </c>
      <c r="E599" s="30">
        <v>140</v>
      </c>
      <c r="F599" s="29" t="s">
        <v>73</v>
      </c>
      <c r="G599" s="30">
        <f t="shared" si="57"/>
        <v>142.1</v>
      </c>
      <c r="H599" s="31">
        <f t="shared" si="58"/>
        <v>137.9</v>
      </c>
      <c r="I599" s="31">
        <f t="shared" si="59"/>
        <v>146.30000000000001</v>
      </c>
      <c r="J599" s="31">
        <f t="shared" si="61"/>
        <v>133.69999999999999</v>
      </c>
      <c r="K599" s="32">
        <f>IF(F599="ml",E599*L599,E599)</f>
        <v>140</v>
      </c>
      <c r="M599" s="33">
        <f>IF(P599="TL tuyệt đối",0, IF(K599&lt;5,0,IF(K599&lt;50,K599*9%,IF(K599&lt;100,4.5,IF(K599&lt;200,4.5%*K599,IF(K599&lt;300,9,IF(K599&lt;500,K599*3%,IF(K599&lt;1000,15,))))))))</f>
        <v>6.3</v>
      </c>
      <c r="N599" s="33">
        <v>7</v>
      </c>
    </row>
    <row r="600" spans="2:14" ht="16.5" customHeight="1">
      <c r="B600" s="30">
        <v>68609973</v>
      </c>
      <c r="C600" s="54" t="s">
        <v>769</v>
      </c>
      <c r="D600" s="36" t="s">
        <v>76</v>
      </c>
      <c r="E600" s="30">
        <v>180</v>
      </c>
      <c r="F600" s="30" t="s">
        <v>73</v>
      </c>
      <c r="G600" s="30">
        <f t="shared" si="57"/>
        <v>182.7</v>
      </c>
      <c r="H600" s="31">
        <f t="shared" si="58"/>
        <v>177.3</v>
      </c>
      <c r="I600" s="31">
        <f t="shared" si="59"/>
        <v>188.1</v>
      </c>
      <c r="J600" s="31">
        <f t="shared" si="61"/>
        <v>171.9</v>
      </c>
      <c r="K600" s="32">
        <f>IF(F600="ml",E600*L600,E600)</f>
        <v>180</v>
      </c>
      <c r="M600" s="33">
        <f t="shared" si="60"/>
        <v>8.1</v>
      </c>
      <c r="N600" s="33">
        <v>7.4</v>
      </c>
    </row>
    <row r="601" spans="2:14" ht="16.5" customHeight="1">
      <c r="B601" s="30">
        <v>68587557</v>
      </c>
      <c r="C601" s="54" t="s">
        <v>770</v>
      </c>
      <c r="D601" s="36" t="s">
        <v>76</v>
      </c>
      <c r="E601" s="30">
        <v>180</v>
      </c>
      <c r="F601" s="30" t="s">
        <v>73</v>
      </c>
      <c r="G601" s="30">
        <f t="shared" si="57"/>
        <v>182.7</v>
      </c>
      <c r="H601" s="31">
        <f t="shared" si="58"/>
        <v>177.3</v>
      </c>
      <c r="I601" s="31">
        <f t="shared" si="59"/>
        <v>188.1</v>
      </c>
      <c r="J601" s="31">
        <f t="shared" si="61"/>
        <v>171.9</v>
      </c>
      <c r="K601" s="32">
        <f>IF(F601="ml",E601*L601,E601)</f>
        <v>180</v>
      </c>
      <c r="M601" s="33">
        <f t="shared" si="60"/>
        <v>8.1</v>
      </c>
      <c r="N601" s="33">
        <v>7.4</v>
      </c>
    </row>
    <row r="602" spans="2:14" ht="16.5" customHeight="1">
      <c r="B602" s="30">
        <v>68274021</v>
      </c>
      <c r="C602" s="54" t="s">
        <v>771</v>
      </c>
      <c r="D602" s="13" t="s">
        <v>81</v>
      </c>
      <c r="E602" s="30">
        <v>60</v>
      </c>
      <c r="F602" s="30" t="s">
        <v>73</v>
      </c>
      <c r="G602" s="30">
        <f t="shared" si="57"/>
        <v>61.5</v>
      </c>
      <c r="H602" s="31">
        <f t="shared" si="58"/>
        <v>58.5</v>
      </c>
      <c r="I602" s="31">
        <f t="shared" si="59"/>
        <v>64.5</v>
      </c>
      <c r="J602" s="31">
        <f t="shared" si="61"/>
        <v>55.5</v>
      </c>
      <c r="K602" s="32">
        <f>IF(F602="ml",E602*L602,E602)</f>
        <v>60</v>
      </c>
      <c r="M602" s="33">
        <f t="shared" si="60"/>
        <v>4.5</v>
      </c>
      <c r="N602" s="33">
        <v>4.5999999999999996</v>
      </c>
    </row>
    <row r="603" spans="2:14" ht="16.5" customHeight="1">
      <c r="B603" s="30">
        <v>68609967</v>
      </c>
      <c r="C603" s="54" t="s">
        <v>772</v>
      </c>
      <c r="D603" s="36" t="s">
        <v>76</v>
      </c>
      <c r="E603" s="30">
        <v>180</v>
      </c>
      <c r="F603" s="30" t="s">
        <v>73</v>
      </c>
      <c r="G603" s="30">
        <f t="shared" si="57"/>
        <v>182.7</v>
      </c>
      <c r="H603" s="31">
        <f t="shared" si="58"/>
        <v>177.3</v>
      </c>
      <c r="I603" s="31">
        <f t="shared" si="59"/>
        <v>188.1</v>
      </c>
      <c r="J603" s="31">
        <f t="shared" si="61"/>
        <v>171.9</v>
      </c>
      <c r="K603" s="32">
        <f>IF(F603="ml",E603*L603,E603)</f>
        <v>180</v>
      </c>
      <c r="M603" s="33">
        <f t="shared" si="60"/>
        <v>8.1</v>
      </c>
      <c r="N603" s="33">
        <v>7.4</v>
      </c>
    </row>
    <row r="604" spans="2:14" ht="16.5" customHeight="1">
      <c r="B604" s="30">
        <v>68587557</v>
      </c>
      <c r="C604" s="54" t="s">
        <v>770</v>
      </c>
      <c r="D604" s="36" t="s">
        <v>76</v>
      </c>
      <c r="E604" s="30">
        <v>180</v>
      </c>
      <c r="F604" s="30" t="s">
        <v>73</v>
      </c>
      <c r="G604" s="30">
        <f t="shared" si="57"/>
        <v>182.7</v>
      </c>
      <c r="H604" s="31">
        <f t="shared" si="58"/>
        <v>177.3</v>
      </c>
      <c r="I604" s="31">
        <f t="shared" si="59"/>
        <v>188.1</v>
      </c>
      <c r="J604" s="31">
        <f t="shared" si="61"/>
        <v>171.9</v>
      </c>
      <c r="K604" s="32">
        <f t="shared" si="62"/>
        <v>180</v>
      </c>
      <c r="M604" s="33">
        <f t="shared" si="60"/>
        <v>8.1</v>
      </c>
      <c r="N604" s="33">
        <v>7.4</v>
      </c>
    </row>
    <row r="605" spans="2:14" ht="16.5" customHeight="1">
      <c r="B605" s="83">
        <v>68609971</v>
      </c>
      <c r="C605" s="54" t="s">
        <v>773</v>
      </c>
      <c r="D605" s="36" t="s">
        <v>76</v>
      </c>
      <c r="E605" s="30">
        <v>180</v>
      </c>
      <c r="F605" s="30" t="s">
        <v>73</v>
      </c>
      <c r="G605" s="30">
        <f t="shared" si="57"/>
        <v>182.7</v>
      </c>
      <c r="H605" s="31">
        <f t="shared" si="58"/>
        <v>177.3</v>
      </c>
      <c r="I605" s="31">
        <f t="shared" si="59"/>
        <v>188.1</v>
      </c>
      <c r="J605" s="31">
        <f t="shared" si="61"/>
        <v>171.9</v>
      </c>
      <c r="K605" s="32">
        <f>IF(F605="ml",E605*L605,E605)</f>
        <v>180</v>
      </c>
      <c r="M605" s="33">
        <f t="shared" si="60"/>
        <v>8.1</v>
      </c>
      <c r="N605" s="33">
        <v>7.4</v>
      </c>
    </row>
    <row r="606" spans="2:14" ht="16.5" customHeight="1">
      <c r="B606" s="30">
        <v>68609969</v>
      </c>
      <c r="C606" s="54" t="s">
        <v>774</v>
      </c>
      <c r="D606" s="36" t="s">
        <v>76</v>
      </c>
      <c r="E606" s="30">
        <v>180</v>
      </c>
      <c r="F606" s="30" t="s">
        <v>73</v>
      </c>
      <c r="G606" s="30">
        <f t="shared" si="57"/>
        <v>182.7</v>
      </c>
      <c r="H606" s="31">
        <f t="shared" si="58"/>
        <v>177.3</v>
      </c>
      <c r="I606" s="31">
        <f t="shared" si="59"/>
        <v>188.1</v>
      </c>
      <c r="J606" s="31">
        <f t="shared" si="61"/>
        <v>171.9</v>
      </c>
      <c r="K606" s="32">
        <f t="shared" si="62"/>
        <v>180</v>
      </c>
      <c r="M606" s="33">
        <f t="shared" si="60"/>
        <v>8.1</v>
      </c>
      <c r="N606" s="33">
        <v>7.4</v>
      </c>
    </row>
    <row r="607" spans="2:14" ht="16.5" customHeight="1">
      <c r="B607" s="30">
        <v>68358218</v>
      </c>
      <c r="C607" s="54" t="s">
        <v>775</v>
      </c>
      <c r="D607" s="60" t="s">
        <v>776</v>
      </c>
      <c r="E607" s="30">
        <v>125</v>
      </c>
      <c r="F607" s="30" t="s">
        <v>73</v>
      </c>
      <c r="G607" s="30">
        <f t="shared" si="57"/>
        <v>126.875</v>
      </c>
      <c r="H607" s="31">
        <f t="shared" si="58"/>
        <v>123.125</v>
      </c>
      <c r="I607" s="31">
        <f t="shared" si="59"/>
        <v>130.625</v>
      </c>
      <c r="J607" s="31">
        <f t="shared" si="61"/>
        <v>119.375</v>
      </c>
      <c r="K607" s="32">
        <f t="shared" si="62"/>
        <v>125</v>
      </c>
      <c r="M607" s="33">
        <f t="shared" si="60"/>
        <v>5.625</v>
      </c>
      <c r="N607" s="33">
        <v>6.3</v>
      </c>
    </row>
    <row r="608" spans="2:14" ht="16.5" customHeight="1">
      <c r="B608" s="30">
        <v>68609975</v>
      </c>
      <c r="C608" s="54" t="s">
        <v>777</v>
      </c>
      <c r="D608" s="36" t="s">
        <v>76</v>
      </c>
      <c r="E608" s="30">
        <v>190</v>
      </c>
      <c r="F608" s="30" t="s">
        <v>73</v>
      </c>
      <c r="G608" s="30">
        <f>IF(P608="TL tuyệt đối",K608*103%,K608+1/3*M608)</f>
        <v>192.85</v>
      </c>
      <c r="H608" s="31">
        <f>IF(P608="TL tuyệt đối",K608*101%,K608-1/3*M608)</f>
        <v>187.15</v>
      </c>
      <c r="I608" s="31">
        <f>IF(P608="TL tuyệt đối", K608*105%,K608+M608)</f>
        <v>198.55</v>
      </c>
      <c r="J608" s="31">
        <f>K608-M608</f>
        <v>181.45</v>
      </c>
      <c r="K608" s="32">
        <f t="shared" si="62"/>
        <v>190</v>
      </c>
      <c r="M608" s="33">
        <f>IF(P608="TL tuyệt đối",0, IF(K608&lt;5,0,IF(K608&lt;50,K608*9%,IF(K608&lt;100,4.5,IF(K608&lt;200,4.5%*K608,IF(K608&lt;300,9,IF(K608&lt;500,K608*3%,IF(K608&lt;1000,15,))))))))</f>
        <v>8.5499999999999989</v>
      </c>
      <c r="N608" s="33">
        <v>8.1999999999999993</v>
      </c>
    </row>
    <row r="609" spans="2:14" ht="16.5" customHeight="1">
      <c r="B609" s="30">
        <v>68358222</v>
      </c>
      <c r="C609" s="54" t="s">
        <v>778</v>
      </c>
      <c r="D609" s="60" t="s">
        <v>776</v>
      </c>
      <c r="E609" s="30">
        <v>125</v>
      </c>
      <c r="F609" s="30" t="s">
        <v>73</v>
      </c>
      <c r="G609" s="30">
        <f>IF(P609="TL tuyệt đối",K609*103%,K609+1/3*M609)</f>
        <v>126.875</v>
      </c>
      <c r="H609" s="31">
        <f>IF(P609="TL tuyệt đối",K609*101%,K609-1/3*M609)</f>
        <v>123.125</v>
      </c>
      <c r="I609" s="31">
        <f>IF(P609="TL tuyệt đối", K609*105%,K609+M609)</f>
        <v>130.625</v>
      </c>
      <c r="J609" s="31">
        <f>K609-M609</f>
        <v>119.375</v>
      </c>
      <c r="K609" s="32">
        <f>IF(F609="ml",E609*L609,E609)</f>
        <v>125</v>
      </c>
      <c r="M609" s="33">
        <f>IF(P609="TL tuyệt đối",0, IF(K609&lt;5,0,IF(K609&lt;50,K609*9%,IF(K609&lt;100,4.5,IF(K609&lt;200,4.5%*K609,IF(K609&lt;300,9,IF(K609&lt;500,K609*3%,IF(K609&lt;1000,15,))))))))</f>
        <v>5.625</v>
      </c>
      <c r="N609" s="33">
        <v>6.5</v>
      </c>
    </row>
    <row r="610" spans="2:14" ht="16.5" customHeight="1">
      <c r="B610" s="30">
        <v>68399952</v>
      </c>
      <c r="C610" s="54" t="s">
        <v>779</v>
      </c>
      <c r="D610" s="60" t="s">
        <v>780</v>
      </c>
      <c r="E610" s="30">
        <v>30</v>
      </c>
      <c r="F610" s="30" t="s">
        <v>73</v>
      </c>
      <c r="G610" s="30">
        <f t="shared" si="57"/>
        <v>30.9</v>
      </c>
      <c r="H610" s="31">
        <f t="shared" si="58"/>
        <v>29.1</v>
      </c>
      <c r="I610" s="31">
        <f t="shared" si="59"/>
        <v>32.700000000000003</v>
      </c>
      <c r="J610" s="31">
        <f t="shared" si="61"/>
        <v>27.3</v>
      </c>
      <c r="K610" s="32">
        <f t="shared" si="62"/>
        <v>30</v>
      </c>
      <c r="M610" s="33">
        <f t="shared" si="60"/>
        <v>2.6999999999999997</v>
      </c>
      <c r="N610" s="33">
        <v>3.7</v>
      </c>
    </row>
    <row r="611" spans="2:14" ht="16.5" customHeight="1">
      <c r="B611" s="30">
        <v>68358220</v>
      </c>
      <c r="C611" s="54" t="s">
        <v>781</v>
      </c>
      <c r="D611" s="60" t="s">
        <v>776</v>
      </c>
      <c r="E611" s="30">
        <v>125</v>
      </c>
      <c r="F611" s="30" t="s">
        <v>73</v>
      </c>
      <c r="G611" s="30">
        <f t="shared" si="57"/>
        <v>126.875</v>
      </c>
      <c r="H611" s="31">
        <f t="shared" si="58"/>
        <v>123.125</v>
      </c>
      <c r="I611" s="31">
        <f t="shared" si="59"/>
        <v>130.625</v>
      </c>
      <c r="J611" s="31">
        <f t="shared" si="61"/>
        <v>119.375</v>
      </c>
      <c r="K611" s="32">
        <f t="shared" si="62"/>
        <v>125</v>
      </c>
      <c r="M611" s="33">
        <f t="shared" si="60"/>
        <v>5.625</v>
      </c>
      <c r="N611" s="33">
        <v>6.3</v>
      </c>
    </row>
    <row r="612" spans="2:14" ht="16.5" customHeight="1">
      <c r="B612" s="30">
        <v>68399955</v>
      </c>
      <c r="C612" s="54" t="s">
        <v>782</v>
      </c>
      <c r="D612" s="13" t="s">
        <v>764</v>
      </c>
      <c r="E612" s="30">
        <v>60</v>
      </c>
      <c r="F612" s="30" t="s">
        <v>73</v>
      </c>
      <c r="G612" s="30">
        <f t="shared" si="57"/>
        <v>61.5</v>
      </c>
      <c r="H612" s="31">
        <f t="shared" si="58"/>
        <v>58.5</v>
      </c>
      <c r="I612" s="31">
        <f t="shared" si="59"/>
        <v>64.5</v>
      </c>
      <c r="J612" s="31">
        <f t="shared" si="61"/>
        <v>55.5</v>
      </c>
      <c r="K612" s="32">
        <f t="shared" si="62"/>
        <v>60</v>
      </c>
      <c r="M612" s="33">
        <f>IF(P612="TL tuyệt đối",0, IF(K612&lt;5,0,IF(K612&lt;50,K612*9%,IF(K612&lt;100,4.5,IF(K612&lt;200,4.5%*K612,IF(K612&lt;300,9,IF(K612&lt;500,K612*3%,IF(K612&lt;1000,15,))))))))</f>
        <v>4.5</v>
      </c>
      <c r="N612" s="33">
        <v>4.5999999999999996</v>
      </c>
    </row>
    <row r="613" spans="2:14" ht="16.5" customHeight="1">
      <c r="B613" s="30">
        <v>68587555</v>
      </c>
      <c r="C613" s="54" t="s">
        <v>783</v>
      </c>
      <c r="D613" s="36" t="s">
        <v>76</v>
      </c>
      <c r="E613" s="30">
        <v>180</v>
      </c>
      <c r="F613" s="30" t="s">
        <v>73</v>
      </c>
      <c r="G613" s="30">
        <f t="shared" si="57"/>
        <v>182.7</v>
      </c>
      <c r="H613" s="31">
        <f t="shared" si="58"/>
        <v>177.3</v>
      </c>
      <c r="I613" s="31">
        <f t="shared" si="59"/>
        <v>188.1</v>
      </c>
      <c r="J613" s="31">
        <f t="shared" si="61"/>
        <v>171.9</v>
      </c>
      <c r="K613" s="32">
        <f t="shared" si="62"/>
        <v>180</v>
      </c>
      <c r="M613" s="33">
        <f t="shared" si="60"/>
        <v>8.1</v>
      </c>
      <c r="N613" s="33">
        <v>7.4</v>
      </c>
    </row>
    <row r="614" spans="2:14" ht="16.5" customHeight="1">
      <c r="B614" s="30">
        <v>68692022</v>
      </c>
      <c r="C614" s="54" t="s">
        <v>784</v>
      </c>
      <c r="D614" s="36" t="s">
        <v>76</v>
      </c>
      <c r="E614" s="30">
        <v>30</v>
      </c>
      <c r="F614" s="30" t="s">
        <v>73</v>
      </c>
      <c r="G614" s="30">
        <f>IF(P614="TL tuyệt đối",K614*103%,K614+1/3*M614)</f>
        <v>30.9</v>
      </c>
      <c r="H614" s="31">
        <f>IF(P614="TL tuyệt đối",K614*101%,K614-1/3*M614)</f>
        <v>29.1</v>
      </c>
      <c r="I614" s="31">
        <f>IF(P614="TL tuyệt đối", K614*105%,K614+M614)</f>
        <v>32.700000000000003</v>
      </c>
      <c r="J614" s="31">
        <f>K614-M614</f>
        <v>27.3</v>
      </c>
      <c r="K614" s="32">
        <f t="shared" si="62"/>
        <v>30</v>
      </c>
      <c r="M614" s="33">
        <f t="shared" si="60"/>
        <v>2.6999999999999997</v>
      </c>
      <c r="N614" s="33">
        <v>4</v>
      </c>
    </row>
    <row r="615" spans="2:14" ht="16.5" customHeight="1">
      <c r="B615" s="30">
        <v>68692018</v>
      </c>
      <c r="C615" s="54" t="s">
        <v>785</v>
      </c>
      <c r="D615" s="36" t="s">
        <v>76</v>
      </c>
      <c r="E615" s="30">
        <v>30</v>
      </c>
      <c r="F615" s="30" t="s">
        <v>73</v>
      </c>
      <c r="G615" s="30">
        <f>IF(P615="TL tuyệt đối",K615*103%,K615+1/3*M615)</f>
        <v>30.9</v>
      </c>
      <c r="H615" s="31">
        <f>IF(P615="TL tuyệt đối",K615*101%,K615-1/3*M615)</f>
        <v>29.1</v>
      </c>
      <c r="I615" s="31">
        <f>IF(P615="TL tuyệt đối", K615*105%,K615+M615)</f>
        <v>32.700000000000003</v>
      </c>
      <c r="J615" s="31">
        <f>K615-M615</f>
        <v>27.3</v>
      </c>
      <c r="K615" s="32">
        <f t="shared" si="62"/>
        <v>30</v>
      </c>
      <c r="M615" s="33">
        <f>IF(P615="TL tuyệt đối",0, IF(K615&lt;5,0,IF(K615&lt;50,K615*9%,IF(K615&lt;100,4.5,IF(K615&lt;200,4.5%*K615,IF(K615&lt;300,9,IF(K615&lt;500,K615*3%,IF(K615&lt;1000,15,))))))))</f>
        <v>2.6999999999999997</v>
      </c>
      <c r="N615" s="33">
        <v>4</v>
      </c>
    </row>
    <row r="616" spans="2:14" ht="16.5" customHeight="1">
      <c r="B616" s="30">
        <v>68706300</v>
      </c>
      <c r="C616" s="54" t="s">
        <v>786</v>
      </c>
      <c r="D616" s="13" t="s">
        <v>787</v>
      </c>
      <c r="E616" s="30">
        <v>114</v>
      </c>
      <c r="F616" s="30" t="s">
        <v>73</v>
      </c>
      <c r="G616" s="30">
        <f t="shared" si="57"/>
        <v>115.71</v>
      </c>
      <c r="H616" s="31">
        <f t="shared" si="58"/>
        <v>112.29</v>
      </c>
      <c r="I616" s="31">
        <f t="shared" si="59"/>
        <v>119.13</v>
      </c>
      <c r="J616" s="31">
        <f t="shared" si="61"/>
        <v>108.87</v>
      </c>
      <c r="K616" s="32">
        <f t="shared" si="62"/>
        <v>114</v>
      </c>
      <c r="M616" s="33">
        <f t="shared" si="60"/>
        <v>5.13</v>
      </c>
      <c r="N616" s="33">
        <v>5.6</v>
      </c>
    </row>
    <row r="617" spans="2:14" ht="16.5" customHeight="1">
      <c r="B617" s="30">
        <v>68706304</v>
      </c>
      <c r="C617" s="54" t="s">
        <v>788</v>
      </c>
      <c r="D617" s="13" t="s">
        <v>787</v>
      </c>
      <c r="E617" s="30">
        <v>114</v>
      </c>
      <c r="F617" s="30" t="s">
        <v>73</v>
      </c>
      <c r="G617" s="30">
        <f t="shared" si="57"/>
        <v>115.71</v>
      </c>
      <c r="H617" s="31">
        <f t="shared" si="58"/>
        <v>112.29</v>
      </c>
      <c r="I617" s="31">
        <f t="shared" si="59"/>
        <v>119.13</v>
      </c>
      <c r="J617" s="31">
        <f t="shared" si="61"/>
        <v>108.87</v>
      </c>
      <c r="K617" s="32">
        <f t="shared" si="62"/>
        <v>114</v>
      </c>
      <c r="M617" s="33">
        <f t="shared" si="60"/>
        <v>5.13</v>
      </c>
      <c r="N617" s="33">
        <v>5.6</v>
      </c>
    </row>
    <row r="618" spans="2:14" ht="16.5" customHeight="1">
      <c r="B618" s="30">
        <v>68674279</v>
      </c>
      <c r="C618" s="54" t="s">
        <v>789</v>
      </c>
      <c r="D618" s="36" t="s">
        <v>76</v>
      </c>
      <c r="E618" s="30">
        <v>180</v>
      </c>
      <c r="F618" s="30" t="s">
        <v>73</v>
      </c>
      <c r="G618" s="30">
        <f t="shared" si="57"/>
        <v>182.7</v>
      </c>
      <c r="H618" s="31">
        <f t="shared" si="58"/>
        <v>177.3</v>
      </c>
      <c r="I618" s="31">
        <f t="shared" si="59"/>
        <v>188.1</v>
      </c>
      <c r="J618" s="31">
        <f t="shared" si="61"/>
        <v>171.9</v>
      </c>
      <c r="K618" s="32">
        <f t="shared" si="62"/>
        <v>180</v>
      </c>
      <c r="M618" s="33">
        <f t="shared" si="60"/>
        <v>8.1</v>
      </c>
      <c r="N618" s="33">
        <v>7.4</v>
      </c>
    </row>
    <row r="619" spans="2:14" ht="16.5" customHeight="1">
      <c r="B619" s="30">
        <v>68674277</v>
      </c>
      <c r="C619" s="54" t="s">
        <v>790</v>
      </c>
      <c r="D619" s="36" t="s">
        <v>76</v>
      </c>
      <c r="E619" s="30">
        <v>180</v>
      </c>
      <c r="F619" s="30" t="s">
        <v>73</v>
      </c>
      <c r="G619" s="30">
        <f t="shared" si="57"/>
        <v>182.7</v>
      </c>
      <c r="H619" s="31">
        <f t="shared" si="58"/>
        <v>177.3</v>
      </c>
      <c r="I619" s="31">
        <f t="shared" si="59"/>
        <v>188.1</v>
      </c>
      <c r="J619" s="31">
        <f t="shared" si="61"/>
        <v>171.9</v>
      </c>
      <c r="K619" s="32">
        <f t="shared" si="62"/>
        <v>180</v>
      </c>
      <c r="M619" s="33">
        <f t="shared" si="60"/>
        <v>8.1</v>
      </c>
      <c r="N619" s="33">
        <v>7.4</v>
      </c>
    </row>
    <row r="620" spans="2:14" ht="16.5" customHeight="1">
      <c r="B620" s="30">
        <v>68706302</v>
      </c>
      <c r="C620" s="54" t="s">
        <v>791</v>
      </c>
      <c r="D620" s="13" t="s">
        <v>787</v>
      </c>
      <c r="E620" s="30">
        <v>114</v>
      </c>
      <c r="F620" s="30" t="s">
        <v>73</v>
      </c>
      <c r="G620" s="30">
        <f t="shared" si="57"/>
        <v>115.71</v>
      </c>
      <c r="H620" s="31">
        <f t="shared" si="58"/>
        <v>112.29</v>
      </c>
      <c r="I620" s="31">
        <f t="shared" si="59"/>
        <v>119.13</v>
      </c>
      <c r="J620" s="31">
        <f t="shared" si="61"/>
        <v>108.87</v>
      </c>
      <c r="K620" s="32">
        <f t="shared" si="62"/>
        <v>114</v>
      </c>
      <c r="M620" s="33">
        <f t="shared" si="60"/>
        <v>5.13</v>
      </c>
      <c r="N620" s="33">
        <v>5.6</v>
      </c>
    </row>
    <row r="621" spans="2:14" ht="16.5" customHeight="1">
      <c r="B621" s="30">
        <v>68738306</v>
      </c>
      <c r="C621" s="54" t="s">
        <v>792</v>
      </c>
      <c r="D621" s="36" t="s">
        <v>76</v>
      </c>
      <c r="E621" s="30">
        <v>230</v>
      </c>
      <c r="F621" s="29" t="s">
        <v>73</v>
      </c>
      <c r="G621" s="30">
        <f t="shared" si="57"/>
        <v>233</v>
      </c>
      <c r="H621" s="31">
        <f t="shared" si="58"/>
        <v>227</v>
      </c>
      <c r="I621" s="31">
        <f t="shared" si="59"/>
        <v>239</v>
      </c>
      <c r="J621" s="31">
        <f t="shared" si="61"/>
        <v>221</v>
      </c>
      <c r="K621" s="32">
        <f t="shared" si="62"/>
        <v>230</v>
      </c>
      <c r="M621" s="33">
        <f t="shared" si="60"/>
        <v>9</v>
      </c>
      <c r="N621" s="33">
        <v>8.6</v>
      </c>
    </row>
    <row r="622" spans="2:14" ht="16.5" customHeight="1">
      <c r="B622" s="30">
        <v>68627721</v>
      </c>
      <c r="C622" s="54" t="s">
        <v>793</v>
      </c>
      <c r="D622" s="13" t="s">
        <v>262</v>
      </c>
      <c r="E622" s="30">
        <v>160</v>
      </c>
      <c r="F622" s="30" t="s">
        <v>73</v>
      </c>
      <c r="G622" s="30">
        <f t="shared" si="57"/>
        <v>162.4</v>
      </c>
      <c r="H622" s="31">
        <f t="shared" si="58"/>
        <v>157.6</v>
      </c>
      <c r="I622" s="31">
        <f t="shared" si="59"/>
        <v>167.2</v>
      </c>
      <c r="J622" s="31">
        <f t="shared" si="61"/>
        <v>152.80000000000001</v>
      </c>
      <c r="K622" s="32">
        <f t="shared" si="62"/>
        <v>160</v>
      </c>
      <c r="M622" s="33">
        <f t="shared" si="60"/>
        <v>7.1999999999999993</v>
      </c>
      <c r="N622" s="33">
        <v>7.3</v>
      </c>
    </row>
    <row r="623" spans="2:14" ht="16.5" customHeight="1">
      <c r="B623" s="30">
        <v>68627723</v>
      </c>
      <c r="C623" s="54" t="s">
        <v>794</v>
      </c>
      <c r="D623" s="13" t="s">
        <v>262</v>
      </c>
      <c r="E623" s="30">
        <v>60</v>
      </c>
      <c r="F623" s="30" t="s">
        <v>73</v>
      </c>
      <c r="G623" s="30">
        <f t="shared" si="57"/>
        <v>61.5</v>
      </c>
      <c r="H623" s="31">
        <f t="shared" si="58"/>
        <v>58.5</v>
      </c>
      <c r="I623" s="31">
        <f t="shared" si="59"/>
        <v>64.5</v>
      </c>
      <c r="J623" s="31">
        <f t="shared" si="61"/>
        <v>55.5</v>
      </c>
      <c r="K623" s="32">
        <f t="shared" si="62"/>
        <v>60</v>
      </c>
      <c r="M623" s="33">
        <f t="shared" si="60"/>
        <v>4.5</v>
      </c>
      <c r="N623" s="33">
        <v>4.5999999999999996</v>
      </c>
    </row>
    <row r="624" spans="2:14" ht="16.5" customHeight="1">
      <c r="B624" s="30">
        <v>68627725</v>
      </c>
      <c r="C624" s="54" t="s">
        <v>795</v>
      </c>
      <c r="D624" s="13" t="s">
        <v>262</v>
      </c>
      <c r="E624" s="30">
        <v>160</v>
      </c>
      <c r="F624" s="30" t="s">
        <v>73</v>
      </c>
      <c r="G624" s="30">
        <f t="shared" si="57"/>
        <v>162.4</v>
      </c>
      <c r="H624" s="31">
        <f t="shared" si="58"/>
        <v>157.6</v>
      </c>
      <c r="I624" s="31">
        <f t="shared" si="59"/>
        <v>167.2</v>
      </c>
      <c r="J624" s="31">
        <f t="shared" si="61"/>
        <v>152.80000000000001</v>
      </c>
      <c r="K624" s="32">
        <f t="shared" si="62"/>
        <v>160</v>
      </c>
      <c r="M624" s="33">
        <f t="shared" si="60"/>
        <v>7.1999999999999993</v>
      </c>
      <c r="N624" s="33">
        <v>7.3</v>
      </c>
    </row>
    <row r="625" spans="1:18" ht="16.5" customHeight="1">
      <c r="B625" s="30">
        <v>68627717</v>
      </c>
      <c r="C625" s="54" t="s">
        <v>796</v>
      </c>
      <c r="D625" s="13" t="s">
        <v>262</v>
      </c>
      <c r="E625" s="30">
        <v>160</v>
      </c>
      <c r="F625" s="30" t="s">
        <v>73</v>
      </c>
      <c r="G625" s="30">
        <f t="shared" si="57"/>
        <v>162.4</v>
      </c>
      <c r="H625" s="31">
        <f t="shared" si="58"/>
        <v>157.6</v>
      </c>
      <c r="I625" s="31">
        <f t="shared" si="59"/>
        <v>167.2</v>
      </c>
      <c r="J625" s="31">
        <f t="shared" si="61"/>
        <v>152.80000000000001</v>
      </c>
      <c r="K625" s="32">
        <f t="shared" si="62"/>
        <v>160</v>
      </c>
      <c r="M625" s="33">
        <f t="shared" si="60"/>
        <v>7.1999999999999993</v>
      </c>
      <c r="N625" s="33">
        <v>7.3</v>
      </c>
    </row>
    <row r="626" spans="1:18" ht="16.5" customHeight="1">
      <c r="B626" s="30">
        <v>68627719</v>
      </c>
      <c r="C626" s="54" t="s">
        <v>797</v>
      </c>
      <c r="D626" s="13" t="s">
        <v>262</v>
      </c>
      <c r="E626" s="30">
        <v>60</v>
      </c>
      <c r="F626" s="30" t="s">
        <v>73</v>
      </c>
      <c r="G626" s="30">
        <f>IF(P626="TL tuyệt đối",K626*103%,K626+1/3*M626)</f>
        <v>61.5</v>
      </c>
      <c r="H626" s="31">
        <f>IF(P626="TL tuyệt đối",K626*101%,K626-1/3*M626)</f>
        <v>58.5</v>
      </c>
      <c r="I626" s="31">
        <f>IF(P626="TL tuyệt đối", K626*105%,K626+M626)</f>
        <v>64.5</v>
      </c>
      <c r="J626" s="31">
        <f>K626-M626</f>
        <v>55.5</v>
      </c>
      <c r="K626" s="32">
        <f t="shared" si="62"/>
        <v>60</v>
      </c>
      <c r="M626" s="33">
        <v>4.5</v>
      </c>
      <c r="N626" s="33">
        <v>4.5999999999999996</v>
      </c>
    </row>
    <row r="627" spans="1:18" ht="16.5" customHeight="1">
      <c r="B627" s="30">
        <v>68737016</v>
      </c>
      <c r="C627" s="54" t="s">
        <v>798</v>
      </c>
      <c r="D627" s="36" t="s">
        <v>76</v>
      </c>
      <c r="E627" s="30">
        <v>180</v>
      </c>
      <c r="F627" s="30" t="s">
        <v>73</v>
      </c>
      <c r="G627" s="30">
        <f>IF(P627="TL tuyệt đối",K627*103%,K627+1/3*M627)</f>
        <v>182.7</v>
      </c>
      <c r="H627" s="31">
        <f>IF(P627="TL tuyệt đối",K627*101%,K627-1/3*M627)</f>
        <v>177.3</v>
      </c>
      <c r="I627" s="31">
        <f>IF(P627="TL tuyệt đối", K627*105%,K627+M627)</f>
        <v>188.1</v>
      </c>
      <c r="J627" s="31">
        <f>K627-M627</f>
        <v>171.9</v>
      </c>
      <c r="K627" s="32">
        <f t="shared" si="62"/>
        <v>180</v>
      </c>
      <c r="M627" s="33">
        <f>IF(P627="TL tuyệt đối",0, IF(K627&lt;5,0,IF(K627&lt;50,K627*9%,IF(K627&lt;100,4.5,IF(K627&lt;200,4.5%*K627,IF(K627&lt;300,9,IF(K627&lt;500,K627*3%,IF(K627&lt;1000,15,))))))))</f>
        <v>8.1</v>
      </c>
      <c r="N627" s="33">
        <v>7.4</v>
      </c>
    </row>
    <row r="628" spans="1:18" ht="16.5" customHeight="1">
      <c r="B628" s="30">
        <v>68737006</v>
      </c>
      <c r="C628" s="54" t="s">
        <v>799</v>
      </c>
      <c r="D628" s="36" t="s">
        <v>76</v>
      </c>
      <c r="E628" s="30">
        <v>180</v>
      </c>
      <c r="F628" s="30" t="s">
        <v>73</v>
      </c>
      <c r="G628" s="30">
        <f>IF(P628="TL tuyệt đối",K628*103%,K628+1/3*M628)</f>
        <v>182.7</v>
      </c>
      <c r="H628" s="31">
        <f>IF(P628="TL tuyệt đối",K628*101%,K628-1/3*M628)</f>
        <v>177.3</v>
      </c>
      <c r="I628" s="31">
        <f>IF(P628="TL tuyệt đối", K628*105%,K628+M628)</f>
        <v>188.1</v>
      </c>
      <c r="J628" s="31">
        <f>K628-M628</f>
        <v>171.9</v>
      </c>
      <c r="K628" s="32">
        <f t="shared" si="62"/>
        <v>180</v>
      </c>
      <c r="M628" s="33">
        <f>IF(P628="TL tuyệt đối",0, IF(K628&lt;5,0,IF(K628&lt;50,K628*9%,IF(K628&lt;100,4.5,IF(K628&lt;200,4.5%*K628,IF(K628&lt;300,9,IF(K628&lt;500,K628*3%,IF(K628&lt;1000,15,))))))))</f>
        <v>8.1</v>
      </c>
      <c r="N628" s="33">
        <v>8.1999999999999993</v>
      </c>
    </row>
    <row r="629" spans="1:18" ht="16.5" customHeight="1">
      <c r="A629" s="76" t="s">
        <v>693</v>
      </c>
      <c r="B629" s="80">
        <v>68709834</v>
      </c>
      <c r="C629" s="80" t="s">
        <v>800</v>
      </c>
      <c r="D629" s="36" t="s">
        <v>76</v>
      </c>
      <c r="E629" s="30">
        <v>500</v>
      </c>
      <c r="F629" s="30" t="s">
        <v>82</v>
      </c>
      <c r="G629" s="30">
        <f>IF(P629="TL tuyệt đối",K629*103%,K629+1/3*M629)</f>
        <v>507.49999999999994</v>
      </c>
      <c r="H629" s="31">
        <f>IF(P629="TL tuyệt đối",K629*101%,K629-1/3*M629)</f>
        <v>497.49999999999994</v>
      </c>
      <c r="I629" s="31">
        <f>IF(P629="TL tuyệt đối", K629*105%,K629+M629)</f>
        <v>517.5</v>
      </c>
      <c r="J629" s="31">
        <f>K629-M629</f>
        <v>487.49999999999994</v>
      </c>
      <c r="K629" s="32">
        <f t="shared" si="62"/>
        <v>502.49999999999994</v>
      </c>
      <c r="L629" s="57">
        <v>1.0049999999999999</v>
      </c>
      <c r="M629" s="33">
        <f>IF(P629="TL tuyệt đối",0, IF(K629&lt;5,0,IF(K629&lt;50,K629*9%,IF(K629&lt;100,4.5,IF(K629&lt;200,4.5%*K629,IF(K629&lt;300,9,IF(K629&lt;500,K629*3%,IF(K629&lt;1000,15,))))))))</f>
        <v>15</v>
      </c>
      <c r="N629" s="33">
        <v>63.7</v>
      </c>
    </row>
    <row r="630" spans="1:18" ht="16.5" customHeight="1">
      <c r="B630" s="30">
        <v>68737018</v>
      </c>
      <c r="C630" s="54" t="s">
        <v>801</v>
      </c>
      <c r="D630" s="36" t="s">
        <v>76</v>
      </c>
      <c r="E630" s="30">
        <v>230</v>
      </c>
      <c r="F630" s="30" t="s">
        <v>73</v>
      </c>
      <c r="G630" s="30">
        <f t="shared" si="57"/>
        <v>233</v>
      </c>
      <c r="H630" s="31">
        <f t="shared" si="58"/>
        <v>227</v>
      </c>
      <c r="I630" s="31">
        <f t="shared" si="59"/>
        <v>239</v>
      </c>
      <c r="J630" s="31">
        <f t="shared" si="61"/>
        <v>221</v>
      </c>
      <c r="K630" s="32">
        <f t="shared" si="62"/>
        <v>230</v>
      </c>
      <c r="M630" s="33">
        <f t="shared" si="60"/>
        <v>9</v>
      </c>
      <c r="N630" s="33">
        <v>8.6</v>
      </c>
    </row>
    <row r="631" spans="1:18" ht="16.5" customHeight="1">
      <c r="B631" s="30">
        <v>68737014</v>
      </c>
      <c r="C631" s="54" t="s">
        <v>802</v>
      </c>
      <c r="D631" s="36" t="s">
        <v>76</v>
      </c>
      <c r="E631" s="30">
        <v>230</v>
      </c>
      <c r="F631" s="30" t="s">
        <v>73</v>
      </c>
      <c r="G631" s="30">
        <f>IF(P631="TL tuyệt đối",K631*103%,K631+1/3*M631)</f>
        <v>233</v>
      </c>
      <c r="H631" s="31">
        <f>IF(P631="TL tuyệt đối",K631*101%,K631-1/3*M631)</f>
        <v>227</v>
      </c>
      <c r="I631" s="31">
        <f>IF(P631="TL tuyệt đối", K631*105%,K631+M631)</f>
        <v>239</v>
      </c>
      <c r="J631" s="31">
        <f>K631-M631</f>
        <v>221</v>
      </c>
      <c r="K631" s="32">
        <f t="shared" si="62"/>
        <v>230</v>
      </c>
      <c r="M631" s="33">
        <f t="shared" si="60"/>
        <v>9</v>
      </c>
      <c r="N631" s="33">
        <v>8.6</v>
      </c>
    </row>
    <row r="632" spans="1:18" ht="16.5" customHeight="1">
      <c r="B632" s="30">
        <v>68698540</v>
      </c>
      <c r="C632" s="54" t="s">
        <v>803</v>
      </c>
      <c r="D632" s="36" t="s">
        <v>76</v>
      </c>
      <c r="E632" s="30">
        <v>30</v>
      </c>
      <c r="F632" s="30" t="s">
        <v>73</v>
      </c>
      <c r="G632" s="30">
        <f>IF(P632="TL tuyệt đối",K632*103%,K632+1/3*M632)</f>
        <v>30.9</v>
      </c>
      <c r="H632" s="31">
        <f>IF(P632="TL tuyệt đối",K632*101%,K632-1/3*M632)</f>
        <v>29.1</v>
      </c>
      <c r="I632" s="31">
        <f>IF(P632="TL tuyệt đối", K632*105%,K632+M632)</f>
        <v>32.700000000000003</v>
      </c>
      <c r="J632" s="31">
        <f>K632-M632</f>
        <v>27.3</v>
      </c>
      <c r="K632" s="32">
        <f t="shared" si="62"/>
        <v>30</v>
      </c>
      <c r="M632" s="33">
        <f t="shared" si="60"/>
        <v>2.6999999999999997</v>
      </c>
      <c r="N632" s="33">
        <v>3.7</v>
      </c>
    </row>
    <row r="633" spans="1:18" ht="16.5" customHeight="1">
      <c r="B633" s="30">
        <v>68677964</v>
      </c>
      <c r="C633" s="54" t="s">
        <v>804</v>
      </c>
      <c r="D633" s="36" t="s">
        <v>76</v>
      </c>
      <c r="E633" s="30">
        <v>180</v>
      </c>
      <c r="F633" s="30" t="s">
        <v>73</v>
      </c>
      <c r="G633" s="30">
        <f t="shared" si="57"/>
        <v>182.7</v>
      </c>
      <c r="H633" s="31">
        <f t="shared" si="58"/>
        <v>177.3</v>
      </c>
      <c r="I633" s="31">
        <f t="shared" si="59"/>
        <v>188.1</v>
      </c>
      <c r="J633" s="31">
        <f t="shared" si="61"/>
        <v>171.9</v>
      </c>
      <c r="K633" s="57">
        <f t="shared" si="62"/>
        <v>180</v>
      </c>
      <c r="M633" s="33">
        <f t="shared" si="60"/>
        <v>8.1</v>
      </c>
      <c r="N633" s="33">
        <v>7.4</v>
      </c>
    </row>
    <row r="634" spans="1:18" ht="16.5" customHeight="1">
      <c r="B634" s="30">
        <v>68736996</v>
      </c>
      <c r="C634" s="54" t="s">
        <v>805</v>
      </c>
      <c r="D634" s="36" t="s">
        <v>76</v>
      </c>
      <c r="E634" s="30">
        <v>180</v>
      </c>
      <c r="F634" s="30" t="s">
        <v>73</v>
      </c>
      <c r="G634" s="30">
        <f t="shared" si="57"/>
        <v>182.7</v>
      </c>
      <c r="H634" s="31">
        <f t="shared" si="58"/>
        <v>177.3</v>
      </c>
      <c r="I634" s="31">
        <f t="shared" si="59"/>
        <v>188.1</v>
      </c>
      <c r="J634" s="31">
        <f t="shared" si="61"/>
        <v>171.9</v>
      </c>
      <c r="K634" s="57">
        <f t="shared" si="62"/>
        <v>180</v>
      </c>
      <c r="M634" s="33">
        <f t="shared" si="60"/>
        <v>8.1</v>
      </c>
      <c r="N634" s="33">
        <v>7.4</v>
      </c>
    </row>
    <row r="635" spans="1:18" ht="16.5" customHeight="1">
      <c r="A635" s="76" t="s">
        <v>693</v>
      </c>
      <c r="B635" s="50">
        <v>67294753</v>
      </c>
      <c r="C635" s="76" t="s">
        <v>806</v>
      </c>
      <c r="D635" s="36" t="s">
        <v>705</v>
      </c>
      <c r="E635" s="30">
        <v>520</v>
      </c>
      <c r="F635" s="30" t="s">
        <v>82</v>
      </c>
      <c r="G635" s="30">
        <f t="shared" si="57"/>
        <v>525</v>
      </c>
      <c r="H635" s="31">
        <f t="shared" si="58"/>
        <v>515</v>
      </c>
      <c r="I635" s="31">
        <f t="shared" si="59"/>
        <v>535</v>
      </c>
      <c r="J635" s="31">
        <f t="shared" si="61"/>
        <v>505</v>
      </c>
      <c r="K635" s="32">
        <f t="shared" si="62"/>
        <v>520</v>
      </c>
      <c r="L635" s="57">
        <v>1</v>
      </c>
      <c r="M635" s="33">
        <f>IF(P635="TL tuyệt đối",0, IF(K635&lt;5,0,IF(K635&lt;50,K635*9%,IF(K635&lt;100,4.5,IF(K635&lt;200,4.5%*K635,IF(K635&lt;300,9,IF(K635&lt;500,K635*3%,IF(K635&lt;1000,15,))))))))</f>
        <v>15</v>
      </c>
      <c r="N635" s="33">
        <v>53.5</v>
      </c>
      <c r="P635" s="32"/>
      <c r="Q635" s="23" t="s">
        <v>695</v>
      </c>
      <c r="R635" s="77" t="s">
        <v>696</v>
      </c>
    </row>
    <row r="636" spans="1:18" ht="16.5" customHeight="1">
      <c r="B636" s="30">
        <v>68698542</v>
      </c>
      <c r="C636" s="54" t="s">
        <v>807</v>
      </c>
      <c r="D636" s="36" t="s">
        <v>76</v>
      </c>
      <c r="E636" s="30">
        <v>30</v>
      </c>
      <c r="F636" s="30" t="s">
        <v>73</v>
      </c>
      <c r="G636" s="30">
        <f t="shared" si="57"/>
        <v>30.9</v>
      </c>
      <c r="H636" s="31">
        <f t="shared" si="58"/>
        <v>29.1</v>
      </c>
      <c r="I636" s="31">
        <f t="shared" si="59"/>
        <v>32.700000000000003</v>
      </c>
      <c r="J636" s="31">
        <f t="shared" si="61"/>
        <v>27.3</v>
      </c>
      <c r="K636" s="32">
        <f t="shared" si="62"/>
        <v>30</v>
      </c>
      <c r="M636" s="33">
        <f t="shared" ref="M636:M699" si="63">IF(P636="TL tuyệt đối",0, IF(K636&lt;5,0,IF(K636&lt;50,K636*9%,IF(K636&lt;100,4.5,IF(K636&lt;200,4.5%*K636,IF(K636&lt;300,9,IF(K636&lt;500,K636*3%,IF(K636&lt;1000,15,))))))))</f>
        <v>2.6999999999999997</v>
      </c>
      <c r="N636" s="33">
        <v>4</v>
      </c>
    </row>
    <row r="637" spans="1:18" ht="25.5" customHeight="1">
      <c r="A637" s="76" t="s">
        <v>693</v>
      </c>
      <c r="B637" s="30">
        <v>68722621</v>
      </c>
      <c r="C637" s="54" t="s">
        <v>808</v>
      </c>
      <c r="D637" s="84" t="s">
        <v>809</v>
      </c>
      <c r="E637" s="30">
        <v>500</v>
      </c>
      <c r="F637" s="30" t="s">
        <v>82</v>
      </c>
      <c r="G637" s="30">
        <f t="shared" si="57"/>
        <v>507.49999999999994</v>
      </c>
      <c r="H637" s="31">
        <f t="shared" si="58"/>
        <v>497.49999999999994</v>
      </c>
      <c r="I637" s="31">
        <f t="shared" si="59"/>
        <v>517.5</v>
      </c>
      <c r="J637" s="31">
        <f t="shared" si="61"/>
        <v>487.49999999999994</v>
      </c>
      <c r="K637" s="32">
        <f t="shared" si="62"/>
        <v>502.49999999999994</v>
      </c>
      <c r="L637" s="57">
        <v>1.0049999999999999</v>
      </c>
      <c r="M637" s="33">
        <f t="shared" si="63"/>
        <v>15</v>
      </c>
      <c r="N637" s="33">
        <v>63.7</v>
      </c>
    </row>
    <row r="638" spans="1:18" ht="16.5" customHeight="1">
      <c r="B638" s="30">
        <v>68698538</v>
      </c>
      <c r="C638" s="54" t="s">
        <v>810</v>
      </c>
      <c r="D638" s="36" t="s">
        <v>76</v>
      </c>
      <c r="E638" s="30">
        <v>30</v>
      </c>
      <c r="F638" s="30" t="s">
        <v>73</v>
      </c>
      <c r="G638" s="30">
        <f t="shared" si="57"/>
        <v>30.9</v>
      </c>
      <c r="H638" s="31">
        <f t="shared" si="58"/>
        <v>29.1</v>
      </c>
      <c r="I638" s="31">
        <f t="shared" si="59"/>
        <v>32.700000000000003</v>
      </c>
      <c r="J638" s="31">
        <f t="shared" si="61"/>
        <v>27.3</v>
      </c>
      <c r="K638" s="32">
        <f t="shared" si="62"/>
        <v>30</v>
      </c>
      <c r="M638" s="33">
        <f t="shared" si="63"/>
        <v>2.6999999999999997</v>
      </c>
      <c r="N638" s="33">
        <v>3.7</v>
      </c>
    </row>
    <row r="639" spans="1:18" ht="16.5" customHeight="1">
      <c r="B639" s="30">
        <v>68823396</v>
      </c>
      <c r="C639" s="54" t="s">
        <v>811</v>
      </c>
      <c r="D639" s="36" t="s">
        <v>76</v>
      </c>
      <c r="E639" s="30">
        <v>180</v>
      </c>
      <c r="F639" s="30" t="s">
        <v>73</v>
      </c>
      <c r="G639" s="30">
        <f t="shared" ref="G639:G702" si="64">IF(P639="TL tuyệt đối",K639*103%,K639+1/3*M639)</f>
        <v>182.7</v>
      </c>
      <c r="H639" s="31">
        <f t="shared" ref="H639:H702" si="65">IF(P639="TL tuyệt đối",K639*101%,K639-1/3*M639)</f>
        <v>177.3</v>
      </c>
      <c r="I639" s="31">
        <f t="shared" ref="I639:I702" si="66">IF(P639="TL tuyệt đối", K639*105%,K639+M639)</f>
        <v>188.1</v>
      </c>
      <c r="J639" s="31">
        <f t="shared" si="61"/>
        <v>171.9</v>
      </c>
      <c r="K639" s="32">
        <f t="shared" si="62"/>
        <v>180</v>
      </c>
      <c r="M639" s="33">
        <f t="shared" si="63"/>
        <v>8.1</v>
      </c>
      <c r="N639" s="33">
        <v>8.1999999999999993</v>
      </c>
    </row>
    <row r="640" spans="1:18" ht="16.5" customHeight="1">
      <c r="B640" s="30">
        <v>68175514</v>
      </c>
      <c r="C640" s="54" t="s">
        <v>812</v>
      </c>
      <c r="D640" s="36" t="s">
        <v>76</v>
      </c>
      <c r="E640" s="30">
        <v>180</v>
      </c>
      <c r="F640" s="30" t="s">
        <v>73</v>
      </c>
      <c r="G640" s="30">
        <f t="shared" si="64"/>
        <v>182.7</v>
      </c>
      <c r="H640" s="31">
        <f t="shared" si="65"/>
        <v>177.3</v>
      </c>
      <c r="I640" s="31">
        <f t="shared" si="66"/>
        <v>188.1</v>
      </c>
      <c r="J640" s="31">
        <f t="shared" si="61"/>
        <v>171.9</v>
      </c>
      <c r="K640" s="32">
        <f t="shared" si="62"/>
        <v>180</v>
      </c>
      <c r="M640" s="33">
        <f>IF(P640="TL tuyệt đối",0, IF(K640&lt;5,0,IF(K640&lt;50,K640*9%,IF(K640&lt;100,4.5,IF(K640&lt;200,4.5%*K640,IF(K640&lt;300,9,IF(K640&lt;500,K640*3%,IF(K640&lt;1000,15,))))))))</f>
        <v>8.1</v>
      </c>
      <c r="N640" s="33">
        <v>9.8000000000000007</v>
      </c>
    </row>
    <row r="641" spans="2:15" ht="16.5" customHeight="1">
      <c r="B641" s="30">
        <v>68692020</v>
      </c>
      <c r="C641" s="54" t="s">
        <v>813</v>
      </c>
      <c r="D641" s="36" t="s">
        <v>76</v>
      </c>
      <c r="E641" s="30">
        <v>30</v>
      </c>
      <c r="F641" s="30" t="s">
        <v>73</v>
      </c>
      <c r="G641" s="30">
        <f t="shared" si="64"/>
        <v>30.9</v>
      </c>
      <c r="H641" s="31">
        <f t="shared" si="65"/>
        <v>29.1</v>
      </c>
      <c r="I641" s="31">
        <f t="shared" si="66"/>
        <v>32.700000000000003</v>
      </c>
      <c r="J641" s="31">
        <f t="shared" si="61"/>
        <v>27.3</v>
      </c>
      <c r="K641" s="32">
        <f t="shared" si="62"/>
        <v>30</v>
      </c>
      <c r="M641" s="33">
        <f>IF(P641="TL tuyệt đối",0, IF(K641&lt;5,0,IF(K641&lt;50,K641*9%,IF(K641&lt;100,4.5,IF(K641&lt;200,4.5%*K641,IF(K641&lt;300,9,IF(K641&lt;500,K641*3%,IF(K641&lt;1000,15,))))))))</f>
        <v>2.6999999999999997</v>
      </c>
      <c r="N641" s="33">
        <v>3.7</v>
      </c>
    </row>
    <row r="642" spans="2:15" ht="16.5" customHeight="1">
      <c r="B642" s="30">
        <v>68832591</v>
      </c>
      <c r="C642" s="54" t="s">
        <v>814</v>
      </c>
      <c r="D642" s="36" t="s">
        <v>76</v>
      </c>
      <c r="E642" s="30">
        <v>230</v>
      </c>
      <c r="F642" s="30" t="s">
        <v>73</v>
      </c>
      <c r="G642" s="30">
        <f t="shared" si="64"/>
        <v>233</v>
      </c>
      <c r="H642" s="31">
        <f t="shared" si="65"/>
        <v>227</v>
      </c>
      <c r="I642" s="31">
        <f t="shared" si="66"/>
        <v>239</v>
      </c>
      <c r="J642" s="31">
        <f t="shared" si="61"/>
        <v>221</v>
      </c>
      <c r="K642" s="32">
        <f t="shared" si="62"/>
        <v>230</v>
      </c>
      <c r="M642" s="33">
        <f t="shared" si="63"/>
        <v>9</v>
      </c>
      <c r="N642" s="33">
        <v>8.9</v>
      </c>
    </row>
    <row r="643" spans="2:15" ht="16.5" customHeight="1">
      <c r="B643" s="30">
        <v>68832589</v>
      </c>
      <c r="C643" s="54" t="s">
        <v>815</v>
      </c>
      <c r="D643" s="36" t="s">
        <v>76</v>
      </c>
      <c r="E643" s="30">
        <v>230</v>
      </c>
      <c r="F643" s="30" t="s">
        <v>73</v>
      </c>
      <c r="G643" s="30">
        <f t="shared" si="64"/>
        <v>233</v>
      </c>
      <c r="H643" s="31">
        <f t="shared" si="65"/>
        <v>227</v>
      </c>
      <c r="I643" s="31">
        <f t="shared" si="66"/>
        <v>239</v>
      </c>
      <c r="J643" s="31">
        <f t="shared" ref="J643:J706" si="67">K643-M643</f>
        <v>221</v>
      </c>
      <c r="K643" s="32">
        <f t="shared" si="62"/>
        <v>230</v>
      </c>
      <c r="M643" s="33">
        <f>IF(P643="TL tuyệt đối",0, IF(K643&lt;5,0,IF(K643&lt;50,K643*9%,IF(K643&lt;100,4.5,IF(K643&lt;200,4.5%*K643,IF(K643&lt;300,9,IF(K643&lt;500,K643*3%,IF(K643&lt;1000,15,))))))))</f>
        <v>9</v>
      </c>
      <c r="N643" s="33">
        <v>8.9</v>
      </c>
    </row>
    <row r="644" spans="2:15" ht="16.5" customHeight="1">
      <c r="B644" s="30">
        <v>67764769</v>
      </c>
      <c r="C644" s="54" t="s">
        <v>816</v>
      </c>
      <c r="D644" s="36" t="s">
        <v>76</v>
      </c>
      <c r="E644" s="30">
        <v>45</v>
      </c>
      <c r="F644" s="30" t="s">
        <v>73</v>
      </c>
      <c r="G644" s="30">
        <f t="shared" si="64"/>
        <v>46.35</v>
      </c>
      <c r="H644" s="31">
        <f t="shared" si="65"/>
        <v>43.65</v>
      </c>
      <c r="I644" s="31">
        <f t="shared" si="66"/>
        <v>49.05</v>
      </c>
      <c r="J644" s="31">
        <f t="shared" si="67"/>
        <v>40.950000000000003</v>
      </c>
      <c r="K644" s="32">
        <f t="shared" si="62"/>
        <v>45</v>
      </c>
      <c r="M644" s="33">
        <f t="shared" si="63"/>
        <v>4.05</v>
      </c>
      <c r="N644" s="33">
        <v>3.8</v>
      </c>
    </row>
    <row r="645" spans="2:15" ht="16.5" customHeight="1">
      <c r="B645" s="30">
        <v>68832579</v>
      </c>
      <c r="C645" s="54" t="s">
        <v>817</v>
      </c>
      <c r="D645" s="36" t="s">
        <v>76</v>
      </c>
      <c r="E645" s="28">
        <v>60</v>
      </c>
      <c r="F645" s="29" t="s">
        <v>73</v>
      </c>
      <c r="G645" s="30">
        <f t="shared" si="64"/>
        <v>61.5</v>
      </c>
      <c r="H645" s="31">
        <f t="shared" si="65"/>
        <v>58.5</v>
      </c>
      <c r="I645" s="31">
        <f t="shared" si="66"/>
        <v>64.5</v>
      </c>
      <c r="J645" s="31">
        <f t="shared" si="67"/>
        <v>55.5</v>
      </c>
      <c r="K645" s="32">
        <f t="shared" si="62"/>
        <v>60</v>
      </c>
      <c r="L645" s="32"/>
      <c r="M645" s="33">
        <f>IF(P645="TL tuyệt đối",0, IF(K645&lt;5,0,IF(K645&lt;50,K645*9%,IF(K645&lt;100,4.5,IF(K645&lt;200,4.5%*K645,IF(K645&lt;300,9,IF(K645&lt;500,K645*3%,IF(K645&lt;1000,15,))))))))</f>
        <v>4.5</v>
      </c>
      <c r="N645" s="33">
        <v>4.4000000000000004</v>
      </c>
      <c r="O645" s="25"/>
    </row>
    <row r="646" spans="2:15" ht="16.5" customHeight="1">
      <c r="B646" s="30">
        <v>67764771</v>
      </c>
      <c r="C646" s="54" t="s">
        <v>818</v>
      </c>
      <c r="D646" s="36" t="s">
        <v>76</v>
      </c>
      <c r="E646" s="30">
        <v>45</v>
      </c>
      <c r="F646" s="30" t="s">
        <v>73</v>
      </c>
      <c r="G646" s="30">
        <f t="shared" si="64"/>
        <v>46.35</v>
      </c>
      <c r="H646" s="31">
        <f t="shared" si="65"/>
        <v>43.65</v>
      </c>
      <c r="I646" s="31">
        <f t="shared" si="66"/>
        <v>49.05</v>
      </c>
      <c r="J646" s="31">
        <f t="shared" si="67"/>
        <v>40.950000000000003</v>
      </c>
      <c r="K646" s="32">
        <f t="shared" si="62"/>
        <v>45</v>
      </c>
      <c r="M646" s="33">
        <f>IF(P646="TL tuyệt đối",0, IF(K646&lt;5,0,IF(K646&lt;50,K646*9%,IF(K646&lt;100,4.5,IF(K646&lt;200,4.5%*K646,IF(K646&lt;300,9,IF(K646&lt;500,K646*3%,IF(K646&lt;1000,15,))))))))</f>
        <v>4.05</v>
      </c>
      <c r="N646" s="33">
        <v>3.8</v>
      </c>
    </row>
    <row r="647" spans="2:15" ht="16.5" customHeight="1">
      <c r="B647" s="30">
        <v>68843083</v>
      </c>
      <c r="C647" s="54" t="s">
        <v>819</v>
      </c>
      <c r="D647" s="36" t="s">
        <v>76</v>
      </c>
      <c r="E647" s="30">
        <v>180</v>
      </c>
      <c r="F647" s="30" t="s">
        <v>73</v>
      </c>
      <c r="G647" s="30">
        <f t="shared" si="64"/>
        <v>182.7</v>
      </c>
      <c r="H647" s="31">
        <f t="shared" si="65"/>
        <v>177.3</v>
      </c>
      <c r="I647" s="31">
        <f t="shared" si="66"/>
        <v>188.1</v>
      </c>
      <c r="J647" s="31">
        <f t="shared" si="67"/>
        <v>171.9</v>
      </c>
      <c r="K647" s="32">
        <f t="shared" si="62"/>
        <v>180</v>
      </c>
      <c r="M647" s="33">
        <f>IF(P647="TL tuyệt đối",0, IF(K647&lt;5,0,IF(K647&lt;50,K647*9%,IF(K647&lt;100,4.5,IF(K647&lt;200,4.5%*K647,IF(K647&lt;300,9,IF(K647&lt;500,K647*3%,IF(K647&lt;1000,15,))))))))</f>
        <v>8.1</v>
      </c>
      <c r="N647" s="33">
        <v>7.4</v>
      </c>
    </row>
    <row r="648" spans="2:15" ht="16.5" customHeight="1">
      <c r="B648" s="30">
        <v>68833169</v>
      </c>
      <c r="C648" s="54" t="s">
        <v>820</v>
      </c>
      <c r="D648" s="13" t="s">
        <v>262</v>
      </c>
      <c r="E648" s="30">
        <v>160</v>
      </c>
      <c r="F648" s="30" t="s">
        <v>73</v>
      </c>
      <c r="G648" s="30">
        <f t="shared" si="64"/>
        <v>162.4</v>
      </c>
      <c r="H648" s="31">
        <f t="shared" si="65"/>
        <v>157.6</v>
      </c>
      <c r="I648" s="31">
        <f t="shared" si="66"/>
        <v>167.2</v>
      </c>
      <c r="J648" s="31">
        <f t="shared" si="67"/>
        <v>152.80000000000001</v>
      </c>
      <c r="K648" s="32">
        <f t="shared" si="62"/>
        <v>160</v>
      </c>
      <c r="M648" s="33">
        <f t="shared" si="63"/>
        <v>7.1999999999999993</v>
      </c>
      <c r="N648" s="33">
        <v>7.3</v>
      </c>
    </row>
    <row r="649" spans="2:15" ht="16.5" customHeight="1">
      <c r="B649" s="30">
        <v>68833170</v>
      </c>
      <c r="C649" s="54" t="s">
        <v>821</v>
      </c>
      <c r="D649" s="13" t="s">
        <v>262</v>
      </c>
      <c r="E649" s="30">
        <v>160</v>
      </c>
      <c r="F649" s="30" t="s">
        <v>73</v>
      </c>
      <c r="G649" s="30">
        <f t="shared" si="64"/>
        <v>162.4</v>
      </c>
      <c r="H649" s="31">
        <f t="shared" si="65"/>
        <v>157.6</v>
      </c>
      <c r="I649" s="31">
        <f t="shared" si="66"/>
        <v>167.2</v>
      </c>
      <c r="J649" s="31">
        <f t="shared" si="67"/>
        <v>152.80000000000001</v>
      </c>
      <c r="K649" s="32">
        <f t="shared" si="62"/>
        <v>160</v>
      </c>
      <c r="M649" s="33">
        <f>IF(P649="TL tuyệt đối",0, IF(K649&lt;5,0,IF(K649&lt;50,K649*9%,IF(K649&lt;100,4.5,IF(K649&lt;200,4.5%*K649,IF(K649&lt;300,9,IF(K649&lt;500,K649*3%,IF(K649&lt;1000,15,))))))))</f>
        <v>7.1999999999999993</v>
      </c>
      <c r="N649" s="33">
        <v>7.3</v>
      </c>
    </row>
    <row r="650" spans="2:15" ht="16.5" customHeight="1">
      <c r="B650" s="30">
        <v>68840979</v>
      </c>
      <c r="C650" s="54" t="s">
        <v>822</v>
      </c>
      <c r="D650" s="36" t="s">
        <v>76</v>
      </c>
      <c r="E650" s="30">
        <v>230</v>
      </c>
      <c r="F650" s="30" t="s">
        <v>73</v>
      </c>
      <c r="G650" s="30">
        <f t="shared" si="64"/>
        <v>233</v>
      </c>
      <c r="H650" s="31">
        <f t="shared" si="65"/>
        <v>227</v>
      </c>
      <c r="I650" s="31">
        <f t="shared" si="66"/>
        <v>239</v>
      </c>
      <c r="J650" s="31">
        <f t="shared" si="67"/>
        <v>221</v>
      </c>
      <c r="K650" s="32">
        <f t="shared" si="62"/>
        <v>230</v>
      </c>
      <c r="M650" s="33">
        <f t="shared" si="63"/>
        <v>9</v>
      </c>
      <c r="N650" s="33">
        <v>11.4</v>
      </c>
    </row>
    <row r="651" spans="2:15" ht="16.5" customHeight="1">
      <c r="B651" s="30">
        <v>68697890</v>
      </c>
      <c r="C651" s="54" t="s">
        <v>823</v>
      </c>
      <c r="D651" s="13" t="s">
        <v>262</v>
      </c>
      <c r="E651" s="30">
        <v>75</v>
      </c>
      <c r="F651" s="30" t="s">
        <v>73</v>
      </c>
      <c r="G651" s="30">
        <f t="shared" si="64"/>
        <v>76.5</v>
      </c>
      <c r="H651" s="31">
        <f t="shared" si="65"/>
        <v>73.5</v>
      </c>
      <c r="I651" s="31">
        <f t="shared" si="66"/>
        <v>79.5</v>
      </c>
      <c r="J651" s="31">
        <f t="shared" si="67"/>
        <v>70.5</v>
      </c>
      <c r="K651" s="32">
        <f t="shared" si="62"/>
        <v>75</v>
      </c>
      <c r="M651" s="33">
        <f t="shared" si="63"/>
        <v>4.5</v>
      </c>
      <c r="N651" s="33">
        <v>4.5999999999999996</v>
      </c>
    </row>
    <row r="652" spans="2:15" ht="16.5" customHeight="1">
      <c r="B652" s="30">
        <v>68717857</v>
      </c>
      <c r="C652" s="54" t="s">
        <v>824</v>
      </c>
      <c r="D652" s="36" t="s">
        <v>76</v>
      </c>
      <c r="E652" s="30">
        <v>520</v>
      </c>
      <c r="F652" s="30" t="s">
        <v>82</v>
      </c>
      <c r="G652" s="30">
        <f t="shared" si="64"/>
        <v>525</v>
      </c>
      <c r="H652" s="31">
        <f t="shared" si="65"/>
        <v>515</v>
      </c>
      <c r="I652" s="31">
        <f t="shared" si="66"/>
        <v>535</v>
      </c>
      <c r="J652" s="31">
        <f t="shared" si="67"/>
        <v>505</v>
      </c>
      <c r="K652" s="32">
        <f t="shared" si="62"/>
        <v>520</v>
      </c>
      <c r="L652" s="57">
        <v>1</v>
      </c>
      <c r="M652" s="33">
        <f t="shared" si="63"/>
        <v>15</v>
      </c>
      <c r="N652" s="33">
        <v>53.5</v>
      </c>
    </row>
    <row r="653" spans="2:15" ht="16.5" customHeight="1">
      <c r="B653" s="30">
        <v>68535688</v>
      </c>
      <c r="C653" s="54" t="s">
        <v>825</v>
      </c>
      <c r="D653" s="36" t="s">
        <v>76</v>
      </c>
      <c r="E653" s="30">
        <v>30</v>
      </c>
      <c r="F653" s="30" t="s">
        <v>73</v>
      </c>
      <c r="G653" s="30">
        <f t="shared" si="64"/>
        <v>30.9</v>
      </c>
      <c r="H653" s="31">
        <f t="shared" si="65"/>
        <v>29.1</v>
      </c>
      <c r="I653" s="31">
        <f t="shared" si="66"/>
        <v>32.700000000000003</v>
      </c>
      <c r="J653" s="31">
        <f t="shared" si="67"/>
        <v>27.3</v>
      </c>
      <c r="K653" s="32">
        <f t="shared" si="62"/>
        <v>30</v>
      </c>
      <c r="M653" s="33">
        <f t="shared" si="63"/>
        <v>2.6999999999999997</v>
      </c>
      <c r="N653" s="33">
        <v>3.7</v>
      </c>
    </row>
    <row r="654" spans="2:15" ht="16.5" customHeight="1">
      <c r="B654" s="30">
        <v>68274013</v>
      </c>
      <c r="C654" s="54" t="s">
        <v>826</v>
      </c>
      <c r="D654" s="13" t="s">
        <v>767</v>
      </c>
      <c r="E654" s="30">
        <v>140</v>
      </c>
      <c r="F654" s="29" t="s">
        <v>73</v>
      </c>
      <c r="G654" s="30">
        <f t="shared" si="64"/>
        <v>142.1</v>
      </c>
      <c r="H654" s="31">
        <f t="shared" si="65"/>
        <v>137.9</v>
      </c>
      <c r="I654" s="31">
        <f t="shared" si="66"/>
        <v>146.30000000000001</v>
      </c>
      <c r="J654" s="31">
        <f t="shared" si="67"/>
        <v>133.69999999999999</v>
      </c>
      <c r="K654" s="32">
        <f t="shared" si="62"/>
        <v>140</v>
      </c>
      <c r="M654" s="33">
        <f t="shared" si="63"/>
        <v>6.3</v>
      </c>
      <c r="N654" s="33">
        <v>7</v>
      </c>
    </row>
    <row r="655" spans="2:15" ht="16.5" customHeight="1">
      <c r="B655" s="30">
        <v>68737000</v>
      </c>
      <c r="C655" s="54" t="s">
        <v>827</v>
      </c>
      <c r="D655" s="36" t="s">
        <v>76</v>
      </c>
      <c r="E655" s="30">
        <v>180</v>
      </c>
      <c r="F655" s="30" t="s">
        <v>73</v>
      </c>
      <c r="G655" s="30">
        <f t="shared" si="64"/>
        <v>182.7</v>
      </c>
      <c r="H655" s="31">
        <f t="shared" si="65"/>
        <v>177.3</v>
      </c>
      <c r="I655" s="31">
        <f t="shared" si="66"/>
        <v>188.1</v>
      </c>
      <c r="J655" s="31">
        <f t="shared" si="67"/>
        <v>171.9</v>
      </c>
      <c r="K655" s="32">
        <f t="shared" si="62"/>
        <v>180</v>
      </c>
      <c r="M655" s="33">
        <f>IF(P655="TL tuyệt đối",0, IF(K655&lt;5,0,IF(K655&lt;50,K655*9%,IF(K655&lt;100,4.5,IF(K655&lt;200,4.5%*K655,IF(K655&lt;300,9,IF(K655&lt;500,K655*3%,IF(K655&lt;1000,15,))))))))</f>
        <v>8.1</v>
      </c>
      <c r="N655" s="33">
        <v>8.1999999999999993</v>
      </c>
    </row>
    <row r="656" spans="2:15" ht="16.5" customHeight="1">
      <c r="B656" s="81">
        <v>68878776</v>
      </c>
      <c r="C656" s="82" t="s">
        <v>828</v>
      </c>
      <c r="D656" s="36" t="s">
        <v>76</v>
      </c>
      <c r="E656" s="30">
        <v>180</v>
      </c>
      <c r="F656" s="30" t="s">
        <v>73</v>
      </c>
      <c r="G656" s="30">
        <f t="shared" si="64"/>
        <v>182.7</v>
      </c>
      <c r="H656" s="31">
        <f t="shared" si="65"/>
        <v>177.3</v>
      </c>
      <c r="I656" s="31">
        <f t="shared" si="66"/>
        <v>188.1</v>
      </c>
      <c r="J656" s="31">
        <f t="shared" si="67"/>
        <v>171.9</v>
      </c>
      <c r="K656" s="32">
        <f t="shared" si="62"/>
        <v>180</v>
      </c>
      <c r="M656" s="33">
        <f t="shared" si="63"/>
        <v>8.1</v>
      </c>
      <c r="N656" s="33">
        <v>7.4</v>
      </c>
    </row>
    <row r="657" spans="2:14" ht="16.5" customHeight="1">
      <c r="B657" s="81">
        <v>68878780</v>
      </c>
      <c r="C657" s="82" t="s">
        <v>829</v>
      </c>
      <c r="D657" s="36" t="s">
        <v>76</v>
      </c>
      <c r="E657" s="30">
        <v>180</v>
      </c>
      <c r="F657" s="30" t="s">
        <v>73</v>
      </c>
      <c r="G657" s="30">
        <f t="shared" si="64"/>
        <v>182.7</v>
      </c>
      <c r="H657" s="31">
        <f t="shared" si="65"/>
        <v>177.3</v>
      </c>
      <c r="I657" s="31">
        <f t="shared" si="66"/>
        <v>188.1</v>
      </c>
      <c r="J657" s="31">
        <f t="shared" si="67"/>
        <v>171.9</v>
      </c>
      <c r="K657" s="32">
        <f t="shared" si="62"/>
        <v>180</v>
      </c>
      <c r="M657" s="33">
        <f t="shared" si="63"/>
        <v>8.1</v>
      </c>
      <c r="N657" s="33">
        <v>7.4</v>
      </c>
    </row>
    <row r="658" spans="2:14" ht="16.5" customHeight="1">
      <c r="B658" s="30">
        <v>68661613</v>
      </c>
      <c r="C658" s="54" t="s">
        <v>830</v>
      </c>
      <c r="D658" s="13" t="s">
        <v>262</v>
      </c>
      <c r="E658" s="30">
        <v>160</v>
      </c>
      <c r="F658" s="30" t="s">
        <v>73</v>
      </c>
      <c r="G658" s="30">
        <f t="shared" si="64"/>
        <v>162.4</v>
      </c>
      <c r="H658" s="31">
        <f t="shared" si="65"/>
        <v>157.6</v>
      </c>
      <c r="I658" s="31">
        <f t="shared" si="66"/>
        <v>167.2</v>
      </c>
      <c r="J658" s="31">
        <f t="shared" si="67"/>
        <v>152.80000000000001</v>
      </c>
      <c r="K658" s="32">
        <f t="shared" si="62"/>
        <v>160</v>
      </c>
      <c r="M658" s="33">
        <f t="shared" si="63"/>
        <v>7.1999999999999993</v>
      </c>
      <c r="N658" s="33">
        <v>7.3</v>
      </c>
    </row>
    <row r="659" spans="2:14" ht="16.5" customHeight="1">
      <c r="B659" s="30">
        <v>68827854</v>
      </c>
      <c r="C659" s="54" t="s">
        <v>831</v>
      </c>
      <c r="D659" s="36" t="s">
        <v>76</v>
      </c>
      <c r="E659" s="30">
        <v>180</v>
      </c>
      <c r="F659" s="30" t="s">
        <v>73</v>
      </c>
      <c r="G659" s="30">
        <f t="shared" si="64"/>
        <v>182.7</v>
      </c>
      <c r="H659" s="31">
        <f t="shared" si="65"/>
        <v>177.3</v>
      </c>
      <c r="I659" s="31">
        <f t="shared" si="66"/>
        <v>188.1</v>
      </c>
      <c r="J659" s="31">
        <f t="shared" si="67"/>
        <v>171.9</v>
      </c>
      <c r="K659" s="32">
        <f t="shared" si="62"/>
        <v>180</v>
      </c>
      <c r="M659" s="33">
        <f t="shared" si="63"/>
        <v>8.1</v>
      </c>
      <c r="N659" s="33">
        <v>8.1999999999999993</v>
      </c>
    </row>
    <row r="660" spans="2:14" ht="16.5" customHeight="1">
      <c r="B660" s="30">
        <v>68827856</v>
      </c>
      <c r="C660" s="54" t="s">
        <v>832</v>
      </c>
      <c r="D660" s="36" t="s">
        <v>76</v>
      </c>
      <c r="E660" s="30">
        <v>230</v>
      </c>
      <c r="F660" s="30" t="s">
        <v>73</v>
      </c>
      <c r="G660" s="30">
        <f t="shared" si="64"/>
        <v>233</v>
      </c>
      <c r="H660" s="31">
        <f t="shared" si="65"/>
        <v>227</v>
      </c>
      <c r="I660" s="31">
        <f t="shared" si="66"/>
        <v>239</v>
      </c>
      <c r="J660" s="31">
        <f t="shared" si="67"/>
        <v>221</v>
      </c>
      <c r="K660" s="32">
        <f t="shared" si="62"/>
        <v>230</v>
      </c>
      <c r="M660" s="33">
        <f t="shared" si="63"/>
        <v>9</v>
      </c>
      <c r="N660" s="33">
        <v>9</v>
      </c>
    </row>
    <row r="661" spans="2:14" ht="16.5" customHeight="1">
      <c r="B661" s="30">
        <v>68827858</v>
      </c>
      <c r="C661" s="54" t="s">
        <v>833</v>
      </c>
      <c r="D661" s="36" t="s">
        <v>76</v>
      </c>
      <c r="E661" s="30">
        <v>100</v>
      </c>
      <c r="F661" s="30" t="s">
        <v>73</v>
      </c>
      <c r="G661" s="30">
        <f t="shared" si="64"/>
        <v>101.5</v>
      </c>
      <c r="H661" s="31">
        <f t="shared" si="65"/>
        <v>98.5</v>
      </c>
      <c r="I661" s="31">
        <f t="shared" si="66"/>
        <v>104.5</v>
      </c>
      <c r="J661" s="31">
        <f t="shared" si="67"/>
        <v>95.5</v>
      </c>
      <c r="K661" s="32">
        <f t="shared" ref="K661:K720" si="68">IF(F661="ml",E661*L661,E661)</f>
        <v>100</v>
      </c>
      <c r="M661" s="33">
        <f t="shared" si="63"/>
        <v>4.5</v>
      </c>
      <c r="N661" s="33">
        <v>6.1</v>
      </c>
    </row>
    <row r="662" spans="2:14" ht="16.5" customHeight="1">
      <c r="B662" s="30">
        <v>68890075</v>
      </c>
      <c r="C662" s="54" t="s">
        <v>834</v>
      </c>
      <c r="D662" s="36" t="s">
        <v>76</v>
      </c>
      <c r="E662" s="30">
        <v>100</v>
      </c>
      <c r="F662" s="30" t="s">
        <v>73</v>
      </c>
      <c r="G662" s="30">
        <f t="shared" si="64"/>
        <v>101.5</v>
      </c>
      <c r="H662" s="31">
        <f t="shared" si="65"/>
        <v>98.5</v>
      </c>
      <c r="I662" s="31">
        <f t="shared" si="66"/>
        <v>104.5</v>
      </c>
      <c r="J662" s="31">
        <f t="shared" si="67"/>
        <v>95.5</v>
      </c>
      <c r="K662" s="32">
        <f t="shared" si="68"/>
        <v>100</v>
      </c>
      <c r="M662" s="33">
        <f t="shared" si="63"/>
        <v>4.5</v>
      </c>
      <c r="N662" s="33">
        <v>5.6</v>
      </c>
    </row>
    <row r="663" spans="2:14" ht="16.5" customHeight="1">
      <c r="B663" s="30">
        <v>68827846</v>
      </c>
      <c r="C663" s="54" t="s">
        <v>835</v>
      </c>
      <c r="D663" s="36" t="s">
        <v>76</v>
      </c>
      <c r="E663" s="30">
        <v>180</v>
      </c>
      <c r="F663" s="30" t="s">
        <v>73</v>
      </c>
      <c r="G663" s="30">
        <f t="shared" si="64"/>
        <v>182.7</v>
      </c>
      <c r="H663" s="31">
        <f t="shared" si="65"/>
        <v>177.3</v>
      </c>
      <c r="I663" s="31">
        <f t="shared" si="66"/>
        <v>188.1</v>
      </c>
      <c r="J663" s="31">
        <f t="shared" si="67"/>
        <v>171.9</v>
      </c>
      <c r="K663" s="32">
        <f t="shared" si="68"/>
        <v>180</v>
      </c>
      <c r="M663" s="33">
        <f t="shared" si="63"/>
        <v>8.1</v>
      </c>
      <c r="N663" s="33">
        <v>7.4</v>
      </c>
    </row>
    <row r="664" spans="2:14" ht="16.5" customHeight="1">
      <c r="B664" s="30">
        <v>68827850</v>
      </c>
      <c r="C664" s="54" t="s">
        <v>836</v>
      </c>
      <c r="D664" s="36" t="s">
        <v>76</v>
      </c>
      <c r="E664" s="30">
        <v>180</v>
      </c>
      <c r="F664" s="30" t="s">
        <v>73</v>
      </c>
      <c r="G664" s="30">
        <f t="shared" si="64"/>
        <v>182.7</v>
      </c>
      <c r="H664" s="31">
        <f t="shared" si="65"/>
        <v>177.3</v>
      </c>
      <c r="I664" s="31">
        <f t="shared" si="66"/>
        <v>188.1</v>
      </c>
      <c r="J664" s="31">
        <f t="shared" si="67"/>
        <v>171.9</v>
      </c>
      <c r="K664" s="32">
        <f t="shared" si="68"/>
        <v>180</v>
      </c>
      <c r="M664" s="33">
        <f t="shared" si="63"/>
        <v>8.1</v>
      </c>
      <c r="N664" s="33">
        <v>7.4</v>
      </c>
    </row>
    <row r="665" spans="2:14" ht="16.5" customHeight="1">
      <c r="B665" s="30">
        <v>68827848</v>
      </c>
      <c r="C665" s="54" t="s">
        <v>837</v>
      </c>
      <c r="D665" s="36" t="s">
        <v>76</v>
      </c>
      <c r="E665" s="30">
        <v>230</v>
      </c>
      <c r="F665" s="30" t="s">
        <v>73</v>
      </c>
      <c r="G665" s="30">
        <f t="shared" si="64"/>
        <v>233</v>
      </c>
      <c r="H665" s="31">
        <f t="shared" si="65"/>
        <v>227</v>
      </c>
      <c r="I665" s="31">
        <f t="shared" si="66"/>
        <v>239</v>
      </c>
      <c r="J665" s="31">
        <f t="shared" si="67"/>
        <v>221</v>
      </c>
      <c r="K665" s="32">
        <f t="shared" si="68"/>
        <v>230</v>
      </c>
      <c r="M665" s="33">
        <f t="shared" si="63"/>
        <v>9</v>
      </c>
      <c r="N665" s="33">
        <v>9</v>
      </c>
    </row>
    <row r="666" spans="2:14" ht="16.5" customHeight="1">
      <c r="B666" s="30">
        <v>68827864</v>
      </c>
      <c r="C666" s="54" t="s">
        <v>838</v>
      </c>
      <c r="D666" s="36" t="s">
        <v>76</v>
      </c>
      <c r="E666" s="30">
        <v>230</v>
      </c>
      <c r="F666" s="30" t="s">
        <v>73</v>
      </c>
      <c r="G666" s="30">
        <f t="shared" si="64"/>
        <v>233</v>
      </c>
      <c r="H666" s="31">
        <f t="shared" si="65"/>
        <v>227</v>
      </c>
      <c r="I666" s="31">
        <f t="shared" si="66"/>
        <v>239</v>
      </c>
      <c r="J666" s="31">
        <f t="shared" si="67"/>
        <v>221</v>
      </c>
      <c r="K666" s="32">
        <f t="shared" si="68"/>
        <v>230</v>
      </c>
      <c r="M666" s="33">
        <f t="shared" si="63"/>
        <v>9</v>
      </c>
      <c r="N666" s="33">
        <v>9</v>
      </c>
    </row>
    <row r="667" spans="2:14" ht="16.5" customHeight="1">
      <c r="B667" s="30">
        <v>68827852</v>
      </c>
      <c r="C667" s="54" t="s">
        <v>839</v>
      </c>
      <c r="D667" s="36" t="s">
        <v>76</v>
      </c>
      <c r="E667" s="30">
        <v>230</v>
      </c>
      <c r="F667" s="30" t="s">
        <v>73</v>
      </c>
      <c r="G667" s="30">
        <f t="shared" si="64"/>
        <v>233</v>
      </c>
      <c r="H667" s="31">
        <f t="shared" si="65"/>
        <v>227</v>
      </c>
      <c r="I667" s="31">
        <f t="shared" si="66"/>
        <v>239</v>
      </c>
      <c r="J667" s="31">
        <f t="shared" si="67"/>
        <v>221</v>
      </c>
      <c r="K667" s="32">
        <f t="shared" si="68"/>
        <v>230</v>
      </c>
      <c r="M667" s="33">
        <f t="shared" si="63"/>
        <v>9</v>
      </c>
      <c r="N667" s="33">
        <v>8.9</v>
      </c>
    </row>
    <row r="668" spans="2:14" ht="16.5" customHeight="1">
      <c r="B668" s="30">
        <v>68827862</v>
      </c>
      <c r="C668" s="54" t="s">
        <v>840</v>
      </c>
      <c r="D668" s="36" t="s">
        <v>76</v>
      </c>
      <c r="E668" s="30">
        <v>180</v>
      </c>
      <c r="F668" s="30" t="s">
        <v>73</v>
      </c>
      <c r="G668" s="30">
        <f t="shared" si="64"/>
        <v>182.7</v>
      </c>
      <c r="H668" s="31">
        <f t="shared" si="65"/>
        <v>177.3</v>
      </c>
      <c r="I668" s="31">
        <f t="shared" si="66"/>
        <v>188.1</v>
      </c>
      <c r="J668" s="31">
        <f t="shared" si="67"/>
        <v>171.9</v>
      </c>
      <c r="K668" s="32">
        <f t="shared" si="68"/>
        <v>180</v>
      </c>
      <c r="M668" s="33">
        <f t="shared" si="63"/>
        <v>8.1</v>
      </c>
      <c r="N668" s="33">
        <v>7.4</v>
      </c>
    </row>
    <row r="669" spans="2:14" ht="16.5" customHeight="1">
      <c r="B669" s="30">
        <v>68827860</v>
      </c>
      <c r="C669" s="54" t="s">
        <v>841</v>
      </c>
      <c r="D669" s="36" t="s">
        <v>76</v>
      </c>
      <c r="E669" s="30">
        <v>180</v>
      </c>
      <c r="F669" s="30" t="s">
        <v>73</v>
      </c>
      <c r="G669" s="30">
        <f t="shared" si="64"/>
        <v>182.7</v>
      </c>
      <c r="H669" s="31">
        <f t="shared" si="65"/>
        <v>177.3</v>
      </c>
      <c r="I669" s="31">
        <f t="shared" si="66"/>
        <v>188.1</v>
      </c>
      <c r="J669" s="31">
        <f t="shared" si="67"/>
        <v>171.9</v>
      </c>
      <c r="K669" s="32">
        <f t="shared" si="68"/>
        <v>180</v>
      </c>
      <c r="M669" s="33">
        <f t="shared" si="63"/>
        <v>8.1</v>
      </c>
      <c r="N669" s="33">
        <v>7.4</v>
      </c>
    </row>
    <row r="670" spans="2:14" ht="16.5" customHeight="1">
      <c r="B670" s="30">
        <v>68841923</v>
      </c>
      <c r="C670" s="54" t="s">
        <v>842</v>
      </c>
      <c r="D670" s="13" t="s">
        <v>767</v>
      </c>
      <c r="E670" s="30">
        <v>65</v>
      </c>
      <c r="F670" s="30" t="s">
        <v>73</v>
      </c>
      <c r="G670" s="30">
        <f t="shared" si="64"/>
        <v>66.5</v>
      </c>
      <c r="H670" s="31">
        <f t="shared" si="65"/>
        <v>63.5</v>
      </c>
      <c r="I670" s="31">
        <f t="shared" si="66"/>
        <v>69.5</v>
      </c>
      <c r="J670" s="31">
        <f t="shared" si="67"/>
        <v>60.5</v>
      </c>
      <c r="K670" s="32">
        <f t="shared" si="68"/>
        <v>65</v>
      </c>
      <c r="M670" s="33">
        <f t="shared" si="63"/>
        <v>4.5</v>
      </c>
      <c r="N670" s="33">
        <v>4.4000000000000004</v>
      </c>
    </row>
    <row r="671" spans="2:14" ht="16.5" customHeight="1">
      <c r="B671" s="30">
        <v>68827874</v>
      </c>
      <c r="C671" s="54" t="s">
        <v>843</v>
      </c>
      <c r="D671" s="36" t="s">
        <v>76</v>
      </c>
      <c r="E671" s="30">
        <v>30</v>
      </c>
      <c r="F671" s="30" t="s">
        <v>73</v>
      </c>
      <c r="G671" s="30">
        <f t="shared" si="64"/>
        <v>30.9</v>
      </c>
      <c r="H671" s="31">
        <f t="shared" si="65"/>
        <v>29.1</v>
      </c>
      <c r="I671" s="31">
        <f t="shared" si="66"/>
        <v>32.700000000000003</v>
      </c>
      <c r="J671" s="31">
        <f t="shared" si="67"/>
        <v>27.3</v>
      </c>
      <c r="K671" s="32">
        <f t="shared" si="68"/>
        <v>30</v>
      </c>
      <c r="M671" s="33">
        <f>IF(P671="TL tuyệt đối",0, IF(K671&lt;5,0,IF(K671&lt;50,K671*9%,IF(K671&lt;100,4.5,IF(K671&lt;200,4.5%*K671,IF(K671&lt;300,9,IF(K671&lt;500,K671*3%,IF(K671&lt;1000,15,))))))))</f>
        <v>2.6999999999999997</v>
      </c>
      <c r="N671" s="33">
        <v>3.7</v>
      </c>
    </row>
    <row r="672" spans="2:14" ht="16.5" customHeight="1">
      <c r="B672" s="81">
        <v>68917246</v>
      </c>
      <c r="C672" s="82" t="s">
        <v>844</v>
      </c>
      <c r="D672" s="36" t="s">
        <v>76</v>
      </c>
      <c r="E672" s="30">
        <v>230</v>
      </c>
      <c r="F672" s="30" t="s">
        <v>73</v>
      </c>
      <c r="G672" s="30">
        <f t="shared" si="64"/>
        <v>233</v>
      </c>
      <c r="H672" s="31">
        <f t="shared" si="65"/>
        <v>227</v>
      </c>
      <c r="I672" s="31">
        <f t="shared" si="66"/>
        <v>239</v>
      </c>
      <c r="J672" s="31">
        <f t="shared" si="67"/>
        <v>221</v>
      </c>
      <c r="K672" s="32">
        <f t="shared" si="68"/>
        <v>230</v>
      </c>
      <c r="M672" s="33">
        <f t="shared" si="63"/>
        <v>9</v>
      </c>
      <c r="N672" s="33">
        <v>8.6</v>
      </c>
    </row>
    <row r="673" spans="2:16" ht="16.5" customHeight="1">
      <c r="B673" s="30">
        <v>68938870</v>
      </c>
      <c r="C673" s="54" t="s">
        <v>845</v>
      </c>
      <c r="D673" s="36" t="s">
        <v>76</v>
      </c>
      <c r="E673" s="30">
        <v>180</v>
      </c>
      <c r="F673" s="30" t="s">
        <v>73</v>
      </c>
      <c r="G673" s="30">
        <f t="shared" si="64"/>
        <v>182.7</v>
      </c>
      <c r="H673" s="31">
        <f t="shared" si="65"/>
        <v>177.3</v>
      </c>
      <c r="I673" s="31">
        <f t="shared" si="66"/>
        <v>188.1</v>
      </c>
      <c r="J673" s="31">
        <f t="shared" si="67"/>
        <v>171.9</v>
      </c>
      <c r="K673" s="32">
        <f t="shared" si="68"/>
        <v>180</v>
      </c>
      <c r="M673" s="33">
        <f>IF(P673="TL tuyệt đối",0, IF(K673&lt;5,0,IF(K673&lt;50,K673*9%,IF(K673&lt;100,4.5,IF(K673&lt;200,4.5%*K673,IF(K673&lt;300,9,IF(K673&lt;500,K673*3%,IF(K673&lt;1000,15,))))))))</f>
        <v>8.1</v>
      </c>
      <c r="N673" s="33">
        <v>7.3</v>
      </c>
    </row>
    <row r="674" spans="2:16" ht="16.5" customHeight="1">
      <c r="B674" s="30">
        <v>68841921</v>
      </c>
      <c r="C674" s="54" t="s">
        <v>846</v>
      </c>
      <c r="D674" s="36" t="s">
        <v>81</v>
      </c>
      <c r="E674" s="30">
        <v>150</v>
      </c>
      <c r="F674" s="30" t="s">
        <v>73</v>
      </c>
      <c r="G674" s="30">
        <f t="shared" si="64"/>
        <v>152.25</v>
      </c>
      <c r="H674" s="31">
        <f t="shared" si="65"/>
        <v>147.75</v>
      </c>
      <c r="I674" s="31">
        <f t="shared" si="66"/>
        <v>156.75</v>
      </c>
      <c r="J674" s="31">
        <f t="shared" si="67"/>
        <v>143.25</v>
      </c>
      <c r="K674" s="32">
        <f t="shared" si="68"/>
        <v>150</v>
      </c>
      <c r="M674" s="33">
        <f>IF(P674="TL tuyệt đối",0, IF(K674&lt;5,0,IF(K674&lt;50,K674*9%,IF(K674&lt;100,4.5,IF(K674&lt;200,4.5%*K674,IF(K674&lt;300,9,IF(K674&lt;500,K674*3%,IF(K674&lt;1000,15,))))))))</f>
        <v>6.75</v>
      </c>
      <c r="N674" s="33">
        <v>6.8</v>
      </c>
      <c r="P674" s="32"/>
    </row>
    <row r="675" spans="2:16" ht="16.5" customHeight="1">
      <c r="B675" s="30">
        <v>68841925</v>
      </c>
      <c r="C675" s="54" t="s">
        <v>847</v>
      </c>
      <c r="D675" s="13" t="s">
        <v>767</v>
      </c>
      <c r="E675" s="30">
        <v>175</v>
      </c>
      <c r="F675" s="30" t="s">
        <v>73</v>
      </c>
      <c r="G675" s="30">
        <f t="shared" si="64"/>
        <v>177.625</v>
      </c>
      <c r="H675" s="31">
        <f t="shared" si="65"/>
        <v>172.375</v>
      </c>
      <c r="I675" s="31">
        <f t="shared" si="66"/>
        <v>182.875</v>
      </c>
      <c r="J675" s="31">
        <f t="shared" si="67"/>
        <v>167.125</v>
      </c>
      <c r="K675" s="32">
        <f t="shared" si="68"/>
        <v>175</v>
      </c>
      <c r="M675" s="33">
        <f>IF(P675="TL tuyệt đối",0, IF(K675&lt;5,0,IF(K675&lt;50,K675*9%,IF(K675&lt;100,4.5,IF(K675&lt;200,4.5%*K675,IF(K675&lt;300,9,IF(K675&lt;500,K675*3%,IF(K675&lt;1000,15,))))))))</f>
        <v>7.875</v>
      </c>
      <c r="N675" s="33">
        <v>7.2</v>
      </c>
    </row>
    <row r="676" spans="2:16" ht="16.5" customHeight="1">
      <c r="B676" s="30">
        <v>68875032</v>
      </c>
      <c r="C676" s="54" t="s">
        <v>848</v>
      </c>
      <c r="D676" s="13" t="s">
        <v>262</v>
      </c>
      <c r="E676" s="30">
        <v>150</v>
      </c>
      <c r="F676" s="30" t="s">
        <v>73</v>
      </c>
      <c r="G676" s="30">
        <f t="shared" si="64"/>
        <v>152.25</v>
      </c>
      <c r="H676" s="31">
        <f t="shared" si="65"/>
        <v>147.75</v>
      </c>
      <c r="I676" s="31">
        <f t="shared" si="66"/>
        <v>156.75</v>
      </c>
      <c r="J676" s="31">
        <f t="shared" si="67"/>
        <v>143.25</v>
      </c>
      <c r="K676" s="32">
        <f t="shared" si="68"/>
        <v>150</v>
      </c>
      <c r="M676" s="33">
        <f t="shared" si="63"/>
        <v>6.75</v>
      </c>
      <c r="N676" s="33">
        <v>6.8</v>
      </c>
    </row>
    <row r="677" spans="2:16" ht="16.5" customHeight="1">
      <c r="B677" s="30">
        <v>68827872</v>
      </c>
      <c r="C677" s="54" t="s">
        <v>849</v>
      </c>
      <c r="D677" s="36" t="s">
        <v>76</v>
      </c>
      <c r="E677" s="30">
        <v>30</v>
      </c>
      <c r="F677" s="30" t="s">
        <v>73</v>
      </c>
      <c r="G677" s="30">
        <f t="shared" si="64"/>
        <v>30.9</v>
      </c>
      <c r="H677" s="31">
        <f t="shared" si="65"/>
        <v>29.1</v>
      </c>
      <c r="I677" s="31">
        <f t="shared" si="66"/>
        <v>32.700000000000003</v>
      </c>
      <c r="J677" s="31">
        <f t="shared" si="67"/>
        <v>27.3</v>
      </c>
      <c r="K677" s="32">
        <f t="shared" si="68"/>
        <v>30</v>
      </c>
      <c r="M677" s="33">
        <f>IF(P677="TL tuyệt đối",0, IF(K677&lt;5,0,IF(K677&lt;50,K677*9%,IF(K677&lt;100,4.5,IF(K677&lt;200,4.5%*K677,IF(K677&lt;300,9,IF(K677&lt;500,K677*3%,IF(K677&lt;1000,15,))))))))</f>
        <v>2.6999999999999997</v>
      </c>
      <c r="N677" s="33">
        <v>3.7</v>
      </c>
    </row>
    <row r="678" spans="2:16" ht="16.5" customHeight="1">
      <c r="B678" s="30">
        <v>68827868</v>
      </c>
      <c r="C678" s="54" t="s">
        <v>850</v>
      </c>
      <c r="D678" s="36" t="s">
        <v>76</v>
      </c>
      <c r="E678" s="30">
        <v>30</v>
      </c>
      <c r="F678" s="30" t="s">
        <v>73</v>
      </c>
      <c r="G678" s="30">
        <f t="shared" si="64"/>
        <v>30.9</v>
      </c>
      <c r="H678" s="31">
        <f t="shared" si="65"/>
        <v>29.1</v>
      </c>
      <c r="I678" s="31">
        <f t="shared" si="66"/>
        <v>32.700000000000003</v>
      </c>
      <c r="J678" s="31">
        <f t="shared" si="67"/>
        <v>27.3</v>
      </c>
      <c r="K678" s="32">
        <f t="shared" si="68"/>
        <v>30</v>
      </c>
      <c r="M678" s="33">
        <f t="shared" si="63"/>
        <v>2.6999999999999997</v>
      </c>
      <c r="N678" s="33">
        <v>3.7</v>
      </c>
    </row>
    <row r="679" spans="2:16" ht="16.5" customHeight="1">
      <c r="B679" s="30">
        <v>68827866</v>
      </c>
      <c r="C679" s="54" t="s">
        <v>851</v>
      </c>
      <c r="D679" s="36" t="s">
        <v>76</v>
      </c>
      <c r="E679" s="30">
        <v>30</v>
      </c>
      <c r="F679" s="30" t="s">
        <v>73</v>
      </c>
      <c r="G679" s="30">
        <f t="shared" si="64"/>
        <v>30.9</v>
      </c>
      <c r="H679" s="31">
        <f t="shared" si="65"/>
        <v>29.1</v>
      </c>
      <c r="I679" s="31">
        <f t="shared" si="66"/>
        <v>32.700000000000003</v>
      </c>
      <c r="J679" s="31">
        <f t="shared" si="67"/>
        <v>27.3</v>
      </c>
      <c r="K679" s="32">
        <f t="shared" si="68"/>
        <v>30</v>
      </c>
      <c r="M679" s="33">
        <f t="shared" si="63"/>
        <v>2.6999999999999997</v>
      </c>
      <c r="N679" s="33">
        <v>3.6</v>
      </c>
    </row>
    <row r="680" spans="2:16" ht="16.5" customHeight="1">
      <c r="B680" s="30">
        <v>68890073</v>
      </c>
      <c r="C680" s="54" t="s">
        <v>852</v>
      </c>
      <c r="D680" s="36" t="s">
        <v>76</v>
      </c>
      <c r="E680" s="30">
        <v>230</v>
      </c>
      <c r="F680" s="30" t="s">
        <v>73</v>
      </c>
      <c r="G680" s="30">
        <f t="shared" si="64"/>
        <v>233</v>
      </c>
      <c r="H680" s="31">
        <f t="shared" si="65"/>
        <v>227</v>
      </c>
      <c r="I680" s="31">
        <f t="shared" si="66"/>
        <v>239</v>
      </c>
      <c r="J680" s="31">
        <f t="shared" si="67"/>
        <v>221</v>
      </c>
      <c r="K680" s="32">
        <f t="shared" si="68"/>
        <v>230</v>
      </c>
      <c r="M680" s="33">
        <f t="shared" si="63"/>
        <v>9</v>
      </c>
      <c r="N680" s="33">
        <v>8.6</v>
      </c>
    </row>
    <row r="681" spans="2:16" ht="16.5" customHeight="1">
      <c r="B681" s="30">
        <v>69557156</v>
      </c>
      <c r="C681" s="54" t="s">
        <v>853</v>
      </c>
      <c r="D681" s="36" t="s">
        <v>76</v>
      </c>
      <c r="E681" s="30">
        <v>180</v>
      </c>
      <c r="F681" s="30" t="s">
        <v>73</v>
      </c>
      <c r="G681" s="30">
        <f t="shared" si="64"/>
        <v>182.7</v>
      </c>
      <c r="H681" s="31">
        <f t="shared" si="65"/>
        <v>177.3</v>
      </c>
      <c r="I681" s="31">
        <f t="shared" si="66"/>
        <v>188.1</v>
      </c>
      <c r="J681" s="31">
        <f t="shared" si="67"/>
        <v>171.9</v>
      </c>
      <c r="K681" s="32">
        <f t="shared" si="68"/>
        <v>180</v>
      </c>
      <c r="M681" s="33">
        <f t="shared" si="63"/>
        <v>8.1</v>
      </c>
      <c r="N681" s="33">
        <v>7.4</v>
      </c>
    </row>
    <row r="682" spans="2:16" ht="16.5" customHeight="1">
      <c r="B682" s="30">
        <v>68867715</v>
      </c>
      <c r="C682" s="54" t="s">
        <v>854</v>
      </c>
      <c r="D682" s="13" t="s">
        <v>262</v>
      </c>
      <c r="E682" s="30">
        <v>70</v>
      </c>
      <c r="F682" s="30" t="s">
        <v>73</v>
      </c>
      <c r="G682" s="30">
        <f t="shared" si="64"/>
        <v>71.5</v>
      </c>
      <c r="H682" s="31">
        <f t="shared" si="65"/>
        <v>68.5</v>
      </c>
      <c r="I682" s="31">
        <f t="shared" si="66"/>
        <v>74.5</v>
      </c>
      <c r="J682" s="31">
        <f t="shared" si="67"/>
        <v>65.5</v>
      </c>
      <c r="K682" s="32">
        <f t="shared" si="68"/>
        <v>70</v>
      </c>
      <c r="M682" s="33">
        <f t="shared" si="63"/>
        <v>4.5</v>
      </c>
      <c r="N682" s="33">
        <v>4.2</v>
      </c>
    </row>
    <row r="683" spans="2:16" ht="16.5" customHeight="1">
      <c r="B683" s="30">
        <v>68908116</v>
      </c>
      <c r="C683" s="54" t="s">
        <v>855</v>
      </c>
      <c r="D683" s="36" t="s">
        <v>76</v>
      </c>
      <c r="E683" s="30">
        <v>230</v>
      </c>
      <c r="F683" s="30" t="s">
        <v>73</v>
      </c>
      <c r="G683" s="30">
        <f t="shared" si="64"/>
        <v>233</v>
      </c>
      <c r="H683" s="31">
        <f t="shared" si="65"/>
        <v>227</v>
      </c>
      <c r="I683" s="31">
        <f t="shared" si="66"/>
        <v>239</v>
      </c>
      <c r="J683" s="31">
        <f t="shared" si="67"/>
        <v>221</v>
      </c>
      <c r="K683" s="32">
        <f t="shared" si="68"/>
        <v>230</v>
      </c>
      <c r="M683" s="33">
        <f t="shared" si="63"/>
        <v>9</v>
      </c>
      <c r="N683" s="33">
        <v>11.4</v>
      </c>
    </row>
    <row r="684" spans="2:16" ht="16.5" customHeight="1">
      <c r="B684" s="30">
        <v>68908120</v>
      </c>
      <c r="C684" s="54" t="s">
        <v>856</v>
      </c>
      <c r="D684" s="36" t="s">
        <v>76</v>
      </c>
      <c r="E684" s="30">
        <v>230</v>
      </c>
      <c r="F684" s="30" t="s">
        <v>73</v>
      </c>
      <c r="G684" s="30">
        <f t="shared" si="64"/>
        <v>233</v>
      </c>
      <c r="H684" s="31">
        <f t="shared" si="65"/>
        <v>227</v>
      </c>
      <c r="I684" s="31">
        <f t="shared" si="66"/>
        <v>239</v>
      </c>
      <c r="J684" s="31">
        <f t="shared" si="67"/>
        <v>221</v>
      </c>
      <c r="K684" s="32">
        <f t="shared" si="68"/>
        <v>230</v>
      </c>
      <c r="M684" s="33">
        <f t="shared" si="63"/>
        <v>9</v>
      </c>
      <c r="N684" s="33">
        <v>11.4</v>
      </c>
    </row>
    <row r="685" spans="2:16" ht="16.5" customHeight="1">
      <c r="B685" s="30">
        <v>68908124</v>
      </c>
      <c r="C685" s="54" t="s">
        <v>857</v>
      </c>
      <c r="D685" s="36" t="s">
        <v>76</v>
      </c>
      <c r="E685" s="30">
        <v>230</v>
      </c>
      <c r="F685" s="30" t="s">
        <v>73</v>
      </c>
      <c r="G685" s="30">
        <f t="shared" si="64"/>
        <v>233</v>
      </c>
      <c r="H685" s="31">
        <f t="shared" si="65"/>
        <v>227</v>
      </c>
      <c r="I685" s="31">
        <f t="shared" si="66"/>
        <v>239</v>
      </c>
      <c r="J685" s="31">
        <f t="shared" si="67"/>
        <v>221</v>
      </c>
      <c r="K685" s="32">
        <f t="shared" si="68"/>
        <v>230</v>
      </c>
      <c r="M685" s="33">
        <f t="shared" si="63"/>
        <v>9</v>
      </c>
      <c r="N685" s="33">
        <v>11.4</v>
      </c>
    </row>
    <row r="686" spans="2:16" ht="16.5" customHeight="1">
      <c r="B686" s="30">
        <v>69570858</v>
      </c>
      <c r="C686" s="54" t="s">
        <v>858</v>
      </c>
      <c r="D686" s="36" t="s">
        <v>76</v>
      </c>
      <c r="E686" s="30">
        <v>180</v>
      </c>
      <c r="F686" s="30" t="s">
        <v>73</v>
      </c>
      <c r="G686" s="30">
        <f t="shared" si="64"/>
        <v>182.7</v>
      </c>
      <c r="H686" s="31">
        <f t="shared" si="65"/>
        <v>177.3</v>
      </c>
      <c r="I686" s="31">
        <f t="shared" si="66"/>
        <v>188.1</v>
      </c>
      <c r="J686" s="31">
        <f t="shared" si="67"/>
        <v>171.9</v>
      </c>
      <c r="K686" s="32">
        <f t="shared" si="68"/>
        <v>180</v>
      </c>
      <c r="M686" s="33">
        <f t="shared" si="63"/>
        <v>8.1</v>
      </c>
      <c r="N686" s="33">
        <v>7.4</v>
      </c>
    </row>
    <row r="687" spans="2:16" ht="16.5" customHeight="1">
      <c r="B687" s="30">
        <v>68908122</v>
      </c>
      <c r="C687" s="54" t="s">
        <v>859</v>
      </c>
      <c r="D687" s="36" t="s">
        <v>76</v>
      </c>
      <c r="E687" s="30">
        <v>180</v>
      </c>
      <c r="F687" s="30" t="s">
        <v>73</v>
      </c>
      <c r="G687" s="30">
        <f t="shared" si="64"/>
        <v>182.7</v>
      </c>
      <c r="H687" s="31">
        <f t="shared" si="65"/>
        <v>177.3</v>
      </c>
      <c r="I687" s="31">
        <f t="shared" si="66"/>
        <v>188.1</v>
      </c>
      <c r="J687" s="31">
        <f t="shared" si="67"/>
        <v>171.9</v>
      </c>
      <c r="K687" s="32">
        <f t="shared" si="68"/>
        <v>180</v>
      </c>
      <c r="M687" s="33">
        <f t="shared" si="63"/>
        <v>8.1</v>
      </c>
      <c r="N687" s="33">
        <v>9.4</v>
      </c>
    </row>
    <row r="688" spans="2:16" ht="16.5" customHeight="1">
      <c r="B688" s="30">
        <v>68908118</v>
      </c>
      <c r="C688" s="54" t="s">
        <v>860</v>
      </c>
      <c r="D688" s="36" t="s">
        <v>76</v>
      </c>
      <c r="E688" s="30">
        <v>180</v>
      </c>
      <c r="F688" s="30" t="s">
        <v>73</v>
      </c>
      <c r="G688" s="30">
        <f t="shared" si="64"/>
        <v>182.7</v>
      </c>
      <c r="H688" s="31">
        <f t="shared" si="65"/>
        <v>177.3</v>
      </c>
      <c r="I688" s="31">
        <f t="shared" si="66"/>
        <v>188.1</v>
      </c>
      <c r="J688" s="31">
        <f t="shared" si="67"/>
        <v>171.9</v>
      </c>
      <c r="K688" s="32">
        <f t="shared" si="68"/>
        <v>180</v>
      </c>
      <c r="M688" s="33">
        <f t="shared" si="63"/>
        <v>8.1</v>
      </c>
      <c r="N688" s="33">
        <v>9.4</v>
      </c>
    </row>
    <row r="689" spans="1:16" ht="16.5" customHeight="1">
      <c r="B689" s="85">
        <v>68931609</v>
      </c>
      <c r="C689" s="86" t="s">
        <v>861</v>
      </c>
      <c r="D689" s="36" t="s">
        <v>76</v>
      </c>
      <c r="E689" s="30">
        <v>30</v>
      </c>
      <c r="F689" s="30" t="s">
        <v>73</v>
      </c>
      <c r="G689" s="30">
        <f t="shared" si="64"/>
        <v>30.9</v>
      </c>
      <c r="H689" s="31">
        <f t="shared" si="65"/>
        <v>29.1</v>
      </c>
      <c r="I689" s="31">
        <f t="shared" si="66"/>
        <v>32.700000000000003</v>
      </c>
      <c r="J689" s="31">
        <f t="shared" si="67"/>
        <v>27.3</v>
      </c>
      <c r="K689" s="32">
        <f t="shared" si="68"/>
        <v>30</v>
      </c>
      <c r="M689" s="33">
        <f t="shared" si="63"/>
        <v>2.6999999999999997</v>
      </c>
      <c r="N689" s="33">
        <v>3.7</v>
      </c>
    </row>
    <row r="690" spans="1:16" ht="16.5" customHeight="1">
      <c r="B690" s="30">
        <v>69570863</v>
      </c>
      <c r="C690" s="54" t="s">
        <v>862</v>
      </c>
      <c r="D690" s="36" t="s">
        <v>76</v>
      </c>
      <c r="E690" s="30">
        <v>180</v>
      </c>
      <c r="F690" s="30" t="s">
        <v>73</v>
      </c>
      <c r="G690" s="30">
        <f t="shared" si="64"/>
        <v>182.7</v>
      </c>
      <c r="H690" s="31">
        <f t="shared" si="65"/>
        <v>177.3</v>
      </c>
      <c r="I690" s="31">
        <f t="shared" si="66"/>
        <v>188.1</v>
      </c>
      <c r="J690" s="31">
        <f t="shared" si="67"/>
        <v>171.9</v>
      </c>
      <c r="K690" s="32">
        <f t="shared" si="68"/>
        <v>180</v>
      </c>
      <c r="M690" s="33">
        <f t="shared" si="63"/>
        <v>8.1</v>
      </c>
      <c r="N690" s="33">
        <v>7.4</v>
      </c>
    </row>
    <row r="691" spans="1:16" ht="16.5" customHeight="1">
      <c r="B691" s="30">
        <v>69579797</v>
      </c>
      <c r="C691" s="54" t="s">
        <v>863</v>
      </c>
      <c r="D691" s="36" t="s">
        <v>76</v>
      </c>
      <c r="E691" s="30">
        <v>230</v>
      </c>
      <c r="F691" s="30" t="s">
        <v>73</v>
      </c>
      <c r="G691" s="30">
        <f t="shared" si="64"/>
        <v>233</v>
      </c>
      <c r="H691" s="31">
        <f t="shared" si="65"/>
        <v>227</v>
      </c>
      <c r="I691" s="31">
        <f t="shared" si="66"/>
        <v>239</v>
      </c>
      <c r="J691" s="31">
        <f t="shared" si="67"/>
        <v>221</v>
      </c>
      <c r="K691" s="32">
        <f t="shared" si="68"/>
        <v>230</v>
      </c>
      <c r="M691" s="33">
        <f t="shared" si="63"/>
        <v>9</v>
      </c>
      <c r="N691" s="33">
        <v>8.6</v>
      </c>
    </row>
    <row r="692" spans="1:16" ht="16.5" customHeight="1">
      <c r="A692" s="76" t="s">
        <v>693</v>
      </c>
      <c r="B692" s="87">
        <v>69624543</v>
      </c>
      <c r="C692" s="80" t="s">
        <v>864</v>
      </c>
      <c r="D692" s="36" t="s">
        <v>76</v>
      </c>
      <c r="E692" s="30">
        <v>500</v>
      </c>
      <c r="F692" s="30" t="s">
        <v>82</v>
      </c>
      <c r="G692" s="30">
        <f t="shared" si="64"/>
        <v>507.49999999999994</v>
      </c>
      <c r="H692" s="31">
        <f t="shared" si="65"/>
        <v>497.49999999999994</v>
      </c>
      <c r="I692" s="31">
        <f t="shared" si="66"/>
        <v>517.5</v>
      </c>
      <c r="J692" s="31">
        <f t="shared" si="67"/>
        <v>487.49999999999994</v>
      </c>
      <c r="K692" s="32">
        <f t="shared" si="68"/>
        <v>502.49999999999994</v>
      </c>
      <c r="L692" s="57">
        <v>1.0049999999999999</v>
      </c>
      <c r="M692" s="33">
        <f t="shared" si="63"/>
        <v>15</v>
      </c>
      <c r="N692" s="33">
        <v>63.7</v>
      </c>
      <c r="P692" s="32"/>
    </row>
    <row r="693" spans="1:16" ht="16.5" customHeight="1">
      <c r="A693" s="76" t="s">
        <v>693</v>
      </c>
      <c r="B693" s="87">
        <v>69624544</v>
      </c>
      <c r="C693" s="80" t="s">
        <v>865</v>
      </c>
      <c r="D693" s="36" t="s">
        <v>76</v>
      </c>
      <c r="E693" s="30">
        <v>500</v>
      </c>
      <c r="F693" s="30" t="s">
        <v>82</v>
      </c>
      <c r="G693" s="30">
        <f t="shared" si="64"/>
        <v>507.49999999999994</v>
      </c>
      <c r="H693" s="31">
        <f t="shared" si="65"/>
        <v>497.49999999999994</v>
      </c>
      <c r="I693" s="31">
        <f t="shared" si="66"/>
        <v>517.5</v>
      </c>
      <c r="J693" s="31">
        <f t="shared" si="67"/>
        <v>487.49999999999994</v>
      </c>
      <c r="K693" s="32">
        <f t="shared" si="68"/>
        <v>502.49999999999994</v>
      </c>
      <c r="L693" s="57">
        <v>1.0049999999999999</v>
      </c>
      <c r="M693" s="33">
        <f t="shared" si="63"/>
        <v>15</v>
      </c>
      <c r="N693" s="33">
        <v>63.7</v>
      </c>
      <c r="P693" s="32"/>
    </row>
    <row r="694" spans="1:16" ht="16.5" customHeight="1">
      <c r="B694" s="30">
        <v>69648031</v>
      </c>
      <c r="C694" s="54" t="s">
        <v>866</v>
      </c>
      <c r="D694" s="36" t="s">
        <v>76</v>
      </c>
      <c r="E694" s="30">
        <v>180</v>
      </c>
      <c r="F694" s="30" t="s">
        <v>73</v>
      </c>
      <c r="G694" s="30">
        <f t="shared" si="64"/>
        <v>182.7</v>
      </c>
      <c r="H694" s="31">
        <f t="shared" si="65"/>
        <v>177.3</v>
      </c>
      <c r="I694" s="31">
        <f t="shared" si="66"/>
        <v>188.1</v>
      </c>
      <c r="J694" s="31">
        <f t="shared" si="67"/>
        <v>171.9</v>
      </c>
      <c r="K694" s="32">
        <f t="shared" si="68"/>
        <v>180</v>
      </c>
      <c r="M694" s="33">
        <f t="shared" si="63"/>
        <v>8.1</v>
      </c>
      <c r="N694" s="33">
        <v>7.4</v>
      </c>
    </row>
    <row r="695" spans="1:16" ht="16.5" customHeight="1">
      <c r="B695" s="30">
        <v>69670676</v>
      </c>
      <c r="C695" s="54" t="s">
        <v>867</v>
      </c>
      <c r="D695" s="36" t="s">
        <v>76</v>
      </c>
      <c r="E695" s="30">
        <v>180</v>
      </c>
      <c r="F695" s="30" t="s">
        <v>73</v>
      </c>
      <c r="G695" s="30">
        <f t="shared" si="64"/>
        <v>182.7</v>
      </c>
      <c r="H695" s="31">
        <f t="shared" si="65"/>
        <v>177.3</v>
      </c>
      <c r="I695" s="31">
        <f t="shared" si="66"/>
        <v>188.1</v>
      </c>
      <c r="J695" s="31">
        <f t="shared" si="67"/>
        <v>171.9</v>
      </c>
      <c r="K695" s="32">
        <f t="shared" si="68"/>
        <v>180</v>
      </c>
      <c r="M695" s="33">
        <f t="shared" si="63"/>
        <v>8.1</v>
      </c>
      <c r="N695" s="33">
        <v>7.3</v>
      </c>
    </row>
    <row r="696" spans="1:16" ht="16.5" customHeight="1">
      <c r="B696" s="30">
        <v>69671706</v>
      </c>
      <c r="C696" s="54" t="s">
        <v>868</v>
      </c>
      <c r="D696" s="36" t="s">
        <v>76</v>
      </c>
      <c r="E696" s="30">
        <v>520</v>
      </c>
      <c r="F696" s="30" t="s">
        <v>82</v>
      </c>
      <c r="G696" s="30">
        <f t="shared" si="64"/>
        <v>525</v>
      </c>
      <c r="H696" s="31">
        <f t="shared" si="65"/>
        <v>515</v>
      </c>
      <c r="I696" s="31">
        <f t="shared" si="66"/>
        <v>535</v>
      </c>
      <c r="J696" s="31">
        <f t="shared" si="67"/>
        <v>505</v>
      </c>
      <c r="K696" s="32">
        <f t="shared" si="68"/>
        <v>520</v>
      </c>
      <c r="L696" s="57">
        <v>1</v>
      </c>
      <c r="M696" s="33">
        <f t="shared" si="63"/>
        <v>15</v>
      </c>
      <c r="N696" s="33">
        <v>53.5</v>
      </c>
    </row>
    <row r="697" spans="1:16" ht="16.5" customHeight="1">
      <c r="B697" s="30">
        <v>69671715</v>
      </c>
      <c r="C697" s="54" t="s">
        <v>869</v>
      </c>
      <c r="D697" s="36" t="s">
        <v>76</v>
      </c>
      <c r="E697" s="30">
        <v>520</v>
      </c>
      <c r="F697" s="30" t="s">
        <v>82</v>
      </c>
      <c r="G697" s="30">
        <f t="shared" si="64"/>
        <v>527.59999999999991</v>
      </c>
      <c r="H697" s="31">
        <f t="shared" si="65"/>
        <v>517.59999999999991</v>
      </c>
      <c r="I697" s="31">
        <f t="shared" si="66"/>
        <v>537.59999999999991</v>
      </c>
      <c r="J697" s="31">
        <f t="shared" si="67"/>
        <v>507.59999999999991</v>
      </c>
      <c r="K697" s="32">
        <f t="shared" si="68"/>
        <v>522.59999999999991</v>
      </c>
      <c r="L697" s="57">
        <v>1.0049999999999999</v>
      </c>
      <c r="M697" s="33">
        <f t="shared" si="63"/>
        <v>15</v>
      </c>
      <c r="N697" s="33">
        <v>53.8</v>
      </c>
    </row>
    <row r="698" spans="1:16" ht="16.5" customHeight="1">
      <c r="B698" s="30">
        <v>69671710</v>
      </c>
      <c r="C698" s="54" t="s">
        <v>870</v>
      </c>
      <c r="D698" s="36" t="s">
        <v>76</v>
      </c>
      <c r="E698" s="30">
        <v>500</v>
      </c>
      <c r="F698" s="30" t="s">
        <v>82</v>
      </c>
      <c r="G698" s="30">
        <f t="shared" si="64"/>
        <v>507.49999999999994</v>
      </c>
      <c r="H698" s="31">
        <f t="shared" si="65"/>
        <v>497.49999999999994</v>
      </c>
      <c r="I698" s="31">
        <f t="shared" si="66"/>
        <v>517.5</v>
      </c>
      <c r="J698" s="31">
        <f t="shared" si="67"/>
        <v>487.49999999999994</v>
      </c>
      <c r="K698" s="32">
        <f t="shared" si="68"/>
        <v>502.49999999999994</v>
      </c>
      <c r="L698" s="57">
        <v>1.0049999999999999</v>
      </c>
      <c r="M698" s="33">
        <f t="shared" si="63"/>
        <v>15</v>
      </c>
      <c r="N698" s="33">
        <v>63.7</v>
      </c>
    </row>
    <row r="699" spans="1:16" ht="16.5" customHeight="1">
      <c r="B699" s="30">
        <v>69671708</v>
      </c>
      <c r="C699" s="54" t="s">
        <v>871</v>
      </c>
      <c r="D699" s="36" t="s">
        <v>76</v>
      </c>
      <c r="E699" s="30">
        <v>500</v>
      </c>
      <c r="F699" s="30" t="s">
        <v>82</v>
      </c>
      <c r="G699" s="30">
        <f t="shared" si="64"/>
        <v>507.49999999999994</v>
      </c>
      <c r="H699" s="31">
        <f t="shared" si="65"/>
        <v>497.49999999999994</v>
      </c>
      <c r="I699" s="31">
        <f t="shared" si="66"/>
        <v>517.5</v>
      </c>
      <c r="J699" s="31">
        <f t="shared" si="67"/>
        <v>487.49999999999994</v>
      </c>
      <c r="K699" s="32">
        <f t="shared" si="68"/>
        <v>502.49999999999994</v>
      </c>
      <c r="L699" s="57">
        <v>1.0049999999999999</v>
      </c>
      <c r="M699" s="33">
        <f t="shared" si="63"/>
        <v>15</v>
      </c>
      <c r="N699" s="33">
        <v>63.7</v>
      </c>
    </row>
    <row r="700" spans="1:16" ht="16.5" customHeight="1">
      <c r="B700" s="30">
        <v>69555959</v>
      </c>
      <c r="C700" s="54" t="s">
        <v>872</v>
      </c>
      <c r="D700" s="36" t="s">
        <v>76</v>
      </c>
      <c r="E700" s="30">
        <v>45</v>
      </c>
      <c r="F700" s="30" t="s">
        <v>73</v>
      </c>
      <c r="G700" s="30">
        <f t="shared" si="64"/>
        <v>46.35</v>
      </c>
      <c r="H700" s="31">
        <f t="shared" si="65"/>
        <v>43.65</v>
      </c>
      <c r="I700" s="31">
        <f t="shared" si="66"/>
        <v>49.05</v>
      </c>
      <c r="J700" s="31">
        <f t="shared" si="67"/>
        <v>40.950000000000003</v>
      </c>
      <c r="K700" s="32">
        <f t="shared" si="68"/>
        <v>45</v>
      </c>
      <c r="M700" s="33">
        <f t="shared" ref="M700:M762" si="69">IF(P700="TL tuyệt đối",0, IF(K700&lt;5,0,IF(K700&lt;50,K700*9%,IF(K700&lt;100,4.5,IF(K700&lt;200,4.5%*K700,IF(K700&lt;300,9,IF(K700&lt;500,K700*3%,IF(K700&lt;1000,15,))))))))</f>
        <v>4.05</v>
      </c>
      <c r="N700" s="33">
        <v>3.8</v>
      </c>
    </row>
    <row r="701" spans="1:16" ht="16.5" customHeight="1">
      <c r="B701" s="30">
        <v>69555961</v>
      </c>
      <c r="C701" s="54" t="s">
        <v>873</v>
      </c>
      <c r="D701" s="36" t="s">
        <v>76</v>
      </c>
      <c r="E701" s="30">
        <v>45</v>
      </c>
      <c r="F701" s="30" t="s">
        <v>73</v>
      </c>
      <c r="G701" s="30">
        <f t="shared" si="64"/>
        <v>46.35</v>
      </c>
      <c r="H701" s="31">
        <f t="shared" si="65"/>
        <v>43.65</v>
      </c>
      <c r="I701" s="31">
        <f t="shared" si="66"/>
        <v>49.05</v>
      </c>
      <c r="J701" s="31">
        <f t="shared" si="67"/>
        <v>40.950000000000003</v>
      </c>
      <c r="K701" s="32">
        <f t="shared" si="68"/>
        <v>45</v>
      </c>
      <c r="M701" s="33">
        <f t="shared" si="69"/>
        <v>4.05</v>
      </c>
      <c r="N701" s="33">
        <v>3.8</v>
      </c>
    </row>
    <row r="702" spans="1:16" ht="16.5" customHeight="1">
      <c r="B702" s="30">
        <v>69744550</v>
      </c>
      <c r="C702" s="54" t="s">
        <v>874</v>
      </c>
      <c r="D702" s="36" t="s">
        <v>76</v>
      </c>
      <c r="E702" s="28">
        <v>80</v>
      </c>
      <c r="F702" s="29" t="s">
        <v>73</v>
      </c>
      <c r="G702" s="30">
        <f t="shared" si="64"/>
        <v>81.5</v>
      </c>
      <c r="H702" s="31">
        <f t="shared" si="65"/>
        <v>78.5</v>
      </c>
      <c r="I702" s="31">
        <f t="shared" si="66"/>
        <v>84.5</v>
      </c>
      <c r="J702" s="31">
        <f t="shared" si="67"/>
        <v>75.5</v>
      </c>
      <c r="K702" s="32">
        <f t="shared" si="68"/>
        <v>80</v>
      </c>
      <c r="L702" s="32"/>
      <c r="M702" s="33">
        <f t="shared" si="69"/>
        <v>4.5</v>
      </c>
      <c r="N702" s="33">
        <v>6.3</v>
      </c>
    </row>
    <row r="703" spans="1:16" ht="16.5" customHeight="1">
      <c r="B703" s="30">
        <v>69744548</v>
      </c>
      <c r="C703" s="54" t="s">
        <v>875</v>
      </c>
      <c r="D703" s="36" t="s">
        <v>76</v>
      </c>
      <c r="E703" s="28">
        <v>80</v>
      </c>
      <c r="F703" s="29" t="s">
        <v>73</v>
      </c>
      <c r="G703" s="30">
        <f>IF(P703="TL tuyệt đối",K703*103%,K703+1/3*M703)</f>
        <v>81.5</v>
      </c>
      <c r="H703" s="31">
        <f>IF(P703="TL tuyệt đối",K703*101%,K703-1/3*M703)</f>
        <v>78.5</v>
      </c>
      <c r="I703" s="31">
        <f>IF(P703="TL tuyệt đối", K703*105%,K703+M703)</f>
        <v>84.5</v>
      </c>
      <c r="J703" s="31">
        <f>K703-M703</f>
        <v>75.5</v>
      </c>
      <c r="K703" s="32">
        <f t="shared" si="68"/>
        <v>80</v>
      </c>
      <c r="M703" s="33">
        <f t="shared" si="69"/>
        <v>4.5</v>
      </c>
      <c r="N703" s="33">
        <v>6.3</v>
      </c>
    </row>
    <row r="704" spans="1:16" ht="16.5" customHeight="1">
      <c r="B704" s="30">
        <v>69786146</v>
      </c>
      <c r="C704" s="54" t="s">
        <v>876</v>
      </c>
      <c r="D704" s="36" t="s">
        <v>76</v>
      </c>
      <c r="E704" s="30">
        <v>100</v>
      </c>
      <c r="F704" s="29" t="s">
        <v>73</v>
      </c>
      <c r="G704" s="30">
        <f t="shared" ref="G704:G767" si="70">IF(P704="TL tuyệt đối",K704*103%,K704+1/3*M704)</f>
        <v>101.5</v>
      </c>
      <c r="H704" s="31">
        <f t="shared" ref="H704:H767" si="71">IF(P704="TL tuyệt đối",K704*101%,K704-1/3*M704)</f>
        <v>98.5</v>
      </c>
      <c r="I704" s="31">
        <f t="shared" ref="I704:I767" si="72">IF(P704="TL tuyệt đối", K704*105%,K704+M704)</f>
        <v>104.5</v>
      </c>
      <c r="J704" s="31">
        <f t="shared" si="67"/>
        <v>95.5</v>
      </c>
      <c r="K704" s="32">
        <f t="shared" si="68"/>
        <v>100</v>
      </c>
      <c r="M704" s="33">
        <f t="shared" si="69"/>
        <v>4.5</v>
      </c>
      <c r="N704" s="33">
        <v>5.7</v>
      </c>
    </row>
    <row r="705" spans="2:16" ht="16.5" customHeight="1">
      <c r="B705" s="30">
        <v>69997163</v>
      </c>
      <c r="C705" s="54" t="s">
        <v>877</v>
      </c>
      <c r="D705" s="36" t="s">
        <v>76</v>
      </c>
      <c r="E705" s="30">
        <v>180</v>
      </c>
      <c r="F705" s="30" t="s">
        <v>73</v>
      </c>
      <c r="G705" s="30">
        <f t="shared" si="70"/>
        <v>182.7</v>
      </c>
      <c r="H705" s="31">
        <f t="shared" si="71"/>
        <v>177.3</v>
      </c>
      <c r="I705" s="31">
        <f t="shared" si="72"/>
        <v>188.1</v>
      </c>
      <c r="J705" s="31">
        <f t="shared" si="67"/>
        <v>171.9</v>
      </c>
      <c r="K705" s="32">
        <f t="shared" si="68"/>
        <v>180</v>
      </c>
      <c r="M705" s="33">
        <f t="shared" si="69"/>
        <v>8.1</v>
      </c>
      <c r="N705" s="33"/>
    </row>
    <row r="706" spans="2:16" ht="16.5" customHeight="1">
      <c r="B706" s="30">
        <v>62694360</v>
      </c>
      <c r="C706" s="54" t="s">
        <v>878</v>
      </c>
      <c r="D706" s="36" t="s">
        <v>76</v>
      </c>
      <c r="E706" s="30">
        <v>180</v>
      </c>
      <c r="F706" s="30" t="s">
        <v>73</v>
      </c>
      <c r="G706" s="30">
        <f t="shared" si="70"/>
        <v>182.7</v>
      </c>
      <c r="H706" s="31">
        <f t="shared" si="71"/>
        <v>177.3</v>
      </c>
      <c r="I706" s="31">
        <f t="shared" si="72"/>
        <v>188.1</v>
      </c>
      <c r="J706" s="31">
        <f t="shared" si="67"/>
        <v>171.9</v>
      </c>
      <c r="K706" s="32">
        <f t="shared" si="68"/>
        <v>180</v>
      </c>
      <c r="M706" s="33">
        <f t="shared" si="69"/>
        <v>8.1</v>
      </c>
      <c r="N706" s="33">
        <v>7.4</v>
      </c>
      <c r="P706" s="32"/>
    </row>
    <row r="707" spans="2:16" ht="16.5" customHeight="1">
      <c r="B707" s="30">
        <v>62694362</v>
      </c>
      <c r="C707" s="54" t="s">
        <v>879</v>
      </c>
      <c r="D707" s="36" t="s">
        <v>76</v>
      </c>
      <c r="E707" s="30">
        <v>180</v>
      </c>
      <c r="F707" s="30" t="s">
        <v>73</v>
      </c>
      <c r="G707" s="30">
        <f>IF(P707="TL tuyệt đối",K707*103%,K707+1/3*M707)</f>
        <v>182.7</v>
      </c>
      <c r="H707" s="31">
        <f>IF(P707="TL tuyệt đối",K707*101%,K707-1/3*M707)</f>
        <v>177.3</v>
      </c>
      <c r="I707" s="31">
        <f>IF(P707="TL tuyệt đối", K707*105%,K707+M707)</f>
        <v>188.1</v>
      </c>
      <c r="J707" s="31">
        <f>K707-M707</f>
        <v>171.9</v>
      </c>
      <c r="K707" s="32">
        <f t="shared" si="68"/>
        <v>180</v>
      </c>
      <c r="M707" s="33">
        <f>IF(P707="TL tuyệt đối",0, IF(K707&lt;5,0,IF(K707&lt;50,K707*9%,IF(K707&lt;100,4.5,IF(K707&lt;200,4.5%*K707,IF(K707&lt;300,9,IF(K707&lt;500,K707*3%,IF(K707&lt;1000,15,))))))))</f>
        <v>8.1</v>
      </c>
      <c r="N707" s="33">
        <v>7.4</v>
      </c>
      <c r="P707" s="32"/>
    </row>
    <row r="708" spans="2:16" ht="16.5" customHeight="1">
      <c r="B708" s="30">
        <v>69772003</v>
      </c>
      <c r="C708" s="54" t="s">
        <v>880</v>
      </c>
      <c r="D708" s="36" t="s">
        <v>76</v>
      </c>
      <c r="E708" s="30">
        <v>230</v>
      </c>
      <c r="F708" s="30" t="s">
        <v>73</v>
      </c>
      <c r="G708" s="30">
        <f t="shared" si="70"/>
        <v>233</v>
      </c>
      <c r="H708" s="31">
        <f t="shared" si="71"/>
        <v>227</v>
      </c>
      <c r="I708" s="31">
        <f t="shared" si="72"/>
        <v>239</v>
      </c>
      <c r="J708" s="31">
        <f t="shared" ref="J708:J771" si="73">K708-M708</f>
        <v>221</v>
      </c>
      <c r="K708" s="32">
        <f t="shared" si="68"/>
        <v>230</v>
      </c>
      <c r="M708" s="33">
        <f t="shared" si="69"/>
        <v>9</v>
      </c>
      <c r="N708" s="33">
        <v>9.1</v>
      </c>
    </row>
    <row r="709" spans="2:16" ht="16.5" customHeight="1">
      <c r="B709" s="30">
        <v>69772001</v>
      </c>
      <c r="C709" s="54" t="s">
        <v>881</v>
      </c>
      <c r="D709" s="36" t="s">
        <v>76</v>
      </c>
      <c r="E709" s="30">
        <v>230</v>
      </c>
      <c r="F709" s="30" t="s">
        <v>73</v>
      </c>
      <c r="G709" s="30">
        <f>IF(P709="TL tuyệt đối",K709*103%,K709+1/3*M709)</f>
        <v>233</v>
      </c>
      <c r="H709" s="31">
        <f>IF(P709="TL tuyệt đối",K709*101%,K709-1/3*M709)</f>
        <v>227</v>
      </c>
      <c r="I709" s="31">
        <f>IF(P709="TL tuyệt đối", K709*105%,K709+M709)</f>
        <v>239</v>
      </c>
      <c r="J709" s="31">
        <f>K709-M709</f>
        <v>221</v>
      </c>
      <c r="K709" s="32">
        <f t="shared" si="68"/>
        <v>230</v>
      </c>
      <c r="M709" s="33">
        <f>IF(P709="TL tuyệt đối",0, IF(K709&lt;5,0,IF(K709&lt;50,K709*9%,IF(K709&lt;100,4.5,IF(K709&lt;200,4.5%*K709,IF(K709&lt;300,9,IF(K709&lt;500,K709*3%,IF(K709&lt;1000,15,))))))))</f>
        <v>9</v>
      </c>
      <c r="N709" s="33">
        <v>9.1</v>
      </c>
    </row>
    <row r="710" spans="2:16" ht="16.5" customHeight="1">
      <c r="B710" s="30">
        <v>69781759</v>
      </c>
      <c r="C710" s="54" t="s">
        <v>882</v>
      </c>
      <c r="D710" s="36" t="s">
        <v>76</v>
      </c>
      <c r="E710" s="38">
        <v>200</v>
      </c>
      <c r="F710" s="30" t="s">
        <v>73</v>
      </c>
      <c r="G710" s="30">
        <f>IF(P710="TL tuyệt đối",K710*103%,K710+1/3*M710)</f>
        <v>203</v>
      </c>
      <c r="H710" s="31">
        <f>IF(P710="TL tuyệt đối",K710*101%,K710-1/3*M710)</f>
        <v>197</v>
      </c>
      <c r="I710" s="31">
        <f>IF(P710="TL tuyệt đối", K710*105%,K710+M710)</f>
        <v>209</v>
      </c>
      <c r="J710" s="31">
        <f>K710-M710</f>
        <v>191</v>
      </c>
      <c r="K710" s="32">
        <f t="shared" si="68"/>
        <v>200</v>
      </c>
      <c r="L710" s="32"/>
      <c r="M710" s="33">
        <f>IF(P710="TL tuyệt đối",0, IF(K710&lt;5,0,IF(K710&lt;50,K710*9%,IF(K710&lt;100,4.5,IF(K710&lt;200,4.5%*K710,IF(K710&lt;300,9,IF(K710&lt;500,K710*3%,IF(K710&lt;1000,15,))))))))</f>
        <v>9</v>
      </c>
      <c r="N710" s="33" t="e">
        <v>#N/A</v>
      </c>
    </row>
    <row r="711" spans="2:16" ht="16.5" customHeight="1">
      <c r="B711" s="30">
        <v>69786144</v>
      </c>
      <c r="C711" s="54" t="s">
        <v>883</v>
      </c>
      <c r="D711" s="36" t="s">
        <v>76</v>
      </c>
      <c r="E711" s="30">
        <v>230</v>
      </c>
      <c r="F711" s="30" t="s">
        <v>73</v>
      </c>
      <c r="G711" s="30">
        <f>IF(P711="TL tuyệt đối",K711*103%,K711+1/3*M711)</f>
        <v>233</v>
      </c>
      <c r="H711" s="31">
        <f>IF(P711="TL tuyệt đối",K711*101%,K711-1/3*M711)</f>
        <v>227</v>
      </c>
      <c r="I711" s="31">
        <f>IF(P711="TL tuyệt đối", K711*105%,K711+M711)</f>
        <v>239</v>
      </c>
      <c r="J711" s="31">
        <f>K711-M711</f>
        <v>221</v>
      </c>
      <c r="K711" s="32">
        <f t="shared" si="68"/>
        <v>230</v>
      </c>
      <c r="M711" s="33">
        <f>IF(P711="TL tuyệt đối",0, IF(K711&lt;5,0,IF(K711&lt;50,K711*9%,IF(K711&lt;100,4.5,IF(K711&lt;200,4.5%*K711,IF(K711&lt;300,9,IF(K711&lt;500,K711*3%,IF(K711&lt;1000,15,))))))))</f>
        <v>9</v>
      </c>
      <c r="N711" s="33"/>
    </row>
    <row r="712" spans="2:16" ht="16.5" customHeight="1">
      <c r="B712" s="30">
        <v>68875034</v>
      </c>
      <c r="C712" s="54" t="s">
        <v>884</v>
      </c>
      <c r="D712" s="13" t="s">
        <v>262</v>
      </c>
      <c r="E712" s="30">
        <v>150</v>
      </c>
      <c r="F712" s="30" t="s">
        <v>73</v>
      </c>
      <c r="G712" s="30">
        <f>IF(P712="TL tuyệt đối",K712*103%,K712+1/3*M712)</f>
        <v>152.25</v>
      </c>
      <c r="H712" s="31">
        <f>IF(P712="TL tuyệt đối",K712*101%,K712-1/3*M712)</f>
        <v>147.75</v>
      </c>
      <c r="I712" s="31">
        <f>IF(P712="TL tuyệt đối", K712*105%,K712+M712)</f>
        <v>156.75</v>
      </c>
      <c r="J712" s="31">
        <f>K712-M712</f>
        <v>143.25</v>
      </c>
      <c r="K712" s="32">
        <f t="shared" si="68"/>
        <v>150</v>
      </c>
      <c r="M712" s="33">
        <f>IF(P712="TL tuyệt đối",0, IF(K712&lt;5,0,IF(K712&lt;50,K712*9%,IF(K712&lt;100,4.5,IF(K712&lt;200,4.5%*K712,IF(K712&lt;300,9,IF(K712&lt;500,K712*3%,IF(K712&lt;1000,15,))))))))</f>
        <v>6.75</v>
      </c>
      <c r="N712" s="33">
        <v>6.8</v>
      </c>
    </row>
    <row r="713" spans="2:16" ht="16.5" customHeight="1">
      <c r="B713" s="30">
        <v>69796038</v>
      </c>
      <c r="C713" s="54" t="s">
        <v>885</v>
      </c>
      <c r="D713" s="36" t="s">
        <v>76</v>
      </c>
      <c r="E713" s="30">
        <v>50</v>
      </c>
      <c r="F713" s="30" t="s">
        <v>73</v>
      </c>
      <c r="G713" s="30">
        <f t="shared" si="70"/>
        <v>51.5</v>
      </c>
      <c r="H713" s="31">
        <f t="shared" si="71"/>
        <v>48.5</v>
      </c>
      <c r="I713" s="31">
        <f t="shared" si="72"/>
        <v>54.5</v>
      </c>
      <c r="J713" s="31">
        <f t="shared" si="73"/>
        <v>45.5</v>
      </c>
      <c r="K713" s="32">
        <f t="shared" si="68"/>
        <v>50</v>
      </c>
      <c r="M713" s="33">
        <f t="shared" si="69"/>
        <v>4.5</v>
      </c>
      <c r="N713" s="33">
        <v>5.4</v>
      </c>
    </row>
    <row r="714" spans="2:16" ht="16.5" customHeight="1">
      <c r="B714" s="30">
        <v>69965469</v>
      </c>
      <c r="C714" s="54" t="s">
        <v>886</v>
      </c>
      <c r="D714" s="36" t="s">
        <v>76</v>
      </c>
      <c r="E714" s="30">
        <v>180</v>
      </c>
      <c r="F714" s="30" t="s">
        <v>73</v>
      </c>
      <c r="G714" s="30">
        <f t="shared" si="70"/>
        <v>182.7</v>
      </c>
      <c r="H714" s="31">
        <f t="shared" si="71"/>
        <v>177.3</v>
      </c>
      <c r="I714" s="31">
        <f t="shared" si="72"/>
        <v>188.1</v>
      </c>
      <c r="J714" s="31">
        <f t="shared" si="73"/>
        <v>171.9</v>
      </c>
      <c r="K714" s="32">
        <f t="shared" si="68"/>
        <v>180</v>
      </c>
      <c r="M714" s="33">
        <f t="shared" si="69"/>
        <v>8.1</v>
      </c>
      <c r="N714" s="33">
        <v>8.1999999999999993</v>
      </c>
    </row>
    <row r="715" spans="2:16" ht="16.5" customHeight="1">
      <c r="B715" s="30">
        <v>69786142</v>
      </c>
      <c r="C715" s="54" t="s">
        <v>887</v>
      </c>
      <c r="D715" s="36" t="s">
        <v>76</v>
      </c>
      <c r="E715" s="30">
        <v>180</v>
      </c>
      <c r="F715" s="30" t="s">
        <v>73</v>
      </c>
      <c r="G715" s="30">
        <f>IF(P715="TL tuyệt đối",K715*103%,K715+1/3*M715)</f>
        <v>182.7</v>
      </c>
      <c r="H715" s="31">
        <f>IF(P715="TL tuyệt đối",K715*101%,K715-1/3*M715)</f>
        <v>177.3</v>
      </c>
      <c r="I715" s="31">
        <f>IF(P715="TL tuyệt đối", K715*105%,K715+M715)</f>
        <v>188.1</v>
      </c>
      <c r="J715" s="31">
        <f>K715-M715</f>
        <v>171.9</v>
      </c>
      <c r="K715" s="32">
        <f t="shared" si="68"/>
        <v>180</v>
      </c>
      <c r="M715" s="33">
        <f>IF(P715="TL tuyệt đối",0, IF(K715&lt;5,0,IF(K715&lt;50,K715*9%,IF(K715&lt;100,4.5,IF(K715&lt;200,4.5%*K715,IF(K715&lt;300,9,IF(K715&lt;500,K715*3%,IF(K715&lt;1000,15,))))))))</f>
        <v>8.1</v>
      </c>
      <c r="N715" s="33">
        <v>7.4</v>
      </c>
    </row>
    <row r="716" spans="2:16" ht="16.5" customHeight="1">
      <c r="B716" s="88">
        <v>62674331</v>
      </c>
      <c r="C716" s="89" t="s">
        <v>888</v>
      </c>
      <c r="D716" s="36" t="s">
        <v>76</v>
      </c>
      <c r="E716" s="30">
        <v>500</v>
      </c>
      <c r="F716" s="30" t="s">
        <v>82</v>
      </c>
      <c r="G716" s="30">
        <f t="shared" si="70"/>
        <v>507.49999999999994</v>
      </c>
      <c r="H716" s="31">
        <f t="shared" si="71"/>
        <v>497.49999999999994</v>
      </c>
      <c r="I716" s="31">
        <f t="shared" si="72"/>
        <v>517.5</v>
      </c>
      <c r="J716" s="31">
        <f t="shared" si="73"/>
        <v>487.49999999999994</v>
      </c>
      <c r="K716" s="32">
        <f t="shared" si="68"/>
        <v>502.49999999999994</v>
      </c>
      <c r="L716" s="57">
        <v>1.0049999999999999</v>
      </c>
      <c r="M716" s="33">
        <f t="shared" si="69"/>
        <v>15</v>
      </c>
      <c r="N716" s="33">
        <v>63.7</v>
      </c>
    </row>
    <row r="717" spans="2:16" ht="16.5" customHeight="1">
      <c r="B717" s="88">
        <v>62674332</v>
      </c>
      <c r="C717" s="89" t="s">
        <v>889</v>
      </c>
      <c r="D717" s="36" t="s">
        <v>76</v>
      </c>
      <c r="E717" s="30">
        <v>500</v>
      </c>
      <c r="F717" s="30" t="s">
        <v>82</v>
      </c>
      <c r="G717" s="30">
        <f t="shared" si="70"/>
        <v>507.49999999999994</v>
      </c>
      <c r="H717" s="31">
        <f t="shared" si="71"/>
        <v>497.49999999999994</v>
      </c>
      <c r="I717" s="31">
        <f t="shared" si="72"/>
        <v>517.5</v>
      </c>
      <c r="J717" s="31">
        <f t="shared" si="73"/>
        <v>487.49999999999994</v>
      </c>
      <c r="K717" s="32">
        <f t="shared" si="68"/>
        <v>502.49999999999994</v>
      </c>
      <c r="L717" s="57">
        <v>1.0049999999999999</v>
      </c>
      <c r="M717" s="33">
        <f t="shared" si="69"/>
        <v>15</v>
      </c>
      <c r="N717" s="33">
        <v>63.7</v>
      </c>
    </row>
    <row r="718" spans="2:16" ht="16.5" customHeight="1">
      <c r="B718" s="30">
        <v>68908112</v>
      </c>
      <c r="C718" s="54" t="s">
        <v>890</v>
      </c>
      <c r="D718" s="36" t="s">
        <v>76</v>
      </c>
      <c r="E718" s="30">
        <v>180</v>
      </c>
      <c r="F718" s="30" t="s">
        <v>73</v>
      </c>
      <c r="G718" s="30">
        <f t="shared" si="70"/>
        <v>182.7</v>
      </c>
      <c r="H718" s="31">
        <f t="shared" si="71"/>
        <v>177.3</v>
      </c>
      <c r="I718" s="31">
        <f t="shared" si="72"/>
        <v>188.1</v>
      </c>
      <c r="J718" s="31">
        <f t="shared" si="73"/>
        <v>171.9</v>
      </c>
      <c r="K718" s="32">
        <f t="shared" si="68"/>
        <v>180</v>
      </c>
      <c r="M718" s="33">
        <f t="shared" si="69"/>
        <v>8.1</v>
      </c>
      <c r="N718" s="33">
        <v>8.9</v>
      </c>
    </row>
    <row r="719" spans="2:16" ht="16.5" customHeight="1">
      <c r="B719" s="30">
        <v>68908114</v>
      </c>
      <c r="C719" s="54" t="s">
        <v>891</v>
      </c>
      <c r="D719" s="36" t="s">
        <v>76</v>
      </c>
      <c r="E719" s="30">
        <v>230</v>
      </c>
      <c r="F719" s="30" t="s">
        <v>73</v>
      </c>
      <c r="G719" s="30">
        <f>IF(P719="TL tuyệt đối",K719*103%,K719+1/3*M719)</f>
        <v>233</v>
      </c>
      <c r="H719" s="31">
        <f>IF(P719="TL tuyệt đối",K719*101%,K719-1/3*M719)</f>
        <v>227</v>
      </c>
      <c r="I719" s="31">
        <f>IF(P719="TL tuyệt đối", K719*105%,K719+M719)</f>
        <v>239</v>
      </c>
      <c r="J719" s="31">
        <f>K719-M719</f>
        <v>221</v>
      </c>
      <c r="K719" s="32">
        <f t="shared" si="68"/>
        <v>230</v>
      </c>
      <c r="M719" s="33">
        <f>IF(P719="TL tuyệt đối",0, IF(K719&lt;5,0,IF(K719&lt;50,K719*9%,IF(K719&lt;100,4.5,IF(K719&lt;200,4.5%*K719,IF(K719&lt;300,9,IF(K719&lt;500,K719*3%,IF(K719&lt;1000,15,))))))))</f>
        <v>9</v>
      </c>
      <c r="N719" s="33">
        <v>11.3</v>
      </c>
    </row>
    <row r="720" spans="2:16" ht="16.5" customHeight="1">
      <c r="B720" s="30">
        <v>69719834</v>
      </c>
      <c r="C720" s="54" t="s">
        <v>892</v>
      </c>
      <c r="D720" s="26" t="s">
        <v>226</v>
      </c>
      <c r="E720" s="28">
        <v>30</v>
      </c>
      <c r="F720" s="29" t="s">
        <v>73</v>
      </c>
      <c r="G720" s="30">
        <f>IF(P720="TL tuyệt đối",K720*103%,K720+1/3*M720)</f>
        <v>30.9</v>
      </c>
      <c r="H720" s="31">
        <f>IF(P720="TL tuyệt đối",K720*101%,K720-1/3*M720)</f>
        <v>29.1</v>
      </c>
      <c r="I720" s="31">
        <f>IF(P720="TL tuyệt đối", K720*105%,K720+M720)</f>
        <v>32.700000000000003</v>
      </c>
      <c r="J720" s="31">
        <f>K720-M720</f>
        <v>27.3</v>
      </c>
      <c r="K720" s="32">
        <f t="shared" si="68"/>
        <v>30</v>
      </c>
      <c r="L720" s="32"/>
      <c r="M720" s="33">
        <f>IF(P720="TL tuyệt đối",0, IF(K720&lt;5,0,IF(K720&lt;50,K720*9%,IF(K720&lt;100,4.5,IF(K720&lt;200,4.5%*K720,IF(K720&lt;300,9,IF(K720&lt;500,K720*3%,IF(K720&lt;1000,15,))))))))</f>
        <v>2.6999999999999997</v>
      </c>
      <c r="N720" s="33">
        <v>3.7</v>
      </c>
      <c r="O720" s="25"/>
    </row>
    <row r="721" spans="2:14" ht="16.5" customHeight="1">
      <c r="B721" s="30">
        <v>69667926</v>
      </c>
      <c r="C721" s="54" t="s">
        <v>893</v>
      </c>
      <c r="D721" s="90" t="s">
        <v>76</v>
      </c>
      <c r="E721" s="91">
        <v>30</v>
      </c>
      <c r="F721" s="91" t="s">
        <v>73</v>
      </c>
      <c r="G721" s="91">
        <v>30.9</v>
      </c>
      <c r="H721" s="92">
        <v>29.1</v>
      </c>
      <c r="I721" s="92">
        <v>32.700000000000003</v>
      </c>
      <c r="J721" s="92">
        <v>27.3</v>
      </c>
      <c r="K721" s="93">
        <v>30</v>
      </c>
      <c r="L721" s="94"/>
      <c r="M721" s="95">
        <v>2.6999999999999997</v>
      </c>
      <c r="N721" s="95">
        <v>3.7</v>
      </c>
    </row>
    <row r="722" spans="2:14" ht="16.5" customHeight="1">
      <c r="B722" s="96">
        <v>69711351</v>
      </c>
      <c r="C722" s="97" t="s">
        <v>894</v>
      </c>
      <c r="D722" s="98" t="s">
        <v>767</v>
      </c>
      <c r="E722" s="96">
        <v>30</v>
      </c>
      <c r="F722" s="96" t="s">
        <v>73</v>
      </c>
      <c r="G722" s="96">
        <v>30.9</v>
      </c>
      <c r="H722" s="99">
        <v>29.1</v>
      </c>
      <c r="I722" s="99">
        <v>32.700000000000003</v>
      </c>
      <c r="J722" s="99">
        <v>27.3</v>
      </c>
      <c r="K722" s="100">
        <v>30</v>
      </c>
      <c r="L722" s="101"/>
      <c r="M722" s="102">
        <v>2.6999999999999997</v>
      </c>
      <c r="N722" s="102">
        <v>3.7</v>
      </c>
    </row>
    <row r="723" spans="2:14" ht="16.5" customHeight="1">
      <c r="B723" s="103">
        <v>69711355</v>
      </c>
      <c r="C723" s="104" t="s">
        <v>895</v>
      </c>
      <c r="D723" s="105" t="s">
        <v>767</v>
      </c>
      <c r="E723" s="103">
        <v>65</v>
      </c>
      <c r="F723" s="103" t="s">
        <v>73</v>
      </c>
      <c r="G723" s="103">
        <v>66.5</v>
      </c>
      <c r="H723" s="106">
        <v>63.5</v>
      </c>
      <c r="I723" s="106">
        <v>69.5</v>
      </c>
      <c r="J723" s="106">
        <v>60.5</v>
      </c>
      <c r="K723" s="107">
        <v>65</v>
      </c>
      <c r="L723" s="108"/>
      <c r="M723" s="109">
        <v>4.5</v>
      </c>
      <c r="N723" s="109">
        <v>4.5999999999999996</v>
      </c>
    </row>
    <row r="724" spans="2:14" ht="16.5" customHeight="1">
      <c r="B724" s="30">
        <v>62714397</v>
      </c>
      <c r="C724" s="54" t="s">
        <v>896</v>
      </c>
      <c r="D724" s="13" t="s">
        <v>767</v>
      </c>
      <c r="E724" s="96">
        <v>30</v>
      </c>
      <c r="F724" s="96" t="s">
        <v>73</v>
      </c>
      <c r="G724" s="96">
        <v>30.9</v>
      </c>
      <c r="H724" s="99">
        <v>29.1</v>
      </c>
      <c r="I724" s="99">
        <v>32.700000000000003</v>
      </c>
      <c r="J724" s="99">
        <v>27.3</v>
      </c>
      <c r="K724" s="100">
        <v>30</v>
      </c>
      <c r="L724" s="101"/>
      <c r="M724" s="102">
        <v>2.6999999999999997</v>
      </c>
      <c r="N724" s="102">
        <v>3.7</v>
      </c>
    </row>
    <row r="725" spans="2:14" ht="16.5" customHeight="1">
      <c r="B725" s="30">
        <v>69555957</v>
      </c>
      <c r="C725" s="54" t="s">
        <v>897</v>
      </c>
      <c r="D725" s="26" t="s">
        <v>72</v>
      </c>
      <c r="E725" s="28">
        <v>35</v>
      </c>
      <c r="F725" s="29" t="s">
        <v>73</v>
      </c>
      <c r="G725" s="30">
        <f>IF(P725="TL tuyệt đối",K725*103%,K725+1/3*M725)</f>
        <v>36.049999999999997</v>
      </c>
      <c r="H725" s="31">
        <f>IF(P725="TL tuyệt đối",K725*101%,K725-1/3*M725)</f>
        <v>33.950000000000003</v>
      </c>
      <c r="I725" s="31">
        <f>IF(P725="TL tuyệt đối", K725*105%,K725+M725)</f>
        <v>38.15</v>
      </c>
      <c r="J725" s="31">
        <f>K725-M725</f>
        <v>31.85</v>
      </c>
      <c r="K725" s="32">
        <f>IF(F725="ml",E725*L725,E725)</f>
        <v>35</v>
      </c>
      <c r="L725" s="32"/>
      <c r="M725" s="33">
        <f>IF(P725="TL tuyệt đối",0, IF(K725&lt;5,0,IF(K725&lt;50,K725*9%,IF(K725&lt;100,4.5,IF(K725&lt;200,4.5%*K725,IF(K725&lt;300,9,IF(K725&lt;500,K725*3%,IF(K725&lt;1000,15,))))))))</f>
        <v>3.15</v>
      </c>
      <c r="N725" s="33">
        <v>3.8</v>
      </c>
    </row>
    <row r="726" spans="2:14" ht="16.5" customHeight="1">
      <c r="B726" s="30">
        <v>62674330</v>
      </c>
      <c r="C726" s="54" t="s">
        <v>898</v>
      </c>
      <c r="D726" s="36" t="s">
        <v>76</v>
      </c>
      <c r="E726" s="30">
        <v>520</v>
      </c>
      <c r="F726" s="30" t="s">
        <v>82</v>
      </c>
      <c r="G726" s="30">
        <f>IF(P726="TL tuyệt đối",K726*103%,K726+1/3*M726)</f>
        <v>526.04</v>
      </c>
      <c r="H726" s="31">
        <f>IF(P726="TL tuyệt đối",K726*101%,K726-1/3*M726)</f>
        <v>516.04</v>
      </c>
      <c r="I726" s="31">
        <f>IF(P726="TL tuyệt đối", K726*105%,K726+M726)</f>
        <v>536.04</v>
      </c>
      <c r="J726" s="31">
        <f>K726-M726</f>
        <v>506.03999999999996</v>
      </c>
      <c r="K726" s="57">
        <v>521.04</v>
      </c>
      <c r="M726" s="33">
        <f>IF(P726="TL tuyệt đối",0, IF(K726&lt;5,0,IF(K726&lt;50,K726*9%,IF(K726&lt;100,4.5,IF(K726&lt;200,4.5%*K726,IF(K726&lt;300,9,IF(K726&lt;500,K726*3%,IF(K726&lt;1000,15,))))))))</f>
        <v>15</v>
      </c>
      <c r="N726" s="33">
        <v>53.8</v>
      </c>
    </row>
    <row r="727" spans="2:14" ht="16.5" customHeight="1">
      <c r="B727" s="30">
        <v>62678622</v>
      </c>
      <c r="C727" s="54" t="s">
        <v>899</v>
      </c>
      <c r="D727" s="36" t="s">
        <v>76</v>
      </c>
      <c r="E727" s="30">
        <v>180</v>
      </c>
      <c r="F727" s="30" t="s">
        <v>73</v>
      </c>
      <c r="G727" s="30">
        <f t="shared" si="70"/>
        <v>182.7</v>
      </c>
      <c r="H727" s="31">
        <f t="shared" si="71"/>
        <v>177.3</v>
      </c>
      <c r="I727" s="31">
        <f t="shared" si="72"/>
        <v>188.1</v>
      </c>
      <c r="J727" s="31">
        <f t="shared" si="73"/>
        <v>171.9</v>
      </c>
      <c r="K727" s="32">
        <f>IF(F727="ml",E727*L727,E727)</f>
        <v>180</v>
      </c>
      <c r="M727" s="33">
        <f t="shared" si="69"/>
        <v>8.1</v>
      </c>
      <c r="N727" s="33">
        <v>7.4</v>
      </c>
    </row>
    <row r="728" spans="2:14" ht="16.5" customHeight="1">
      <c r="B728" s="30">
        <v>64312169</v>
      </c>
      <c r="C728" s="54" t="s">
        <v>900</v>
      </c>
      <c r="D728" s="36" t="s">
        <v>76</v>
      </c>
      <c r="E728" s="30">
        <v>180</v>
      </c>
      <c r="F728" s="30" t="s">
        <v>73</v>
      </c>
      <c r="G728" s="30">
        <f t="shared" si="70"/>
        <v>182.7</v>
      </c>
      <c r="H728" s="31">
        <f t="shared" si="71"/>
        <v>177.3</v>
      </c>
      <c r="I728" s="31">
        <f t="shared" si="72"/>
        <v>188.1</v>
      </c>
      <c r="J728" s="31">
        <f t="shared" si="73"/>
        <v>171.9</v>
      </c>
      <c r="K728" s="32">
        <f>IF(F728="ml",E728*L728,E728)</f>
        <v>180</v>
      </c>
      <c r="M728" s="33">
        <f t="shared" si="69"/>
        <v>8.1</v>
      </c>
      <c r="N728" s="33">
        <v>7.6</v>
      </c>
    </row>
    <row r="729" spans="2:14" ht="16.5" customHeight="1">
      <c r="B729" s="30">
        <v>64312165</v>
      </c>
      <c r="C729" s="54" t="s">
        <v>901</v>
      </c>
      <c r="D729" s="36" t="s">
        <v>76</v>
      </c>
      <c r="E729" s="30">
        <v>180</v>
      </c>
      <c r="F729" s="30" t="s">
        <v>73</v>
      </c>
      <c r="G729" s="30">
        <f t="shared" si="70"/>
        <v>182.7</v>
      </c>
      <c r="H729" s="31">
        <f t="shared" si="71"/>
        <v>177.3</v>
      </c>
      <c r="I729" s="31">
        <f t="shared" si="72"/>
        <v>188.1</v>
      </c>
      <c r="J729" s="31">
        <f t="shared" si="73"/>
        <v>171.9</v>
      </c>
      <c r="K729" s="32">
        <f>IF(F729="ml",E729*L729,E729)</f>
        <v>180</v>
      </c>
      <c r="M729" s="33">
        <f t="shared" si="69"/>
        <v>8.1</v>
      </c>
      <c r="N729" s="33">
        <v>7.6</v>
      </c>
    </row>
    <row r="730" spans="2:14" ht="16.5" customHeight="1">
      <c r="B730" s="30">
        <v>64328352</v>
      </c>
      <c r="C730" s="54" t="s">
        <v>902</v>
      </c>
      <c r="D730" s="36" t="s">
        <v>76</v>
      </c>
      <c r="E730" s="30">
        <v>180</v>
      </c>
      <c r="F730" s="30" t="s">
        <v>73</v>
      </c>
      <c r="G730" s="30">
        <f t="shared" si="70"/>
        <v>182.7</v>
      </c>
      <c r="H730" s="31">
        <f t="shared" si="71"/>
        <v>177.3</v>
      </c>
      <c r="I730" s="31">
        <f t="shared" si="72"/>
        <v>188.1</v>
      </c>
      <c r="J730" s="31">
        <f t="shared" si="73"/>
        <v>171.9</v>
      </c>
      <c r="K730" s="32">
        <f>IF(F730="ml",E730*L730,E730)</f>
        <v>180</v>
      </c>
      <c r="M730" s="33">
        <f t="shared" si="69"/>
        <v>8.1</v>
      </c>
      <c r="N730" s="33">
        <v>7.3</v>
      </c>
    </row>
    <row r="731" spans="2:14" ht="16.5" customHeight="1">
      <c r="B731" s="30">
        <v>69711362</v>
      </c>
      <c r="C731" s="54" t="s">
        <v>903</v>
      </c>
      <c r="D731" s="13" t="s">
        <v>767</v>
      </c>
      <c r="E731" s="96">
        <v>30</v>
      </c>
      <c r="F731" s="96" t="s">
        <v>73</v>
      </c>
      <c r="G731" s="96">
        <v>30.9</v>
      </c>
      <c r="H731" s="99">
        <v>29.1</v>
      </c>
      <c r="I731" s="99">
        <v>32.700000000000003</v>
      </c>
      <c r="J731" s="99">
        <v>27.3</v>
      </c>
      <c r="K731" s="100">
        <v>30</v>
      </c>
      <c r="L731" s="101"/>
      <c r="M731" s="102">
        <v>2.6999999999999997</v>
      </c>
      <c r="N731" s="102">
        <v>3.7</v>
      </c>
    </row>
    <row r="732" spans="2:14" ht="16.5" customHeight="1">
      <c r="B732" s="30">
        <v>64301980</v>
      </c>
      <c r="C732" s="54" t="s">
        <v>904</v>
      </c>
      <c r="D732" s="36" t="s">
        <v>76</v>
      </c>
      <c r="E732" s="96">
        <v>30</v>
      </c>
      <c r="F732" s="96" t="s">
        <v>73</v>
      </c>
      <c r="G732" s="96">
        <v>30.9</v>
      </c>
      <c r="H732" s="99">
        <v>29.1</v>
      </c>
      <c r="I732" s="99">
        <v>32.700000000000003</v>
      </c>
      <c r="J732" s="99">
        <v>27.3</v>
      </c>
      <c r="K732" s="100">
        <v>30</v>
      </c>
      <c r="L732" s="101"/>
      <c r="M732" s="102">
        <v>2.6999999999999997</v>
      </c>
      <c r="N732" s="102">
        <v>3.7</v>
      </c>
    </row>
    <row r="733" spans="2:14" ht="16.5" customHeight="1">
      <c r="B733" s="30">
        <v>64301061</v>
      </c>
      <c r="C733" s="54" t="s">
        <v>905</v>
      </c>
      <c r="D733" s="36" t="s">
        <v>76</v>
      </c>
      <c r="E733" s="30">
        <v>100</v>
      </c>
      <c r="F733" s="29" t="s">
        <v>73</v>
      </c>
      <c r="G733" s="30">
        <f>IF(P733="TL tuyệt đối",K733*103%,K733+1/3*M733)</f>
        <v>101.5</v>
      </c>
      <c r="H733" s="31">
        <f>IF(P733="TL tuyệt đối",K733*101%,K733-1/3*M733)</f>
        <v>98.5</v>
      </c>
      <c r="I733" s="31">
        <f>IF(P733="TL tuyệt đối", K733*105%,K733+M733)</f>
        <v>104.5</v>
      </c>
      <c r="J733" s="31">
        <f>K733-M733</f>
        <v>95.5</v>
      </c>
      <c r="K733" s="32">
        <f t="shared" ref="K733:K761" si="74">IF(F733="ml",E733*L733,E733)</f>
        <v>100</v>
      </c>
      <c r="M733" s="33">
        <f>IF(P733="TL tuyệt đối",0, IF(K733&lt;5,0,IF(K733&lt;50,K733*9%,IF(K733&lt;100,4.5,IF(K733&lt;200,4.5%*K733,IF(K733&lt;300,9,IF(K733&lt;500,K733*3%,IF(K733&lt;1000,15,))))))))</f>
        <v>4.5</v>
      </c>
      <c r="N733" s="33">
        <v>6.9</v>
      </c>
    </row>
    <row r="734" spans="2:14" ht="16.5" customHeight="1">
      <c r="B734" s="30">
        <v>62770634</v>
      </c>
      <c r="C734" s="54" t="s">
        <v>906</v>
      </c>
      <c r="D734" s="36" t="s">
        <v>76</v>
      </c>
      <c r="E734" s="30">
        <v>45</v>
      </c>
      <c r="F734" s="30" t="s">
        <v>73</v>
      </c>
      <c r="G734" s="30">
        <f>IF(P734="TL tuyệt đối",K734*103%,K734+1/3*M734)</f>
        <v>46.35</v>
      </c>
      <c r="H734" s="31">
        <f>IF(P734="TL tuyệt đối",K734*101%,K734-1/3*M734)</f>
        <v>43.65</v>
      </c>
      <c r="I734" s="31">
        <f>IF(P734="TL tuyệt đối", K734*105%,K734+M734)</f>
        <v>49.05</v>
      </c>
      <c r="J734" s="31">
        <f>K734-M734</f>
        <v>40.950000000000003</v>
      </c>
      <c r="K734" s="32">
        <f t="shared" si="74"/>
        <v>45</v>
      </c>
      <c r="M734" s="33">
        <f>IF(P734="TL tuyệt đối",0, IF(K734&lt;5,0,IF(K734&lt;50,K734*9%,IF(K734&lt;100,4.5,IF(K734&lt;200,4.5%*K734,IF(K734&lt;300,9,IF(K734&lt;500,K734*3%,IF(K734&lt;1000,15,))))))))</f>
        <v>4.05</v>
      </c>
      <c r="N734" s="33">
        <v>3.8</v>
      </c>
    </row>
    <row r="735" spans="2:14" ht="16.5" customHeight="1">
      <c r="B735" s="110">
        <v>62770637</v>
      </c>
      <c r="C735" s="111" t="s">
        <v>907</v>
      </c>
      <c r="D735" s="112" t="s">
        <v>705</v>
      </c>
      <c r="E735" s="30">
        <v>114</v>
      </c>
      <c r="F735" s="30" t="s">
        <v>73</v>
      </c>
      <c r="G735" s="30">
        <f t="shared" si="70"/>
        <v>115.71</v>
      </c>
      <c r="H735" s="31">
        <f t="shared" si="71"/>
        <v>112.29</v>
      </c>
      <c r="I735" s="31">
        <f t="shared" si="72"/>
        <v>119.13</v>
      </c>
      <c r="J735" s="31">
        <f t="shared" si="73"/>
        <v>108.87</v>
      </c>
      <c r="K735" s="32">
        <f t="shared" si="74"/>
        <v>114</v>
      </c>
      <c r="M735" s="33">
        <f t="shared" si="69"/>
        <v>5.13</v>
      </c>
      <c r="N735" s="33">
        <v>6.2</v>
      </c>
    </row>
    <row r="736" spans="2:14" ht="16.5" customHeight="1">
      <c r="B736" s="110">
        <v>62770638</v>
      </c>
      <c r="C736" s="111" t="s">
        <v>908</v>
      </c>
      <c r="D736" s="112" t="s">
        <v>705</v>
      </c>
      <c r="E736" s="30">
        <v>114</v>
      </c>
      <c r="F736" s="30" t="s">
        <v>73</v>
      </c>
      <c r="G736" s="30">
        <f t="shared" si="70"/>
        <v>115.71</v>
      </c>
      <c r="H736" s="31">
        <f t="shared" si="71"/>
        <v>112.29</v>
      </c>
      <c r="I736" s="31">
        <f t="shared" si="72"/>
        <v>119.13</v>
      </c>
      <c r="J736" s="31">
        <f t="shared" si="73"/>
        <v>108.87</v>
      </c>
      <c r="K736" s="32">
        <f t="shared" si="74"/>
        <v>114</v>
      </c>
      <c r="M736" s="33">
        <f t="shared" si="69"/>
        <v>5.13</v>
      </c>
      <c r="N736" s="33">
        <v>6.2</v>
      </c>
    </row>
    <row r="737" spans="2:14" ht="16.5" customHeight="1">
      <c r="B737" s="110">
        <v>62758282</v>
      </c>
      <c r="C737" s="111" t="s">
        <v>909</v>
      </c>
      <c r="D737" s="112" t="s">
        <v>910</v>
      </c>
      <c r="E737" s="30">
        <v>180</v>
      </c>
      <c r="F737" s="30" t="s">
        <v>73</v>
      </c>
      <c r="G737" s="30">
        <f t="shared" si="70"/>
        <v>182.7</v>
      </c>
      <c r="H737" s="31">
        <f t="shared" si="71"/>
        <v>177.3</v>
      </c>
      <c r="I737" s="31">
        <f t="shared" si="72"/>
        <v>188.1</v>
      </c>
      <c r="J737" s="31">
        <f t="shared" si="73"/>
        <v>171.9</v>
      </c>
      <c r="K737" s="32">
        <f t="shared" si="74"/>
        <v>180</v>
      </c>
      <c r="M737" s="33">
        <f t="shared" si="69"/>
        <v>8.1</v>
      </c>
      <c r="N737" s="33">
        <v>7.4</v>
      </c>
    </row>
    <row r="738" spans="2:14" ht="16.5" customHeight="1">
      <c r="B738" s="110">
        <v>62758281</v>
      </c>
      <c r="C738" s="111" t="s">
        <v>911</v>
      </c>
      <c r="D738" s="112" t="s">
        <v>910</v>
      </c>
      <c r="E738" s="30">
        <v>230</v>
      </c>
      <c r="F738" s="30" t="s">
        <v>73</v>
      </c>
      <c r="G738" s="30">
        <f t="shared" si="70"/>
        <v>233</v>
      </c>
      <c r="H738" s="31">
        <f t="shared" si="71"/>
        <v>227</v>
      </c>
      <c r="I738" s="31">
        <f t="shared" si="72"/>
        <v>239</v>
      </c>
      <c r="J738" s="31">
        <f t="shared" si="73"/>
        <v>221</v>
      </c>
      <c r="K738" s="32">
        <f t="shared" si="74"/>
        <v>230</v>
      </c>
      <c r="M738" s="33">
        <f t="shared" si="69"/>
        <v>9</v>
      </c>
      <c r="N738" s="33">
        <v>9</v>
      </c>
    </row>
    <row r="739" spans="2:14" ht="16.5" customHeight="1">
      <c r="B739" s="113">
        <v>64301061</v>
      </c>
      <c r="C739" s="114" t="s">
        <v>905</v>
      </c>
      <c r="D739" s="112" t="s">
        <v>910</v>
      </c>
      <c r="E739" s="30">
        <v>100</v>
      </c>
      <c r="F739" s="30" t="s">
        <v>73</v>
      </c>
      <c r="G739" s="30">
        <f t="shared" si="70"/>
        <v>101.5</v>
      </c>
      <c r="H739" s="31">
        <f t="shared" si="71"/>
        <v>98.5</v>
      </c>
      <c r="I739" s="31">
        <f t="shared" si="72"/>
        <v>104.5</v>
      </c>
      <c r="J739" s="31">
        <f t="shared" si="73"/>
        <v>95.5</v>
      </c>
      <c r="K739" s="32">
        <f t="shared" si="74"/>
        <v>100</v>
      </c>
      <c r="M739" s="33">
        <f t="shared" si="69"/>
        <v>4.5</v>
      </c>
      <c r="N739" s="33">
        <v>7</v>
      </c>
    </row>
    <row r="740" spans="2:14" ht="16.5" customHeight="1">
      <c r="B740" s="110">
        <v>62758283</v>
      </c>
      <c r="C740" s="111" t="s">
        <v>912</v>
      </c>
      <c r="D740" s="112" t="s">
        <v>910</v>
      </c>
      <c r="E740" s="30">
        <v>140</v>
      </c>
      <c r="F740" s="30" t="s">
        <v>73</v>
      </c>
      <c r="G740" s="30">
        <f t="shared" si="70"/>
        <v>142.1</v>
      </c>
      <c r="H740" s="31">
        <f t="shared" si="71"/>
        <v>137.9</v>
      </c>
      <c r="I740" s="31">
        <f t="shared" si="72"/>
        <v>146.30000000000001</v>
      </c>
      <c r="J740" s="31">
        <f t="shared" si="73"/>
        <v>133.69999999999999</v>
      </c>
      <c r="K740" s="32">
        <f t="shared" si="74"/>
        <v>140</v>
      </c>
      <c r="M740" s="33">
        <f t="shared" si="69"/>
        <v>6.3</v>
      </c>
      <c r="N740" s="33">
        <v>7</v>
      </c>
    </row>
    <row r="741" spans="2:14" ht="16.5" customHeight="1">
      <c r="B741" s="110">
        <v>64330226</v>
      </c>
      <c r="C741" s="111" t="s">
        <v>913</v>
      </c>
      <c r="D741" s="115" t="s">
        <v>767</v>
      </c>
      <c r="E741" s="30">
        <v>150</v>
      </c>
      <c r="F741" s="30" t="s">
        <v>73</v>
      </c>
      <c r="G741" s="30">
        <f t="shared" si="70"/>
        <v>152.25</v>
      </c>
      <c r="H741" s="31">
        <f t="shared" si="71"/>
        <v>147.75</v>
      </c>
      <c r="I741" s="31">
        <f t="shared" si="72"/>
        <v>156.75</v>
      </c>
      <c r="J741" s="31">
        <f t="shared" si="73"/>
        <v>143.25</v>
      </c>
      <c r="K741" s="32">
        <f t="shared" si="74"/>
        <v>150</v>
      </c>
      <c r="M741" s="33">
        <f t="shared" si="69"/>
        <v>6.75</v>
      </c>
      <c r="N741" s="33">
        <v>7.1</v>
      </c>
    </row>
    <row r="742" spans="2:14" ht="16.5" customHeight="1">
      <c r="B742" s="110">
        <v>64336056</v>
      </c>
      <c r="C742" s="111" t="s">
        <v>914</v>
      </c>
      <c r="D742" s="115" t="s">
        <v>705</v>
      </c>
      <c r="E742" s="30">
        <v>30</v>
      </c>
      <c r="F742" s="30" t="s">
        <v>73</v>
      </c>
      <c r="G742" s="30">
        <f t="shared" si="70"/>
        <v>30.9</v>
      </c>
      <c r="H742" s="31">
        <f t="shared" si="71"/>
        <v>29.1</v>
      </c>
      <c r="I742" s="31">
        <f t="shared" si="72"/>
        <v>32.700000000000003</v>
      </c>
      <c r="J742" s="31">
        <f t="shared" si="73"/>
        <v>27.3</v>
      </c>
      <c r="K742" s="32">
        <f t="shared" si="74"/>
        <v>30</v>
      </c>
      <c r="M742" s="33">
        <f t="shared" si="69"/>
        <v>2.6999999999999997</v>
      </c>
      <c r="N742" s="33">
        <v>3.8</v>
      </c>
    </row>
    <row r="743" spans="2:14" ht="16.5" customHeight="1">
      <c r="B743" s="110">
        <v>64333891</v>
      </c>
      <c r="C743" s="111" t="s">
        <v>915</v>
      </c>
      <c r="D743" s="115" t="s">
        <v>705</v>
      </c>
      <c r="E743" s="30">
        <v>97.5</v>
      </c>
      <c r="F743" s="30" t="s">
        <v>73</v>
      </c>
      <c r="G743" s="30">
        <f t="shared" si="70"/>
        <v>99</v>
      </c>
      <c r="H743" s="31">
        <f t="shared" si="71"/>
        <v>96</v>
      </c>
      <c r="I743" s="31">
        <f t="shared" si="72"/>
        <v>102</v>
      </c>
      <c r="J743" s="31">
        <f t="shared" si="73"/>
        <v>93</v>
      </c>
      <c r="K743" s="32">
        <f t="shared" si="74"/>
        <v>97.5</v>
      </c>
      <c r="M743" s="33">
        <f t="shared" si="69"/>
        <v>4.5</v>
      </c>
      <c r="N743" s="33">
        <v>6.03</v>
      </c>
    </row>
    <row r="744" spans="2:14" ht="16.5" customHeight="1">
      <c r="B744" s="110">
        <v>64333898</v>
      </c>
      <c r="C744" s="111" t="s">
        <v>916</v>
      </c>
      <c r="D744" s="115" t="s">
        <v>705</v>
      </c>
      <c r="E744" s="30">
        <v>97.5</v>
      </c>
      <c r="F744" s="30" t="s">
        <v>73</v>
      </c>
      <c r="G744" s="30">
        <f t="shared" si="70"/>
        <v>99</v>
      </c>
      <c r="H744" s="31">
        <f t="shared" si="71"/>
        <v>96</v>
      </c>
      <c r="I744" s="31">
        <f t="shared" si="72"/>
        <v>102</v>
      </c>
      <c r="J744" s="31">
        <f t="shared" si="73"/>
        <v>93</v>
      </c>
      <c r="K744" s="32">
        <f t="shared" si="74"/>
        <v>97.5</v>
      </c>
      <c r="M744" s="33">
        <f t="shared" si="69"/>
        <v>4.5</v>
      </c>
      <c r="N744" s="33">
        <v>6.03</v>
      </c>
    </row>
    <row r="745" spans="2:14" ht="16.5" customHeight="1">
      <c r="B745" s="110">
        <v>64334138</v>
      </c>
      <c r="C745" s="111" t="s">
        <v>917</v>
      </c>
      <c r="D745" s="115" t="s">
        <v>918</v>
      </c>
      <c r="E745" s="30">
        <v>30</v>
      </c>
      <c r="F745" s="30" t="s">
        <v>73</v>
      </c>
      <c r="G745" s="30">
        <f t="shared" si="70"/>
        <v>30.9</v>
      </c>
      <c r="H745" s="31">
        <f t="shared" si="71"/>
        <v>29.1</v>
      </c>
      <c r="I745" s="31">
        <f t="shared" si="72"/>
        <v>32.700000000000003</v>
      </c>
      <c r="J745" s="31">
        <f t="shared" si="73"/>
        <v>27.3</v>
      </c>
      <c r="K745" s="32">
        <f t="shared" si="74"/>
        <v>30</v>
      </c>
      <c r="M745" s="33">
        <f t="shared" si="69"/>
        <v>2.6999999999999997</v>
      </c>
      <c r="N745" s="33">
        <v>3.8</v>
      </c>
    </row>
    <row r="746" spans="2:14" ht="16.5" customHeight="1">
      <c r="B746" s="110">
        <v>64334140</v>
      </c>
      <c r="C746" s="111" t="s">
        <v>919</v>
      </c>
      <c r="D746" s="115" t="s">
        <v>918</v>
      </c>
      <c r="E746" s="30">
        <v>150</v>
      </c>
      <c r="F746" s="30" t="s">
        <v>73</v>
      </c>
      <c r="G746" s="30">
        <f t="shared" si="70"/>
        <v>152.25</v>
      </c>
      <c r="H746" s="31">
        <f t="shared" si="71"/>
        <v>147.75</v>
      </c>
      <c r="I746" s="31">
        <f t="shared" si="72"/>
        <v>156.75</v>
      </c>
      <c r="J746" s="31">
        <f t="shared" si="73"/>
        <v>143.25</v>
      </c>
      <c r="K746" s="32">
        <f t="shared" si="74"/>
        <v>150</v>
      </c>
      <c r="M746" s="33">
        <f t="shared" si="69"/>
        <v>6.75</v>
      </c>
      <c r="N746" s="33">
        <v>7.3</v>
      </c>
    </row>
    <row r="747" spans="2:14" ht="16.5" customHeight="1">
      <c r="B747" s="110">
        <v>64334142</v>
      </c>
      <c r="C747" s="111" t="s">
        <v>920</v>
      </c>
      <c r="D747" s="115" t="s">
        <v>918</v>
      </c>
      <c r="E747" s="30">
        <v>30</v>
      </c>
      <c r="F747" s="30" t="s">
        <v>73</v>
      </c>
      <c r="G747" s="30">
        <f t="shared" si="70"/>
        <v>30.9</v>
      </c>
      <c r="H747" s="31">
        <f t="shared" si="71"/>
        <v>29.1</v>
      </c>
      <c r="I747" s="31">
        <f t="shared" si="72"/>
        <v>32.700000000000003</v>
      </c>
      <c r="J747" s="31">
        <f t="shared" si="73"/>
        <v>27.3</v>
      </c>
      <c r="K747" s="32">
        <f t="shared" si="74"/>
        <v>30</v>
      </c>
      <c r="M747" s="33">
        <f t="shared" si="69"/>
        <v>2.6999999999999997</v>
      </c>
      <c r="N747" s="33">
        <v>3.8</v>
      </c>
    </row>
    <row r="748" spans="2:14" ht="16.5" customHeight="1">
      <c r="B748" s="110">
        <v>64334144</v>
      </c>
      <c r="C748" s="111" t="s">
        <v>921</v>
      </c>
      <c r="D748" s="115" t="s">
        <v>918</v>
      </c>
      <c r="E748" s="30">
        <v>150</v>
      </c>
      <c r="F748" s="30" t="s">
        <v>73</v>
      </c>
      <c r="G748" s="30">
        <f t="shared" si="70"/>
        <v>152.25</v>
      </c>
      <c r="H748" s="31">
        <f t="shared" si="71"/>
        <v>147.75</v>
      </c>
      <c r="I748" s="31">
        <f t="shared" si="72"/>
        <v>156.75</v>
      </c>
      <c r="J748" s="31">
        <f t="shared" si="73"/>
        <v>143.25</v>
      </c>
      <c r="K748" s="32">
        <f t="shared" si="74"/>
        <v>150</v>
      </c>
      <c r="M748" s="33">
        <f t="shared" si="69"/>
        <v>6.75</v>
      </c>
      <c r="N748" s="33">
        <v>7.3</v>
      </c>
    </row>
    <row r="749" spans="2:14" ht="16.5" customHeight="1">
      <c r="B749" s="30">
        <v>64330229</v>
      </c>
      <c r="C749" s="54" t="s">
        <v>922</v>
      </c>
      <c r="D749" s="13" t="s">
        <v>767</v>
      </c>
      <c r="E749" s="30">
        <v>175</v>
      </c>
      <c r="F749" s="30" t="s">
        <v>73</v>
      </c>
      <c r="G749" s="30">
        <f t="shared" si="70"/>
        <v>177.625</v>
      </c>
      <c r="H749" s="31">
        <f t="shared" si="71"/>
        <v>172.375</v>
      </c>
      <c r="I749" s="31">
        <f t="shared" si="72"/>
        <v>182.875</v>
      </c>
      <c r="J749" s="31">
        <f t="shared" si="73"/>
        <v>167.125</v>
      </c>
      <c r="K749" s="32">
        <f t="shared" si="74"/>
        <v>175</v>
      </c>
      <c r="M749" s="33">
        <f>IF(P749="TL tuyệt đối",0, IF(K749&lt;5,0,IF(K749&lt;50,K749*9%,IF(K749&lt;100,4.5,IF(K749&lt;200,4.5%*K749,IF(K749&lt;300,9,IF(K749&lt;500,K749*3%,IF(K749&lt;1000,15,))))))))</f>
        <v>7.875</v>
      </c>
      <c r="N749" s="33">
        <v>7.2</v>
      </c>
    </row>
    <row r="750" spans="2:14" ht="16.5" customHeight="1">
      <c r="B750" s="30">
        <v>64395913</v>
      </c>
      <c r="C750" s="54" t="s">
        <v>923</v>
      </c>
      <c r="D750" s="36" t="s">
        <v>516</v>
      </c>
      <c r="E750" s="30">
        <v>120</v>
      </c>
      <c r="F750" s="30" t="s">
        <v>73</v>
      </c>
      <c r="G750" s="30">
        <f t="shared" si="70"/>
        <v>121.8</v>
      </c>
      <c r="H750" s="31">
        <f t="shared" si="71"/>
        <v>118.2</v>
      </c>
      <c r="I750" s="31">
        <f t="shared" si="72"/>
        <v>125.4</v>
      </c>
      <c r="J750" s="31">
        <f t="shared" si="73"/>
        <v>114.6</v>
      </c>
      <c r="K750" s="32">
        <f t="shared" si="74"/>
        <v>120</v>
      </c>
      <c r="M750" s="33">
        <f t="shared" si="69"/>
        <v>5.3999999999999995</v>
      </c>
      <c r="N750" s="33">
        <v>6.2</v>
      </c>
    </row>
    <row r="751" spans="2:14" ht="16.5" customHeight="1">
      <c r="B751" s="30">
        <v>62714395</v>
      </c>
      <c r="C751" s="54" t="s">
        <v>924</v>
      </c>
      <c r="D751" s="13" t="s">
        <v>767</v>
      </c>
      <c r="E751" s="30">
        <v>130</v>
      </c>
      <c r="F751" s="30" t="s">
        <v>73</v>
      </c>
      <c r="G751" s="30">
        <f t="shared" si="70"/>
        <v>131.94999999999999</v>
      </c>
      <c r="H751" s="31">
        <f t="shared" si="71"/>
        <v>128.05000000000001</v>
      </c>
      <c r="I751" s="31">
        <f t="shared" si="72"/>
        <v>135.85</v>
      </c>
      <c r="J751" s="31">
        <f t="shared" si="73"/>
        <v>124.15</v>
      </c>
      <c r="K751" s="32">
        <f t="shared" si="74"/>
        <v>130</v>
      </c>
      <c r="M751" s="33">
        <f t="shared" si="69"/>
        <v>5.85</v>
      </c>
      <c r="N751" s="33">
        <v>6.4</v>
      </c>
    </row>
    <row r="752" spans="2:14" ht="16.5" customHeight="1">
      <c r="B752" s="30">
        <v>64395926</v>
      </c>
      <c r="C752" s="54" t="s">
        <v>925</v>
      </c>
      <c r="D752" s="60" t="s">
        <v>516</v>
      </c>
      <c r="E752" s="30">
        <v>175</v>
      </c>
      <c r="F752" s="30" t="s">
        <v>73</v>
      </c>
      <c r="G752" s="30">
        <f t="shared" si="70"/>
        <v>177.625</v>
      </c>
      <c r="H752" s="31">
        <f t="shared" si="71"/>
        <v>172.375</v>
      </c>
      <c r="I752" s="31">
        <f t="shared" si="72"/>
        <v>182.875</v>
      </c>
      <c r="J752" s="31">
        <f t="shared" si="73"/>
        <v>167.125</v>
      </c>
      <c r="K752" s="32">
        <f t="shared" si="74"/>
        <v>175</v>
      </c>
      <c r="M752" s="33">
        <f t="shared" si="69"/>
        <v>7.875</v>
      </c>
      <c r="N752" s="33">
        <v>7.3</v>
      </c>
    </row>
    <row r="753" spans="2:14" ht="16.5" customHeight="1">
      <c r="B753" s="30">
        <v>64770415</v>
      </c>
      <c r="C753" s="54" t="s">
        <v>926</v>
      </c>
      <c r="D753" s="60" t="s">
        <v>516</v>
      </c>
      <c r="E753" s="30">
        <v>150</v>
      </c>
      <c r="F753" s="30" t="s">
        <v>73</v>
      </c>
      <c r="G753" s="30">
        <f>IF(P753="TL tuyệt đối",K753*103%,K753+1/3*M753)</f>
        <v>152.25</v>
      </c>
      <c r="H753" s="31">
        <f>IF(P753="TL tuyệt đối",K753*101%,K753-1/3*M753)</f>
        <v>147.75</v>
      </c>
      <c r="I753" s="31">
        <f>IF(P753="TL tuyệt đối", K753*105%,K753+M753)</f>
        <v>156.75</v>
      </c>
      <c r="J753" s="31">
        <f>K753-M753</f>
        <v>143.25</v>
      </c>
      <c r="K753" s="32">
        <f t="shared" si="74"/>
        <v>150</v>
      </c>
      <c r="M753" s="33">
        <f>IF(P753="TL tuyệt đối",0, IF(K753&lt;5,0,IF(K753&lt;50,K753*9%,IF(K753&lt;100,4.5,IF(K753&lt;200,4.5%*K753,IF(K753&lt;300,9,IF(K753&lt;500,K753*3%,IF(K753&lt;1000,15,))))))))</f>
        <v>6.75</v>
      </c>
      <c r="N753" s="33">
        <v>7.3</v>
      </c>
    </row>
    <row r="754" spans="2:14" ht="16.5" customHeight="1">
      <c r="B754" s="88">
        <v>64349081</v>
      </c>
      <c r="C754" s="89" t="s">
        <v>927</v>
      </c>
      <c r="D754" s="60" t="s">
        <v>705</v>
      </c>
      <c r="E754" s="30">
        <v>149</v>
      </c>
      <c r="F754" s="30" t="s">
        <v>73</v>
      </c>
      <c r="G754" s="30">
        <f t="shared" si="70"/>
        <v>151.23500000000001</v>
      </c>
      <c r="H754" s="31">
        <f t="shared" si="71"/>
        <v>146.76499999999999</v>
      </c>
      <c r="I754" s="31">
        <f t="shared" si="72"/>
        <v>155.70500000000001</v>
      </c>
      <c r="J754" s="31">
        <f t="shared" si="73"/>
        <v>142.29499999999999</v>
      </c>
      <c r="K754" s="32">
        <f t="shared" si="74"/>
        <v>149</v>
      </c>
      <c r="M754" s="33">
        <f t="shared" si="69"/>
        <v>6.7050000000000001</v>
      </c>
      <c r="N754" s="33">
        <v>6.4</v>
      </c>
    </row>
    <row r="755" spans="2:14" ht="16.5" customHeight="1">
      <c r="B755" s="30">
        <v>64349083</v>
      </c>
      <c r="C755" s="54" t="s">
        <v>928</v>
      </c>
      <c r="D755" s="60" t="s">
        <v>705</v>
      </c>
      <c r="E755" s="30">
        <v>147</v>
      </c>
      <c r="F755" s="30" t="s">
        <v>73</v>
      </c>
      <c r="G755" s="30">
        <f t="shared" si="70"/>
        <v>149.20500000000001</v>
      </c>
      <c r="H755" s="31">
        <f t="shared" si="71"/>
        <v>144.79499999999999</v>
      </c>
      <c r="I755" s="31">
        <f t="shared" si="72"/>
        <v>153.61500000000001</v>
      </c>
      <c r="J755" s="31">
        <f t="shared" si="73"/>
        <v>140.38499999999999</v>
      </c>
      <c r="K755" s="32">
        <f t="shared" si="74"/>
        <v>147</v>
      </c>
      <c r="M755" s="33">
        <f t="shared" si="69"/>
        <v>6.6149999999999993</v>
      </c>
      <c r="N755" s="33">
        <v>6.4</v>
      </c>
    </row>
    <row r="756" spans="2:14" ht="16.5" customHeight="1">
      <c r="B756" s="30">
        <v>64765403</v>
      </c>
      <c r="C756" s="54" t="s">
        <v>929</v>
      </c>
      <c r="D756" s="60" t="s">
        <v>705</v>
      </c>
      <c r="E756" s="30">
        <v>30</v>
      </c>
      <c r="F756" s="30" t="s">
        <v>73</v>
      </c>
      <c r="G756" s="30">
        <f>IF(P756="TL tuyệt đối",K756*103%,K756+1/3*M756)</f>
        <v>30.9</v>
      </c>
      <c r="H756" s="31">
        <f>IF(P756="TL tuyệt đối",K756*101%,K756-1/3*M756)</f>
        <v>29.1</v>
      </c>
      <c r="I756" s="31">
        <f>IF(P756="TL tuyệt đối", K756*105%,K756+M756)</f>
        <v>32.700000000000003</v>
      </c>
      <c r="J756" s="31">
        <f>K756-M756</f>
        <v>27.3</v>
      </c>
      <c r="K756" s="32">
        <f t="shared" si="74"/>
        <v>30</v>
      </c>
      <c r="M756" s="33">
        <f>IF(P756="TL tuyệt đối",0, IF(K756&lt;5,0,IF(K756&lt;50,K756*9%,IF(K756&lt;100,4.5,IF(K756&lt;200,4.5%*K756,IF(K756&lt;300,9,IF(K756&lt;500,K756*3%,IF(K756&lt;1000,15,))))))))</f>
        <v>2.6999999999999997</v>
      </c>
      <c r="N756" s="33">
        <v>3.8</v>
      </c>
    </row>
    <row r="757" spans="2:14" ht="16.5" customHeight="1">
      <c r="B757" s="30">
        <v>64326262</v>
      </c>
      <c r="C757" s="54" t="s">
        <v>930</v>
      </c>
      <c r="D757" s="60" t="s">
        <v>705</v>
      </c>
      <c r="E757" s="30">
        <v>100</v>
      </c>
      <c r="F757" s="30" t="s">
        <v>73</v>
      </c>
      <c r="G757" s="30">
        <f>IF(P757="TL tuyệt đối",K757*103%,K757+1/3*M757)</f>
        <v>101.5</v>
      </c>
      <c r="H757" s="31">
        <f>IF(P757="TL tuyệt đối",K757*101%,K757-1/3*M757)</f>
        <v>98.5</v>
      </c>
      <c r="I757" s="31">
        <f>IF(P757="TL tuyệt đối", K757*105%,K757+M757)</f>
        <v>104.5</v>
      </c>
      <c r="J757" s="31">
        <f>K757-M757</f>
        <v>95.5</v>
      </c>
      <c r="K757" s="32">
        <f t="shared" si="74"/>
        <v>100</v>
      </c>
      <c r="M757" s="33">
        <f>IF(P757="TL tuyệt đối",0, IF(K757&lt;5,0,IF(K757&lt;50,K757*9%,IF(K757&lt;100,4.5,IF(K757&lt;200,4.5%*K757,IF(K757&lt;300,9,IF(K757&lt;500,K757*3%,IF(K757&lt;1000,15,))))))))</f>
        <v>4.5</v>
      </c>
      <c r="N757" s="33">
        <v>7</v>
      </c>
    </row>
    <row r="758" spans="2:14" ht="16.5" customHeight="1">
      <c r="B758" s="88">
        <v>64349085</v>
      </c>
      <c r="C758" s="89" t="s">
        <v>931</v>
      </c>
      <c r="D758" s="60" t="s">
        <v>705</v>
      </c>
      <c r="E758" s="30">
        <v>155</v>
      </c>
      <c r="F758" s="30" t="s">
        <v>73</v>
      </c>
      <c r="G758" s="30">
        <f t="shared" si="70"/>
        <v>157.32499999999999</v>
      </c>
      <c r="H758" s="31">
        <f t="shared" si="71"/>
        <v>152.67500000000001</v>
      </c>
      <c r="I758" s="31">
        <f t="shared" si="72"/>
        <v>161.97499999999999</v>
      </c>
      <c r="J758" s="31">
        <f t="shared" si="73"/>
        <v>148.02500000000001</v>
      </c>
      <c r="K758" s="32">
        <f t="shared" si="74"/>
        <v>155</v>
      </c>
      <c r="M758" s="33">
        <f t="shared" si="69"/>
        <v>6.9749999999999996</v>
      </c>
      <c r="N758" s="33">
        <v>6.4</v>
      </c>
    </row>
    <row r="759" spans="2:14" ht="16.5" customHeight="1">
      <c r="B759" s="30">
        <v>64828016</v>
      </c>
      <c r="C759" s="54" t="s">
        <v>932</v>
      </c>
      <c r="D759" s="116" t="s">
        <v>933</v>
      </c>
      <c r="E759" s="30">
        <v>25</v>
      </c>
      <c r="F759" s="30" t="s">
        <v>73</v>
      </c>
      <c r="G759" s="30">
        <f t="shared" si="70"/>
        <v>25.75</v>
      </c>
      <c r="H759" s="31">
        <f t="shared" si="71"/>
        <v>24.25</v>
      </c>
      <c r="I759" s="31">
        <f t="shared" si="72"/>
        <v>27.25</v>
      </c>
      <c r="J759" s="31">
        <f t="shared" si="73"/>
        <v>22.75</v>
      </c>
      <c r="K759" s="32">
        <f t="shared" si="74"/>
        <v>25</v>
      </c>
      <c r="M759" s="33">
        <f t="shared" si="69"/>
        <v>2.25</v>
      </c>
      <c r="N759" s="33">
        <v>3.8</v>
      </c>
    </row>
    <row r="760" spans="2:14" ht="16.5" customHeight="1">
      <c r="B760" s="30">
        <v>64842865</v>
      </c>
      <c r="C760" s="54" t="s">
        <v>934</v>
      </c>
      <c r="D760" s="117" t="s">
        <v>910</v>
      </c>
      <c r="E760" s="30">
        <v>502.5</v>
      </c>
      <c r="F760" s="30" t="s">
        <v>73</v>
      </c>
      <c r="G760" s="30">
        <f t="shared" si="70"/>
        <v>507.5</v>
      </c>
      <c r="H760" s="31">
        <f t="shared" si="71"/>
        <v>497.5</v>
      </c>
      <c r="I760" s="31">
        <f t="shared" si="72"/>
        <v>517.5</v>
      </c>
      <c r="J760" s="31">
        <f t="shared" si="73"/>
        <v>487.5</v>
      </c>
      <c r="K760" s="32">
        <f t="shared" si="74"/>
        <v>502.5</v>
      </c>
      <c r="M760" s="33">
        <f t="shared" si="69"/>
        <v>15</v>
      </c>
      <c r="N760" s="33">
        <v>61.1</v>
      </c>
    </row>
    <row r="761" spans="2:14" ht="16.5" customHeight="1">
      <c r="B761" s="30">
        <v>64769433</v>
      </c>
      <c r="C761" s="54" t="s">
        <v>935</v>
      </c>
      <c r="D761" s="117" t="s">
        <v>910</v>
      </c>
      <c r="E761" s="30">
        <v>502.5</v>
      </c>
      <c r="F761" s="30" t="s">
        <v>73</v>
      </c>
      <c r="G761" s="30">
        <f t="shared" si="70"/>
        <v>507.5</v>
      </c>
      <c r="H761" s="31">
        <f t="shared" si="71"/>
        <v>497.5</v>
      </c>
      <c r="I761" s="31">
        <f t="shared" si="72"/>
        <v>517.5</v>
      </c>
      <c r="J761" s="31">
        <f t="shared" si="73"/>
        <v>487.5</v>
      </c>
      <c r="K761" s="32">
        <f t="shared" si="74"/>
        <v>502.5</v>
      </c>
      <c r="M761" s="33">
        <f t="shared" si="69"/>
        <v>15</v>
      </c>
      <c r="N761" s="33">
        <v>61.1</v>
      </c>
    </row>
    <row r="762" spans="2:14" ht="16.5" customHeight="1">
      <c r="B762" s="30">
        <v>67294753</v>
      </c>
      <c r="C762" s="54" t="s">
        <v>806</v>
      </c>
      <c r="D762" s="60" t="s">
        <v>705</v>
      </c>
      <c r="E762" s="30">
        <v>522.6</v>
      </c>
      <c r="F762" s="30" t="s">
        <v>73</v>
      </c>
      <c r="G762" s="30">
        <f t="shared" si="70"/>
        <v>527.6</v>
      </c>
      <c r="H762" s="31">
        <f t="shared" si="71"/>
        <v>517.6</v>
      </c>
      <c r="I762" s="31">
        <f t="shared" si="72"/>
        <v>537.6</v>
      </c>
      <c r="J762" s="31">
        <f t="shared" si="73"/>
        <v>507.6</v>
      </c>
      <c r="K762" s="57">
        <v>522.6</v>
      </c>
      <c r="M762" s="33">
        <f t="shared" si="69"/>
        <v>15</v>
      </c>
      <c r="N762" s="33">
        <v>54.5</v>
      </c>
    </row>
    <row r="763" spans="2:14" ht="16.5" customHeight="1">
      <c r="B763" s="30">
        <v>64787807</v>
      </c>
      <c r="C763" s="54" t="s">
        <v>936</v>
      </c>
      <c r="D763" s="60" t="s">
        <v>705</v>
      </c>
      <c r="E763" s="30">
        <v>150</v>
      </c>
      <c r="F763" s="30" t="s">
        <v>73</v>
      </c>
      <c r="G763" s="30">
        <f>IF(P763="TL tuyệt đối",K763*103%,K763+1/3*M763)</f>
        <v>152.25</v>
      </c>
      <c r="H763" s="31">
        <f>IF(P763="TL tuyệt đối",K763*101%,K763-1/3*M763)</f>
        <v>147.75</v>
      </c>
      <c r="I763" s="31">
        <f>IF(P763="TL tuyệt đối", K763*105%,K763+M763)</f>
        <v>156.75</v>
      </c>
      <c r="J763" s="31">
        <f>K763-M763</f>
        <v>143.25</v>
      </c>
      <c r="K763" s="32">
        <f t="shared" ref="K763:K774" si="75">IF(F763="ml",E763*L763,E763)</f>
        <v>150</v>
      </c>
      <c r="M763" s="33">
        <f>IF(P763="TL tuyệt đối",0, IF(K763&lt;5,0,IF(K763&lt;50,K763*9%,IF(K763&lt;100,4.5,IF(K763&lt;200,4.5%*K763,IF(K763&lt;300,9,IF(K763&lt;500,K763*3%,IF(K763&lt;1000,15,))))))))</f>
        <v>6.75</v>
      </c>
      <c r="N763" s="33">
        <v>9.7799999999999994</v>
      </c>
    </row>
    <row r="764" spans="2:14" ht="16.5" customHeight="1">
      <c r="B764" s="110">
        <v>64893678</v>
      </c>
      <c r="C764" s="111" t="s">
        <v>937</v>
      </c>
      <c r="D764" s="112" t="s">
        <v>910</v>
      </c>
      <c r="E764" s="30">
        <v>230</v>
      </c>
      <c r="F764" s="30" t="s">
        <v>73</v>
      </c>
      <c r="G764" s="30">
        <f t="shared" ref="G764:G766" si="76">IF(P764="TL tuyệt đối",K764*103%,K764+1/3*M764)</f>
        <v>233</v>
      </c>
      <c r="H764" s="31">
        <f t="shared" ref="H764:H766" si="77">IF(P764="TL tuyệt đối",K764*101%,K764-1/3*M764)</f>
        <v>227</v>
      </c>
      <c r="I764" s="31">
        <f t="shared" ref="I764:I766" si="78">IF(P764="TL tuyệt đối", K764*105%,K764+M764)</f>
        <v>239</v>
      </c>
      <c r="J764" s="31">
        <f t="shared" ref="J764:J766" si="79">K764-M764</f>
        <v>221</v>
      </c>
      <c r="K764" s="32">
        <f t="shared" si="75"/>
        <v>230</v>
      </c>
      <c r="M764" s="33">
        <f t="shared" ref="M764" si="80">IF(P764="TL tuyệt đối",0, IF(K764&lt;5,0,IF(K764&lt;50,K764*9%,IF(K764&lt;100,4.5,IF(K764&lt;200,4.5%*K764,IF(K764&lt;300,9,IF(K764&lt;500,K764*3%,IF(K764&lt;1000,15,))))))))</f>
        <v>9</v>
      </c>
      <c r="N764" s="33">
        <v>8.8000000000000007</v>
      </c>
    </row>
    <row r="765" spans="2:14" ht="16.5" customHeight="1">
      <c r="B765" s="30">
        <v>64395929</v>
      </c>
      <c r="C765" s="54" t="s">
        <v>938</v>
      </c>
      <c r="D765" s="13" t="s">
        <v>939</v>
      </c>
      <c r="E765" s="30">
        <v>175</v>
      </c>
      <c r="F765" s="30" t="s">
        <v>73</v>
      </c>
      <c r="G765" s="30">
        <f t="shared" si="76"/>
        <v>177.625</v>
      </c>
      <c r="H765" s="31">
        <f t="shared" si="77"/>
        <v>172.375</v>
      </c>
      <c r="I765" s="31">
        <f t="shared" si="78"/>
        <v>182.875</v>
      </c>
      <c r="J765" s="31">
        <f t="shared" si="79"/>
        <v>167.125</v>
      </c>
      <c r="K765" s="32">
        <f t="shared" si="75"/>
        <v>175</v>
      </c>
      <c r="M765" s="33">
        <f>IF(P765="TL tuyệt đối",0, IF(K765&lt;5,0,IF(K765&lt;50,K765*9%,IF(K765&lt;100,4.5,IF(K765&lt;200,4.5%*K765,IF(K765&lt;300,9,IF(K765&lt;500,K765*3%,IF(K765&lt;1000,15,))))))))</f>
        <v>7.875</v>
      </c>
      <c r="N765" s="33">
        <v>7.2</v>
      </c>
    </row>
    <row r="766" spans="2:14" ht="16.5" customHeight="1">
      <c r="B766" s="30">
        <v>64893674</v>
      </c>
      <c r="C766" s="54" t="s">
        <v>940</v>
      </c>
      <c r="D766" s="36" t="s">
        <v>76</v>
      </c>
      <c r="E766" s="30">
        <v>180</v>
      </c>
      <c r="F766" s="30" t="s">
        <v>73</v>
      </c>
      <c r="G766" s="30">
        <f t="shared" si="76"/>
        <v>182.7</v>
      </c>
      <c r="H766" s="31">
        <f t="shared" si="77"/>
        <v>177.3</v>
      </c>
      <c r="I766" s="31">
        <f t="shared" si="78"/>
        <v>188.1</v>
      </c>
      <c r="J766" s="31">
        <f t="shared" si="79"/>
        <v>171.9</v>
      </c>
      <c r="K766" s="32">
        <f t="shared" si="75"/>
        <v>180</v>
      </c>
      <c r="M766" s="33">
        <f t="shared" ref="M766:M829" si="81">IF(P766="TL tuyệt đối",0, IF(K766&lt;5,0,IF(K766&lt;50,K766*9%,IF(K766&lt;100,4.5,IF(K766&lt;200,4.5%*K766,IF(K766&lt;300,9,IF(K766&lt;500,K766*3%,IF(K766&lt;1000,15,))))))))</f>
        <v>8.1</v>
      </c>
      <c r="N766" s="33">
        <v>7.4</v>
      </c>
    </row>
    <row r="767" spans="2:14" ht="16.5" customHeight="1">
      <c r="B767" s="30">
        <v>64893686</v>
      </c>
      <c r="C767" s="54" t="s">
        <v>941</v>
      </c>
      <c r="D767" s="36" t="s">
        <v>76</v>
      </c>
      <c r="E767" s="30">
        <v>230</v>
      </c>
      <c r="F767" s="30" t="s">
        <v>73</v>
      </c>
      <c r="G767" s="30">
        <f t="shared" si="70"/>
        <v>233</v>
      </c>
      <c r="H767" s="31">
        <f t="shared" si="71"/>
        <v>227</v>
      </c>
      <c r="I767" s="31">
        <f t="shared" si="72"/>
        <v>239</v>
      </c>
      <c r="J767" s="31">
        <f t="shared" si="73"/>
        <v>221</v>
      </c>
      <c r="K767" s="57">
        <f t="shared" si="75"/>
        <v>230</v>
      </c>
      <c r="M767" s="33">
        <f t="shared" si="81"/>
        <v>9</v>
      </c>
      <c r="N767" s="33">
        <v>8.6</v>
      </c>
    </row>
    <row r="768" spans="2:14" ht="16.5" customHeight="1">
      <c r="B768" s="30">
        <v>64893682</v>
      </c>
      <c r="C768" s="54" t="s">
        <v>942</v>
      </c>
      <c r="D768" s="36" t="s">
        <v>76</v>
      </c>
      <c r="E768" s="30">
        <v>180</v>
      </c>
      <c r="F768" s="30" t="s">
        <v>73</v>
      </c>
      <c r="G768" s="30">
        <f t="shared" ref="G768:G831" si="82">IF(P768="TL tuyệt đối",K768*103%,K768+1/3*M768)</f>
        <v>182.7</v>
      </c>
      <c r="H768" s="31">
        <f t="shared" ref="H768:H831" si="83">IF(P768="TL tuyệt đối",K768*101%,K768-1/3*M768)</f>
        <v>177.3</v>
      </c>
      <c r="I768" s="31">
        <f t="shared" ref="I768:I831" si="84">IF(P768="TL tuyệt đối", K768*105%,K768+M768)</f>
        <v>188.1</v>
      </c>
      <c r="J768" s="31">
        <f t="shared" si="73"/>
        <v>171.9</v>
      </c>
      <c r="K768" s="57">
        <f t="shared" si="75"/>
        <v>180</v>
      </c>
      <c r="M768" s="33">
        <f t="shared" si="81"/>
        <v>8.1</v>
      </c>
      <c r="N768" s="33">
        <v>7.4</v>
      </c>
    </row>
    <row r="769" spans="2:16" ht="16.5" customHeight="1">
      <c r="B769" s="30">
        <v>64896814</v>
      </c>
      <c r="C769" s="54" t="s">
        <v>943</v>
      </c>
      <c r="D769" s="60" t="s">
        <v>705</v>
      </c>
      <c r="E769" s="30">
        <v>97.5</v>
      </c>
      <c r="F769" s="30" t="s">
        <v>73</v>
      </c>
      <c r="G769" s="30">
        <f t="shared" si="82"/>
        <v>99</v>
      </c>
      <c r="H769" s="31">
        <f t="shared" si="83"/>
        <v>96</v>
      </c>
      <c r="I769" s="31">
        <f t="shared" si="84"/>
        <v>102</v>
      </c>
      <c r="J769" s="31">
        <f t="shared" si="73"/>
        <v>93</v>
      </c>
      <c r="K769" s="57">
        <f t="shared" si="75"/>
        <v>97.5</v>
      </c>
      <c r="M769" s="33">
        <f t="shared" si="81"/>
        <v>4.5</v>
      </c>
      <c r="N769" s="33">
        <v>6</v>
      </c>
    </row>
    <row r="770" spans="2:16" ht="16.5" customHeight="1">
      <c r="B770" s="30">
        <v>64828191</v>
      </c>
      <c r="C770" s="54" t="s">
        <v>944</v>
      </c>
      <c r="D770" s="118" t="s">
        <v>76</v>
      </c>
      <c r="E770" s="30">
        <v>100</v>
      </c>
      <c r="F770" s="30" t="s">
        <v>73</v>
      </c>
      <c r="G770" s="30">
        <f t="shared" si="82"/>
        <v>101.5</v>
      </c>
      <c r="H770" s="31">
        <f t="shared" si="83"/>
        <v>98.5</v>
      </c>
      <c r="I770" s="31">
        <f t="shared" si="84"/>
        <v>104.5</v>
      </c>
      <c r="J770" s="31">
        <f t="shared" si="73"/>
        <v>95.5</v>
      </c>
      <c r="K770" s="32">
        <f t="shared" si="75"/>
        <v>100</v>
      </c>
      <c r="M770" s="33">
        <f t="shared" si="81"/>
        <v>4.5</v>
      </c>
      <c r="N770" s="33">
        <v>7.1</v>
      </c>
    </row>
    <row r="771" spans="2:16" ht="16.5" customHeight="1">
      <c r="B771" s="30">
        <v>64828193</v>
      </c>
      <c r="C771" s="54" t="s">
        <v>945</v>
      </c>
      <c r="D771" s="118" t="s">
        <v>76</v>
      </c>
      <c r="E771" s="30">
        <v>100</v>
      </c>
      <c r="F771" s="30" t="s">
        <v>73</v>
      </c>
      <c r="G771" s="30">
        <f t="shared" si="82"/>
        <v>101.5</v>
      </c>
      <c r="H771" s="31">
        <f t="shared" si="83"/>
        <v>98.5</v>
      </c>
      <c r="I771" s="31">
        <f t="shared" si="84"/>
        <v>104.5</v>
      </c>
      <c r="J771" s="31">
        <f t="shared" si="73"/>
        <v>95.5</v>
      </c>
      <c r="K771" s="32">
        <f t="shared" si="75"/>
        <v>100</v>
      </c>
      <c r="M771" s="33">
        <f t="shared" si="81"/>
        <v>4.5</v>
      </c>
      <c r="N771" s="33">
        <v>7.1</v>
      </c>
    </row>
    <row r="772" spans="2:16" ht="16.5" customHeight="1">
      <c r="B772" s="30">
        <v>64942707</v>
      </c>
      <c r="C772" s="54" t="s">
        <v>946</v>
      </c>
      <c r="D772" s="13" t="s">
        <v>939</v>
      </c>
      <c r="E772" s="30">
        <v>85</v>
      </c>
      <c r="F772" s="30" t="s">
        <v>73</v>
      </c>
      <c r="G772" s="30">
        <f t="shared" si="82"/>
        <v>86.5</v>
      </c>
      <c r="H772" s="31">
        <f t="shared" si="83"/>
        <v>83.5</v>
      </c>
      <c r="I772" s="31">
        <f t="shared" si="84"/>
        <v>89.5</v>
      </c>
      <c r="J772" s="31">
        <f t="shared" ref="J772:J835" si="85">K772-M772</f>
        <v>80.5</v>
      </c>
      <c r="K772" s="32">
        <f t="shared" si="75"/>
        <v>85</v>
      </c>
      <c r="M772" s="33">
        <f t="shared" si="81"/>
        <v>4.5</v>
      </c>
      <c r="N772" s="33">
        <v>8</v>
      </c>
    </row>
    <row r="773" spans="2:16" ht="16.5" customHeight="1">
      <c r="B773" s="30">
        <v>64973360</v>
      </c>
      <c r="C773" s="54" t="s">
        <v>947</v>
      </c>
      <c r="E773" s="30">
        <v>100</v>
      </c>
      <c r="F773" s="30" t="s">
        <v>73</v>
      </c>
      <c r="G773" s="30">
        <f t="shared" si="82"/>
        <v>101.5</v>
      </c>
      <c r="H773" s="31">
        <f t="shared" si="83"/>
        <v>98.5</v>
      </c>
      <c r="I773" s="31">
        <f t="shared" si="84"/>
        <v>104.5</v>
      </c>
      <c r="J773" s="31">
        <f t="shared" si="85"/>
        <v>95.5</v>
      </c>
      <c r="K773" s="32">
        <f t="shared" si="75"/>
        <v>100</v>
      </c>
      <c r="M773" s="33">
        <f t="shared" si="81"/>
        <v>4.5</v>
      </c>
      <c r="N773" s="33">
        <v>5.7</v>
      </c>
    </row>
    <row r="774" spans="2:16" ht="16.5" customHeight="1">
      <c r="B774" s="30">
        <v>64895328</v>
      </c>
      <c r="C774" s="54" t="s">
        <v>526</v>
      </c>
      <c r="D774" s="36" t="s">
        <v>81</v>
      </c>
      <c r="E774" s="30">
        <v>200</v>
      </c>
      <c r="F774" s="30" t="s">
        <v>73</v>
      </c>
      <c r="G774" s="30">
        <f t="shared" si="82"/>
        <v>203</v>
      </c>
      <c r="H774" s="31">
        <f t="shared" si="83"/>
        <v>197</v>
      </c>
      <c r="I774" s="31">
        <f t="shared" si="84"/>
        <v>209</v>
      </c>
      <c r="J774" s="31">
        <f t="shared" si="85"/>
        <v>191</v>
      </c>
      <c r="K774" s="32">
        <f t="shared" si="75"/>
        <v>200</v>
      </c>
      <c r="M774" s="33">
        <f t="shared" si="81"/>
        <v>9</v>
      </c>
      <c r="N774" s="33">
        <v>8.14</v>
      </c>
      <c r="P774" s="32" t="s">
        <v>385</v>
      </c>
    </row>
    <row r="775" spans="2:16" ht="16.5" customHeight="1">
      <c r="B775" s="30">
        <v>64934565</v>
      </c>
      <c r="C775" s="54" t="s">
        <v>948</v>
      </c>
      <c r="E775" s="30">
        <v>107</v>
      </c>
      <c r="F775" s="30" t="s">
        <v>73</v>
      </c>
      <c r="G775" s="30">
        <f t="shared" si="82"/>
        <v>108.605</v>
      </c>
      <c r="H775" s="31">
        <f t="shared" si="83"/>
        <v>105.395</v>
      </c>
      <c r="I775" s="31">
        <f t="shared" si="84"/>
        <v>111.815</v>
      </c>
      <c r="J775" s="31">
        <f t="shared" si="85"/>
        <v>102.185</v>
      </c>
      <c r="K775" s="57">
        <v>107</v>
      </c>
      <c r="M775" s="33">
        <f t="shared" si="81"/>
        <v>4.8149999999999995</v>
      </c>
      <c r="N775" s="33">
        <v>7.2</v>
      </c>
    </row>
    <row r="776" spans="2:16" ht="16.5" customHeight="1">
      <c r="B776" s="30">
        <v>64934567</v>
      </c>
      <c r="C776" s="54" t="s">
        <v>949</v>
      </c>
      <c r="E776" s="30">
        <v>107</v>
      </c>
      <c r="F776" s="30" t="s">
        <v>73</v>
      </c>
      <c r="G776" s="30">
        <f t="shared" si="82"/>
        <v>108.605</v>
      </c>
      <c r="H776" s="31">
        <f t="shared" si="83"/>
        <v>105.395</v>
      </c>
      <c r="I776" s="31">
        <f t="shared" si="84"/>
        <v>111.815</v>
      </c>
      <c r="J776" s="31">
        <f t="shared" si="85"/>
        <v>102.185</v>
      </c>
      <c r="K776" s="57">
        <v>107</v>
      </c>
      <c r="M776" s="33">
        <f t="shared" si="81"/>
        <v>4.8149999999999995</v>
      </c>
      <c r="N776" s="33">
        <v>7.2</v>
      </c>
    </row>
    <row r="777" spans="2:16" ht="16.5" customHeight="1">
      <c r="B777" s="30">
        <v>64942705</v>
      </c>
      <c r="C777" s="54" t="s">
        <v>950</v>
      </c>
      <c r="E777" s="30">
        <v>85</v>
      </c>
      <c r="F777" s="30" t="s">
        <v>73</v>
      </c>
      <c r="G777" s="30">
        <f t="shared" si="82"/>
        <v>86.5</v>
      </c>
      <c r="H777" s="31">
        <f t="shared" si="83"/>
        <v>83.5</v>
      </c>
      <c r="I777" s="31">
        <f t="shared" si="84"/>
        <v>89.5</v>
      </c>
      <c r="J777" s="31">
        <f t="shared" si="85"/>
        <v>80.5</v>
      </c>
      <c r="K777" s="57">
        <v>85</v>
      </c>
      <c r="M777" s="33">
        <f t="shared" si="81"/>
        <v>4.5</v>
      </c>
      <c r="N777" s="33"/>
    </row>
    <row r="778" spans="2:16" ht="16.5" customHeight="1">
      <c r="H778" s="31"/>
      <c r="I778" s="31"/>
      <c r="J778" s="31"/>
      <c r="M778" s="33"/>
      <c r="N778" s="33"/>
    </row>
    <row r="779" spans="2:16" ht="16.5" customHeight="1">
      <c r="B779" s="30">
        <v>64954914</v>
      </c>
      <c r="C779" s="54" t="s">
        <v>951</v>
      </c>
      <c r="E779" s="30">
        <v>100</v>
      </c>
      <c r="F779" s="30" t="s">
        <v>73</v>
      </c>
      <c r="G779" s="30">
        <f t="shared" si="82"/>
        <v>101.5</v>
      </c>
      <c r="H779" s="31">
        <f t="shared" si="83"/>
        <v>98.5</v>
      </c>
      <c r="I779" s="31">
        <f t="shared" si="84"/>
        <v>104.5</v>
      </c>
      <c r="J779" s="31">
        <f t="shared" si="85"/>
        <v>95.5</v>
      </c>
      <c r="K779" s="57">
        <v>100</v>
      </c>
      <c r="M779" s="33">
        <f t="shared" si="81"/>
        <v>4.5</v>
      </c>
      <c r="N779" s="33"/>
    </row>
    <row r="780" spans="2:16" ht="16.5" customHeight="1">
      <c r="B780" s="30">
        <v>64954918</v>
      </c>
      <c r="C780" s="54" t="s">
        <v>952</v>
      </c>
      <c r="E780" s="30">
        <v>100</v>
      </c>
      <c r="F780" s="30" t="s">
        <v>73</v>
      </c>
      <c r="G780" s="30">
        <f t="shared" si="82"/>
        <v>101.5</v>
      </c>
      <c r="H780" s="31">
        <f t="shared" si="83"/>
        <v>98.5</v>
      </c>
      <c r="I780" s="31">
        <f t="shared" si="84"/>
        <v>104.5</v>
      </c>
      <c r="J780" s="31">
        <f t="shared" si="85"/>
        <v>95.5</v>
      </c>
      <c r="K780" s="57">
        <v>100</v>
      </c>
      <c r="M780" s="33">
        <f t="shared" si="81"/>
        <v>4.5</v>
      </c>
      <c r="N780" s="33"/>
    </row>
    <row r="781" spans="2:16" ht="16.5" customHeight="1">
      <c r="B781" s="30">
        <v>64872080</v>
      </c>
      <c r="C781" s="54" t="s">
        <v>953</v>
      </c>
      <c r="E781" s="30">
        <v>96.75</v>
      </c>
      <c r="F781" s="30" t="s">
        <v>73</v>
      </c>
      <c r="G781" s="30">
        <f t="shared" si="82"/>
        <v>98.25</v>
      </c>
      <c r="H781" s="31">
        <f t="shared" si="83"/>
        <v>95.25</v>
      </c>
      <c r="I781" s="31">
        <f t="shared" si="84"/>
        <v>101.25</v>
      </c>
      <c r="J781" s="31">
        <f t="shared" si="85"/>
        <v>92.25</v>
      </c>
      <c r="K781" s="57">
        <v>96.75</v>
      </c>
      <c r="M781" s="33">
        <f t="shared" si="81"/>
        <v>4.5</v>
      </c>
      <c r="N781" s="33"/>
    </row>
    <row r="782" spans="2:16" ht="16.5" customHeight="1">
      <c r="B782" s="30">
        <v>64872082</v>
      </c>
      <c r="C782" s="54" t="s">
        <v>954</v>
      </c>
      <c r="E782" s="30">
        <v>96.75</v>
      </c>
      <c r="F782" s="30" t="s">
        <v>73</v>
      </c>
      <c r="G782" s="30">
        <f t="shared" si="82"/>
        <v>98.25</v>
      </c>
      <c r="H782" s="31">
        <f t="shared" si="83"/>
        <v>95.25</v>
      </c>
      <c r="I782" s="31">
        <f t="shared" si="84"/>
        <v>101.25</v>
      </c>
      <c r="J782" s="31">
        <f t="shared" si="85"/>
        <v>92.25</v>
      </c>
      <c r="K782" s="57">
        <v>96.75</v>
      </c>
      <c r="M782" s="33">
        <f t="shared" si="81"/>
        <v>4.5</v>
      </c>
      <c r="N782" s="33"/>
    </row>
    <row r="783" spans="2:16" ht="16.5" customHeight="1">
      <c r="B783" s="30">
        <v>64872084</v>
      </c>
      <c r="C783" s="54" t="s">
        <v>955</v>
      </c>
      <c r="E783" s="30">
        <v>99.75</v>
      </c>
      <c r="F783" s="30" t="s">
        <v>73</v>
      </c>
      <c r="G783" s="30">
        <f t="shared" si="82"/>
        <v>101.25</v>
      </c>
      <c r="H783" s="31">
        <f t="shared" si="83"/>
        <v>98.25</v>
      </c>
      <c r="I783" s="31">
        <f t="shared" si="84"/>
        <v>104.25</v>
      </c>
      <c r="J783" s="31">
        <f t="shared" si="85"/>
        <v>95.25</v>
      </c>
      <c r="K783" s="57">
        <v>99.75</v>
      </c>
      <c r="M783" s="33">
        <f t="shared" si="81"/>
        <v>4.5</v>
      </c>
      <c r="N783" s="33">
        <v>7</v>
      </c>
    </row>
    <row r="784" spans="2:16" ht="16.5" customHeight="1">
      <c r="B784" s="30">
        <v>64872086</v>
      </c>
      <c r="C784" s="54" t="s">
        <v>956</v>
      </c>
      <c r="E784" s="30">
        <v>102</v>
      </c>
      <c r="F784" s="30" t="s">
        <v>73</v>
      </c>
      <c r="G784" s="30">
        <f t="shared" si="82"/>
        <v>103.53</v>
      </c>
      <c r="H784" s="31">
        <f t="shared" si="83"/>
        <v>100.47</v>
      </c>
      <c r="I784" s="31">
        <f t="shared" si="84"/>
        <v>106.59</v>
      </c>
      <c r="J784" s="31">
        <f t="shared" si="85"/>
        <v>97.41</v>
      </c>
      <c r="K784" s="57">
        <v>102</v>
      </c>
      <c r="M784" s="33">
        <f t="shared" si="81"/>
        <v>4.59</v>
      </c>
      <c r="N784" s="33"/>
    </row>
    <row r="785" spans="2:16" ht="16.5" customHeight="1">
      <c r="B785" s="30">
        <v>64328142</v>
      </c>
      <c r="C785" s="54" t="s">
        <v>957</v>
      </c>
      <c r="D785" s="36" t="s">
        <v>87</v>
      </c>
      <c r="E785" s="55">
        <v>75</v>
      </c>
      <c r="F785" s="30" t="s">
        <v>73</v>
      </c>
      <c r="G785" s="30">
        <f t="shared" si="82"/>
        <v>77.25</v>
      </c>
      <c r="H785" s="31">
        <f t="shared" si="83"/>
        <v>75.75</v>
      </c>
      <c r="I785" s="31">
        <f t="shared" si="84"/>
        <v>78.75</v>
      </c>
      <c r="J785" s="31">
        <f t="shared" si="85"/>
        <v>75</v>
      </c>
      <c r="K785" s="32">
        <f>IF(F785="ml",E785*L785,E785)</f>
        <v>75</v>
      </c>
      <c r="L785" s="32"/>
      <c r="M785" s="33">
        <f t="shared" si="81"/>
        <v>0</v>
      </c>
      <c r="N785" s="33">
        <v>5.76</v>
      </c>
      <c r="P785" s="41" t="s">
        <v>88</v>
      </c>
    </row>
    <row r="786" spans="2:16" ht="16.5" customHeight="1">
      <c r="B786" s="30">
        <v>64328136</v>
      </c>
      <c r="C786" s="54" t="s">
        <v>958</v>
      </c>
      <c r="D786" s="36" t="s">
        <v>87</v>
      </c>
      <c r="E786" s="30">
        <v>160</v>
      </c>
      <c r="F786" s="30" t="s">
        <v>73</v>
      </c>
      <c r="G786" s="30">
        <f t="shared" si="82"/>
        <v>162.4</v>
      </c>
      <c r="H786" s="31">
        <f t="shared" si="83"/>
        <v>157.6</v>
      </c>
      <c r="I786" s="31">
        <f t="shared" si="84"/>
        <v>167.2</v>
      </c>
      <c r="J786" s="31">
        <f t="shared" si="85"/>
        <v>152.80000000000001</v>
      </c>
      <c r="K786" s="32">
        <f t="shared" ref="K786:K796" si="86">IF(F786="ml",E786*L786,E786)</f>
        <v>160</v>
      </c>
      <c r="M786" s="33">
        <f t="shared" si="81"/>
        <v>7.1999999999999993</v>
      </c>
      <c r="N786" s="33">
        <v>7.3</v>
      </c>
    </row>
    <row r="787" spans="2:16" ht="16.5" customHeight="1">
      <c r="B787" s="30">
        <v>64997197</v>
      </c>
      <c r="C787" s="54" t="s">
        <v>959</v>
      </c>
      <c r="D787" s="115" t="s">
        <v>939</v>
      </c>
      <c r="E787" s="30">
        <v>173</v>
      </c>
      <c r="F787" s="30" t="s">
        <v>73</v>
      </c>
      <c r="G787" s="30">
        <f t="shared" si="82"/>
        <v>175.595</v>
      </c>
      <c r="H787" s="31">
        <f t="shared" si="83"/>
        <v>170.405</v>
      </c>
      <c r="I787" s="31">
        <f t="shared" si="84"/>
        <v>180.785</v>
      </c>
      <c r="J787" s="31">
        <f t="shared" si="85"/>
        <v>165.215</v>
      </c>
      <c r="K787" s="32">
        <f t="shared" si="86"/>
        <v>173</v>
      </c>
      <c r="M787" s="33">
        <f t="shared" si="81"/>
        <v>7.7850000000000001</v>
      </c>
      <c r="N787" s="33"/>
    </row>
    <row r="788" spans="2:16" ht="16.5" customHeight="1">
      <c r="B788" s="30">
        <v>64860236</v>
      </c>
      <c r="C788" s="54" t="s">
        <v>960</v>
      </c>
      <c r="D788" s="36" t="s">
        <v>76</v>
      </c>
      <c r="E788" s="30">
        <v>100</v>
      </c>
      <c r="F788" s="30" t="s">
        <v>73</v>
      </c>
      <c r="G788" s="30">
        <f t="shared" si="82"/>
        <v>101.5</v>
      </c>
      <c r="H788" s="31">
        <f t="shared" si="83"/>
        <v>98.5</v>
      </c>
      <c r="I788" s="31">
        <f t="shared" si="84"/>
        <v>104.5</v>
      </c>
      <c r="J788" s="31">
        <f t="shared" si="85"/>
        <v>95.5</v>
      </c>
      <c r="K788" s="32">
        <f t="shared" si="86"/>
        <v>100</v>
      </c>
      <c r="M788" s="33">
        <f t="shared" si="81"/>
        <v>4.5</v>
      </c>
      <c r="N788" s="33">
        <v>7</v>
      </c>
    </row>
    <row r="789" spans="2:16" ht="16.5" customHeight="1">
      <c r="B789" s="30">
        <v>64860238</v>
      </c>
      <c r="C789" s="54" t="s">
        <v>961</v>
      </c>
      <c r="D789" s="36" t="s">
        <v>76</v>
      </c>
      <c r="E789" s="30">
        <v>100</v>
      </c>
      <c r="F789" s="30" t="s">
        <v>73</v>
      </c>
      <c r="G789" s="30">
        <f t="shared" si="82"/>
        <v>101.5</v>
      </c>
      <c r="H789" s="31">
        <f t="shared" si="83"/>
        <v>98.5</v>
      </c>
      <c r="I789" s="31">
        <f t="shared" si="84"/>
        <v>104.5</v>
      </c>
      <c r="J789" s="31">
        <f t="shared" si="85"/>
        <v>95.5</v>
      </c>
      <c r="K789" s="32">
        <f t="shared" si="86"/>
        <v>100</v>
      </c>
      <c r="M789" s="33">
        <f t="shared" si="81"/>
        <v>4.5</v>
      </c>
      <c r="N789" s="33">
        <v>7</v>
      </c>
    </row>
    <row r="790" spans="2:16" ht="16.5" customHeight="1">
      <c r="B790" s="113">
        <v>64797332</v>
      </c>
      <c r="C790" s="119" t="s">
        <v>962</v>
      </c>
      <c r="D790" s="120" t="s">
        <v>705</v>
      </c>
      <c r="E790" s="30">
        <v>132</v>
      </c>
      <c r="F790" s="30" t="s">
        <v>73</v>
      </c>
      <c r="G790" s="30">
        <f t="shared" si="82"/>
        <v>133.97999999999999</v>
      </c>
      <c r="H790" s="31">
        <f t="shared" si="83"/>
        <v>130.02000000000001</v>
      </c>
      <c r="I790" s="31">
        <f t="shared" si="84"/>
        <v>137.94</v>
      </c>
      <c r="J790" s="31">
        <f t="shared" si="85"/>
        <v>126.06</v>
      </c>
      <c r="K790" s="32">
        <f t="shared" si="86"/>
        <v>132</v>
      </c>
      <c r="M790" s="33">
        <f t="shared" si="81"/>
        <v>5.9399999999999995</v>
      </c>
      <c r="N790" s="33">
        <v>6.3</v>
      </c>
    </row>
    <row r="791" spans="2:16" ht="16.5" customHeight="1">
      <c r="B791" s="113">
        <v>64797334</v>
      </c>
      <c r="C791" s="119" t="s">
        <v>963</v>
      </c>
      <c r="D791" s="120" t="s">
        <v>705</v>
      </c>
      <c r="E791" s="30">
        <v>131</v>
      </c>
      <c r="F791" s="30" t="s">
        <v>73</v>
      </c>
      <c r="G791" s="30">
        <f t="shared" si="82"/>
        <v>132.965</v>
      </c>
      <c r="H791" s="31">
        <f t="shared" si="83"/>
        <v>129.035</v>
      </c>
      <c r="I791" s="31">
        <f t="shared" si="84"/>
        <v>136.89500000000001</v>
      </c>
      <c r="J791" s="31">
        <f t="shared" si="85"/>
        <v>125.105</v>
      </c>
      <c r="K791" s="32">
        <f t="shared" si="86"/>
        <v>131</v>
      </c>
      <c r="M791" s="33">
        <f t="shared" si="81"/>
        <v>5.8949999999999996</v>
      </c>
      <c r="N791" s="33">
        <v>6.3</v>
      </c>
    </row>
    <row r="792" spans="2:16" ht="16.5" customHeight="1">
      <c r="B792" s="113">
        <v>64797336</v>
      </c>
      <c r="C792" s="119" t="s">
        <v>964</v>
      </c>
      <c r="D792" s="120" t="s">
        <v>705</v>
      </c>
      <c r="E792" s="30">
        <v>132</v>
      </c>
      <c r="F792" s="30" t="s">
        <v>73</v>
      </c>
      <c r="G792" s="30">
        <f t="shared" si="82"/>
        <v>133.97999999999999</v>
      </c>
      <c r="H792" s="31">
        <f t="shared" si="83"/>
        <v>130.02000000000001</v>
      </c>
      <c r="I792" s="31">
        <f t="shared" si="84"/>
        <v>137.94</v>
      </c>
      <c r="J792" s="31">
        <f t="shared" si="85"/>
        <v>126.06</v>
      </c>
      <c r="K792" s="32">
        <f t="shared" si="86"/>
        <v>132</v>
      </c>
      <c r="M792" s="33">
        <f t="shared" si="81"/>
        <v>5.9399999999999995</v>
      </c>
      <c r="N792" s="33">
        <v>6.3</v>
      </c>
    </row>
    <row r="793" spans="2:16" ht="16.5" customHeight="1">
      <c r="B793" s="30">
        <v>64328137</v>
      </c>
      <c r="C793" s="54" t="s">
        <v>965</v>
      </c>
      <c r="E793" s="30">
        <v>160</v>
      </c>
      <c r="F793" s="30" t="s">
        <v>73</v>
      </c>
      <c r="G793" s="30">
        <f t="shared" si="82"/>
        <v>162.4</v>
      </c>
      <c r="H793" s="31">
        <f t="shared" si="83"/>
        <v>157.6</v>
      </c>
      <c r="I793" s="31">
        <f t="shared" si="84"/>
        <v>167.2</v>
      </c>
      <c r="J793" s="31">
        <f t="shared" si="85"/>
        <v>152.80000000000001</v>
      </c>
      <c r="K793" s="32">
        <f t="shared" si="86"/>
        <v>160</v>
      </c>
      <c r="M793" s="33">
        <f t="shared" si="81"/>
        <v>7.1999999999999993</v>
      </c>
      <c r="N793" s="33">
        <v>7.3</v>
      </c>
    </row>
    <row r="794" spans="2:16" ht="16.5" customHeight="1">
      <c r="B794" s="113">
        <v>64991804</v>
      </c>
      <c r="C794" s="114" t="s">
        <v>966</v>
      </c>
      <c r="D794" s="115" t="s">
        <v>705</v>
      </c>
      <c r="E794" s="30">
        <v>96</v>
      </c>
      <c r="F794" s="30" t="s">
        <v>73</v>
      </c>
      <c r="G794" s="30">
        <f t="shared" si="82"/>
        <v>97.5</v>
      </c>
      <c r="H794" s="31">
        <f t="shared" si="83"/>
        <v>94.5</v>
      </c>
      <c r="I794" s="31">
        <f t="shared" si="84"/>
        <v>100.5</v>
      </c>
      <c r="J794" s="31">
        <f t="shared" si="85"/>
        <v>91.5</v>
      </c>
      <c r="K794" s="32">
        <f t="shared" si="86"/>
        <v>96</v>
      </c>
      <c r="M794" s="33">
        <f t="shared" si="81"/>
        <v>4.5</v>
      </c>
      <c r="N794" s="33">
        <v>7.5</v>
      </c>
    </row>
    <row r="795" spans="2:16" ht="16.5" customHeight="1">
      <c r="B795" s="113">
        <v>64991806</v>
      </c>
      <c r="C795" s="114" t="s">
        <v>967</v>
      </c>
      <c r="D795" s="115" t="s">
        <v>705</v>
      </c>
      <c r="E795" s="30">
        <v>96</v>
      </c>
      <c r="F795" s="30" t="s">
        <v>73</v>
      </c>
      <c r="G795" s="30">
        <f t="shared" si="82"/>
        <v>97.5</v>
      </c>
      <c r="H795" s="31">
        <f t="shared" si="83"/>
        <v>94.5</v>
      </c>
      <c r="I795" s="31">
        <f t="shared" si="84"/>
        <v>100.5</v>
      </c>
      <c r="J795" s="31">
        <f t="shared" si="85"/>
        <v>91.5</v>
      </c>
      <c r="K795" s="32">
        <f t="shared" si="86"/>
        <v>96</v>
      </c>
      <c r="M795" s="33">
        <f t="shared" si="81"/>
        <v>4.5</v>
      </c>
      <c r="N795" s="33">
        <v>7.5</v>
      </c>
    </row>
    <row r="796" spans="2:16" ht="16.5" customHeight="1">
      <c r="B796" s="30">
        <v>64328138</v>
      </c>
      <c r="C796" s="54" t="s">
        <v>968</v>
      </c>
      <c r="D796" s="115" t="s">
        <v>705</v>
      </c>
      <c r="E796" s="30">
        <v>160</v>
      </c>
      <c r="F796" s="30" t="s">
        <v>73</v>
      </c>
      <c r="G796" s="30">
        <f t="shared" si="82"/>
        <v>162.4</v>
      </c>
      <c r="H796" s="31">
        <f t="shared" si="83"/>
        <v>157.6</v>
      </c>
      <c r="I796" s="31">
        <f t="shared" si="84"/>
        <v>167.2</v>
      </c>
      <c r="J796" s="31">
        <f t="shared" si="85"/>
        <v>152.80000000000001</v>
      </c>
      <c r="K796" s="32">
        <f t="shared" si="86"/>
        <v>160</v>
      </c>
      <c r="M796" s="33">
        <f t="shared" si="81"/>
        <v>7.1999999999999993</v>
      </c>
      <c r="N796" s="33">
        <v>7.3</v>
      </c>
    </row>
    <row r="797" spans="2:16" ht="16.5" customHeight="1">
      <c r="B797" s="30">
        <v>62770632</v>
      </c>
      <c r="C797" s="54" t="s">
        <v>969</v>
      </c>
      <c r="D797" s="115" t="s">
        <v>705</v>
      </c>
      <c r="E797" s="30">
        <v>152</v>
      </c>
      <c r="F797" s="30" t="s">
        <v>73</v>
      </c>
      <c r="G797" s="30">
        <f>IF(P797="TL tuyệt đối",K797*103%,K797+1/3*M797)</f>
        <v>154.28</v>
      </c>
      <c r="H797" s="31">
        <f>IF(P797="TL tuyệt đối",K797*101%,K797-1/3*M797)</f>
        <v>149.72</v>
      </c>
      <c r="I797" s="31">
        <f>IF(P797="TL tuyệt đối", K797*105%,K797+M797)</f>
        <v>158.84</v>
      </c>
      <c r="J797" s="31">
        <f>K797-M797</f>
        <v>145.16</v>
      </c>
      <c r="K797" s="32">
        <f>IF(F797="ml",E797*L797,E797)</f>
        <v>152</v>
      </c>
      <c r="M797" s="33">
        <f t="shared" si="81"/>
        <v>6.84</v>
      </c>
      <c r="N797" s="33">
        <v>6.5</v>
      </c>
    </row>
    <row r="798" spans="2:16" ht="16.5" customHeight="1">
      <c r="B798" s="81">
        <v>64953874</v>
      </c>
      <c r="C798" s="82" t="s">
        <v>970</v>
      </c>
      <c r="D798" s="115" t="s">
        <v>939</v>
      </c>
      <c r="E798" s="30">
        <v>120</v>
      </c>
      <c r="F798" s="30" t="s">
        <v>73</v>
      </c>
      <c r="G798" s="30">
        <f t="shared" ref="G798:G799" si="87">IF(P798="TL tuyệt đối",K798*103%,K798+1/3*M798)</f>
        <v>121.8</v>
      </c>
      <c r="H798" s="31">
        <f t="shared" ref="H798:H799" si="88">IF(P798="TL tuyệt đối",K798*101%,K798-1/3*M798)</f>
        <v>118.2</v>
      </c>
      <c r="I798" s="31">
        <f t="shared" ref="I798:I799" si="89">IF(P798="TL tuyệt đối", K798*105%,K798+M798)</f>
        <v>125.4</v>
      </c>
      <c r="J798" s="31">
        <f t="shared" ref="J798:J799" si="90">K798-M798</f>
        <v>114.6</v>
      </c>
      <c r="K798" s="32">
        <f t="shared" ref="K798:K856" si="91">IF(F798="ml",E798*L798,E798)</f>
        <v>120</v>
      </c>
      <c r="M798" s="33">
        <f t="shared" si="81"/>
        <v>5.3999999999999995</v>
      </c>
      <c r="N798" s="33">
        <v>6.2</v>
      </c>
    </row>
    <row r="799" spans="2:16" ht="16.5" customHeight="1">
      <c r="B799" s="30">
        <v>65591301</v>
      </c>
      <c r="C799" s="54" t="s">
        <v>971</v>
      </c>
      <c r="D799" s="60" t="s">
        <v>910</v>
      </c>
      <c r="E799" s="30">
        <v>100</v>
      </c>
      <c r="F799" s="30" t="s">
        <v>73</v>
      </c>
      <c r="G799" s="30">
        <f t="shared" si="87"/>
        <v>101.5</v>
      </c>
      <c r="H799" s="31">
        <f t="shared" si="88"/>
        <v>98.5</v>
      </c>
      <c r="I799" s="31">
        <f t="shared" si="89"/>
        <v>104.5</v>
      </c>
      <c r="J799" s="31">
        <f t="shared" si="90"/>
        <v>95.5</v>
      </c>
      <c r="K799" s="32">
        <f t="shared" si="91"/>
        <v>100</v>
      </c>
      <c r="M799" s="33">
        <f t="shared" si="81"/>
        <v>4.5</v>
      </c>
      <c r="N799" s="33">
        <v>5.7</v>
      </c>
    </row>
    <row r="800" spans="2:16" ht="16.5" customHeight="1">
      <c r="B800" s="81">
        <v>65591284</v>
      </c>
      <c r="C800" s="82" t="s">
        <v>972</v>
      </c>
      <c r="D800" s="60" t="s">
        <v>910</v>
      </c>
      <c r="E800" s="30">
        <v>180</v>
      </c>
      <c r="F800" s="30" t="s">
        <v>73</v>
      </c>
      <c r="G800" s="30">
        <f t="shared" si="82"/>
        <v>182.7</v>
      </c>
      <c r="H800" s="31">
        <f t="shared" si="83"/>
        <v>177.3</v>
      </c>
      <c r="I800" s="31">
        <f t="shared" si="84"/>
        <v>188.1</v>
      </c>
      <c r="J800" s="31">
        <f t="shared" si="85"/>
        <v>171.9</v>
      </c>
      <c r="K800" s="32">
        <f t="shared" si="91"/>
        <v>180</v>
      </c>
      <c r="M800" s="33">
        <f t="shared" si="81"/>
        <v>8.1</v>
      </c>
      <c r="N800" s="33">
        <v>7</v>
      </c>
    </row>
    <row r="801" spans="2:14" ht="16.5" customHeight="1">
      <c r="B801" s="30">
        <v>65591289</v>
      </c>
      <c r="C801" s="54" t="s">
        <v>973</v>
      </c>
      <c r="D801" s="60" t="s">
        <v>910</v>
      </c>
      <c r="E801" s="30">
        <v>180</v>
      </c>
      <c r="F801" s="30" t="s">
        <v>73</v>
      </c>
      <c r="G801" s="30">
        <f t="shared" si="82"/>
        <v>182.7</v>
      </c>
      <c r="H801" s="31">
        <f t="shared" si="83"/>
        <v>177.3</v>
      </c>
      <c r="I801" s="31">
        <f t="shared" si="84"/>
        <v>188.1</v>
      </c>
      <c r="J801" s="31">
        <f t="shared" si="85"/>
        <v>171.9</v>
      </c>
      <c r="K801" s="32">
        <f t="shared" si="91"/>
        <v>180</v>
      </c>
      <c r="M801" s="33">
        <f t="shared" si="81"/>
        <v>8.1</v>
      </c>
      <c r="N801" s="33">
        <v>7</v>
      </c>
    </row>
    <row r="802" spans="2:14" ht="16.5" customHeight="1">
      <c r="B802" s="30">
        <v>65631920</v>
      </c>
      <c r="C802" s="54" t="s">
        <v>974</v>
      </c>
      <c r="D802" s="115" t="s">
        <v>705</v>
      </c>
      <c r="E802" s="30">
        <v>85</v>
      </c>
      <c r="F802" s="30" t="s">
        <v>73</v>
      </c>
      <c r="G802" s="30">
        <f t="shared" si="82"/>
        <v>86.5</v>
      </c>
      <c r="H802" s="31">
        <f t="shared" si="83"/>
        <v>83.5</v>
      </c>
      <c r="I802" s="31">
        <f t="shared" si="84"/>
        <v>89.5</v>
      </c>
      <c r="J802" s="31">
        <f t="shared" si="85"/>
        <v>80.5</v>
      </c>
      <c r="K802" s="32">
        <f t="shared" si="91"/>
        <v>85</v>
      </c>
      <c r="M802" s="33">
        <f t="shared" si="81"/>
        <v>4.5</v>
      </c>
      <c r="N802" s="33">
        <v>8.1</v>
      </c>
    </row>
    <row r="803" spans="2:14" ht="16.5" customHeight="1">
      <c r="B803" s="30">
        <v>65490080</v>
      </c>
      <c r="C803" s="54" t="s">
        <v>975</v>
      </c>
      <c r="D803" s="115" t="s">
        <v>705</v>
      </c>
      <c r="E803" s="30">
        <v>85</v>
      </c>
      <c r="F803" s="30" t="s">
        <v>73</v>
      </c>
      <c r="G803" s="30">
        <f t="shared" si="82"/>
        <v>86.5</v>
      </c>
      <c r="H803" s="31">
        <f t="shared" si="83"/>
        <v>83.5</v>
      </c>
      <c r="I803" s="31">
        <f t="shared" si="84"/>
        <v>89.5</v>
      </c>
      <c r="J803" s="31">
        <f t="shared" si="85"/>
        <v>80.5</v>
      </c>
      <c r="K803" s="32">
        <f t="shared" si="91"/>
        <v>85</v>
      </c>
      <c r="M803" s="33">
        <f t="shared" si="81"/>
        <v>4.5</v>
      </c>
      <c r="N803" s="33">
        <v>8.1</v>
      </c>
    </row>
    <row r="804" spans="2:14" ht="16.5" customHeight="1">
      <c r="B804" s="30">
        <v>65490082</v>
      </c>
      <c r="C804" s="54" t="s">
        <v>976</v>
      </c>
      <c r="D804" s="115" t="s">
        <v>705</v>
      </c>
      <c r="E804" s="30">
        <v>85</v>
      </c>
      <c r="F804" s="30" t="s">
        <v>73</v>
      </c>
      <c r="G804" s="30">
        <f t="shared" si="82"/>
        <v>86.5</v>
      </c>
      <c r="H804" s="31">
        <f t="shared" si="83"/>
        <v>83.5</v>
      </c>
      <c r="I804" s="31">
        <f t="shared" si="84"/>
        <v>89.5</v>
      </c>
      <c r="J804" s="31">
        <f t="shared" si="85"/>
        <v>80.5</v>
      </c>
      <c r="K804" s="32">
        <f t="shared" si="91"/>
        <v>85</v>
      </c>
      <c r="M804" s="33">
        <f t="shared" si="81"/>
        <v>4.5</v>
      </c>
      <c r="N804" s="33">
        <v>8.1</v>
      </c>
    </row>
    <row r="805" spans="2:14" ht="16.5" customHeight="1">
      <c r="B805" s="30">
        <v>65490084</v>
      </c>
      <c r="C805" s="54" t="s">
        <v>977</v>
      </c>
      <c r="D805" s="115" t="s">
        <v>705</v>
      </c>
      <c r="E805" s="30">
        <v>85</v>
      </c>
      <c r="F805" s="30" t="s">
        <v>73</v>
      </c>
      <c r="G805" s="30">
        <f t="shared" si="82"/>
        <v>86.5</v>
      </c>
      <c r="H805" s="31">
        <f t="shared" si="83"/>
        <v>83.5</v>
      </c>
      <c r="I805" s="31">
        <f t="shared" si="84"/>
        <v>89.5</v>
      </c>
      <c r="J805" s="31">
        <f t="shared" si="85"/>
        <v>80.5</v>
      </c>
      <c r="K805" s="32">
        <f t="shared" si="91"/>
        <v>85</v>
      </c>
      <c r="M805" s="33">
        <f t="shared" si="81"/>
        <v>4.5</v>
      </c>
      <c r="N805" s="33">
        <v>8.1</v>
      </c>
    </row>
    <row r="806" spans="2:14" ht="16.5" customHeight="1">
      <c r="B806" s="30">
        <v>65591279</v>
      </c>
      <c r="C806" s="54" t="s">
        <v>978</v>
      </c>
      <c r="D806" s="60" t="s">
        <v>910</v>
      </c>
      <c r="E806" s="30">
        <v>230</v>
      </c>
      <c r="F806" s="30" t="s">
        <v>73</v>
      </c>
      <c r="G806" s="30">
        <f t="shared" si="82"/>
        <v>233</v>
      </c>
      <c r="H806" s="31">
        <f t="shared" si="83"/>
        <v>227</v>
      </c>
      <c r="I806" s="31">
        <f t="shared" si="84"/>
        <v>239</v>
      </c>
      <c r="J806" s="31">
        <f t="shared" si="85"/>
        <v>221</v>
      </c>
      <c r="K806" s="57">
        <f t="shared" si="91"/>
        <v>230</v>
      </c>
      <c r="M806" s="33">
        <f t="shared" si="81"/>
        <v>9</v>
      </c>
      <c r="N806" s="33">
        <v>9</v>
      </c>
    </row>
    <row r="807" spans="2:14" ht="16.5" customHeight="1">
      <c r="B807" s="30">
        <v>65591283</v>
      </c>
      <c r="C807" s="54" t="s">
        <v>979</v>
      </c>
      <c r="D807" s="60" t="s">
        <v>910</v>
      </c>
      <c r="E807" s="30">
        <v>180</v>
      </c>
      <c r="F807" s="30" t="s">
        <v>73</v>
      </c>
      <c r="G807" s="30">
        <f t="shared" si="82"/>
        <v>182.7</v>
      </c>
      <c r="H807" s="31">
        <f t="shared" si="83"/>
        <v>177.3</v>
      </c>
      <c r="I807" s="31">
        <f t="shared" si="84"/>
        <v>188.1</v>
      </c>
      <c r="J807" s="31">
        <f t="shared" si="85"/>
        <v>171.9</v>
      </c>
      <c r="K807" s="57">
        <f t="shared" si="91"/>
        <v>180</v>
      </c>
      <c r="M807" s="33">
        <f t="shared" si="81"/>
        <v>8.1</v>
      </c>
      <c r="N807" s="33">
        <v>7.38</v>
      </c>
    </row>
    <row r="808" spans="2:14" ht="16.5" customHeight="1">
      <c r="B808" s="30">
        <v>64926217</v>
      </c>
      <c r="C808" s="54" t="s">
        <v>980</v>
      </c>
      <c r="D808" s="115" t="s">
        <v>705</v>
      </c>
      <c r="E808" s="30">
        <v>100</v>
      </c>
      <c r="F808" s="30" t="s">
        <v>73</v>
      </c>
      <c r="G808" s="30">
        <f t="shared" si="82"/>
        <v>101.5</v>
      </c>
      <c r="H808" s="31">
        <f t="shared" si="83"/>
        <v>98.5</v>
      </c>
      <c r="I808" s="31">
        <f t="shared" si="84"/>
        <v>104.5</v>
      </c>
      <c r="J808" s="31">
        <f t="shared" si="85"/>
        <v>95.5</v>
      </c>
      <c r="K808" s="57">
        <f t="shared" si="91"/>
        <v>100</v>
      </c>
      <c r="M808" s="33">
        <f t="shared" si="81"/>
        <v>4.5</v>
      </c>
      <c r="N808" s="33">
        <v>5.6</v>
      </c>
    </row>
    <row r="809" spans="2:14" ht="16.5" customHeight="1">
      <c r="G809" s="30">
        <f t="shared" si="82"/>
        <v>0</v>
      </c>
      <c r="H809" s="31">
        <f t="shared" si="83"/>
        <v>0</v>
      </c>
      <c r="I809" s="31">
        <f t="shared" si="84"/>
        <v>0</v>
      </c>
      <c r="J809" s="31">
        <f t="shared" si="85"/>
        <v>0</v>
      </c>
      <c r="K809" s="57">
        <f t="shared" si="91"/>
        <v>0</v>
      </c>
      <c r="M809" s="33">
        <f t="shared" si="81"/>
        <v>0</v>
      </c>
      <c r="N809" s="33"/>
    </row>
    <row r="810" spans="2:14" ht="16.5" customHeight="1">
      <c r="G810" s="30">
        <f t="shared" si="82"/>
        <v>0</v>
      </c>
      <c r="H810" s="31">
        <f t="shared" si="83"/>
        <v>0</v>
      </c>
      <c r="I810" s="31">
        <f t="shared" si="84"/>
        <v>0</v>
      </c>
      <c r="J810" s="31">
        <f t="shared" si="85"/>
        <v>0</v>
      </c>
      <c r="K810" s="57">
        <f t="shared" si="91"/>
        <v>0</v>
      </c>
      <c r="M810" s="33">
        <f t="shared" si="81"/>
        <v>0</v>
      </c>
      <c r="N810" s="33"/>
    </row>
    <row r="811" spans="2:14" ht="16.5" customHeight="1">
      <c r="G811" s="30">
        <f t="shared" si="82"/>
        <v>0</v>
      </c>
      <c r="H811" s="31">
        <f t="shared" si="83"/>
        <v>0</v>
      </c>
      <c r="I811" s="31">
        <f t="shared" si="84"/>
        <v>0</v>
      </c>
      <c r="J811" s="31">
        <f t="shared" si="85"/>
        <v>0</v>
      </c>
      <c r="K811" s="57">
        <f t="shared" si="91"/>
        <v>0</v>
      </c>
      <c r="M811" s="33">
        <f t="shared" si="81"/>
        <v>0</v>
      </c>
      <c r="N811" s="33"/>
    </row>
    <row r="812" spans="2:14" ht="16.5" customHeight="1">
      <c r="G812" s="30">
        <f t="shared" si="82"/>
        <v>0</v>
      </c>
      <c r="H812" s="31">
        <f t="shared" si="83"/>
        <v>0</v>
      </c>
      <c r="I812" s="31">
        <f t="shared" si="84"/>
        <v>0</v>
      </c>
      <c r="J812" s="31">
        <f t="shared" si="85"/>
        <v>0</v>
      </c>
      <c r="K812" s="57">
        <f t="shared" si="91"/>
        <v>0</v>
      </c>
      <c r="M812" s="33">
        <f t="shared" si="81"/>
        <v>0</v>
      </c>
      <c r="N812" s="33"/>
    </row>
    <row r="813" spans="2:14" ht="16.5" customHeight="1">
      <c r="G813" s="30">
        <f t="shared" si="82"/>
        <v>0</v>
      </c>
      <c r="H813" s="31">
        <f t="shared" si="83"/>
        <v>0</v>
      </c>
      <c r="I813" s="31">
        <f t="shared" si="84"/>
        <v>0</v>
      </c>
      <c r="J813" s="31">
        <f t="shared" si="85"/>
        <v>0</v>
      </c>
      <c r="K813" s="57">
        <f t="shared" si="91"/>
        <v>0</v>
      </c>
      <c r="M813" s="33">
        <f t="shared" si="81"/>
        <v>0</v>
      </c>
      <c r="N813" s="33"/>
    </row>
    <row r="814" spans="2:14" ht="16.5" customHeight="1">
      <c r="G814" s="30">
        <f t="shared" si="82"/>
        <v>0</v>
      </c>
      <c r="H814" s="31">
        <f t="shared" si="83"/>
        <v>0</v>
      </c>
      <c r="I814" s="31">
        <f t="shared" si="84"/>
        <v>0</v>
      </c>
      <c r="J814" s="31">
        <f t="shared" si="85"/>
        <v>0</v>
      </c>
      <c r="K814" s="57">
        <f t="shared" si="91"/>
        <v>0</v>
      </c>
      <c r="M814" s="33">
        <f t="shared" si="81"/>
        <v>0</v>
      </c>
      <c r="N814" s="33"/>
    </row>
    <row r="815" spans="2:14" ht="16.5" customHeight="1">
      <c r="G815" s="30">
        <f t="shared" si="82"/>
        <v>0</v>
      </c>
      <c r="H815" s="31">
        <f t="shared" si="83"/>
        <v>0</v>
      </c>
      <c r="I815" s="31">
        <f t="shared" si="84"/>
        <v>0</v>
      </c>
      <c r="J815" s="31">
        <f t="shared" si="85"/>
        <v>0</v>
      </c>
      <c r="K815" s="57">
        <f t="shared" si="91"/>
        <v>0</v>
      </c>
      <c r="M815" s="33">
        <f t="shared" si="81"/>
        <v>0</v>
      </c>
      <c r="N815" s="33"/>
    </row>
    <row r="816" spans="2:14" ht="16.5" customHeight="1">
      <c r="G816" s="30">
        <f t="shared" si="82"/>
        <v>0</v>
      </c>
      <c r="H816" s="31">
        <f t="shared" si="83"/>
        <v>0</v>
      </c>
      <c r="I816" s="31">
        <f t="shared" si="84"/>
        <v>0</v>
      </c>
      <c r="J816" s="31">
        <f t="shared" si="85"/>
        <v>0</v>
      </c>
      <c r="K816" s="57">
        <f t="shared" si="91"/>
        <v>0</v>
      </c>
      <c r="M816" s="33">
        <f t="shared" si="81"/>
        <v>0</v>
      </c>
      <c r="N816" s="33"/>
    </row>
    <row r="817" spans="7:14" ht="16.5" customHeight="1">
      <c r="G817" s="30">
        <f t="shared" si="82"/>
        <v>0</v>
      </c>
      <c r="H817" s="31">
        <f t="shared" si="83"/>
        <v>0</v>
      </c>
      <c r="I817" s="31">
        <f t="shared" si="84"/>
        <v>0</v>
      </c>
      <c r="J817" s="31">
        <f t="shared" si="85"/>
        <v>0</v>
      </c>
      <c r="K817" s="57">
        <f t="shared" si="91"/>
        <v>0</v>
      </c>
      <c r="M817" s="33">
        <f t="shared" si="81"/>
        <v>0</v>
      </c>
      <c r="N817" s="33"/>
    </row>
    <row r="818" spans="7:14" ht="16.5" customHeight="1">
      <c r="G818" s="30">
        <f t="shared" si="82"/>
        <v>0</v>
      </c>
      <c r="H818" s="31">
        <f t="shared" si="83"/>
        <v>0</v>
      </c>
      <c r="I818" s="31">
        <f t="shared" si="84"/>
        <v>0</v>
      </c>
      <c r="J818" s="31">
        <f t="shared" si="85"/>
        <v>0</v>
      </c>
      <c r="K818" s="57">
        <f t="shared" si="91"/>
        <v>0</v>
      </c>
      <c r="M818" s="33">
        <f t="shared" si="81"/>
        <v>0</v>
      </c>
      <c r="N818" s="33"/>
    </row>
    <row r="819" spans="7:14" ht="16.5" customHeight="1">
      <c r="G819" s="30">
        <f t="shared" si="82"/>
        <v>0</v>
      </c>
      <c r="H819" s="31">
        <f t="shared" si="83"/>
        <v>0</v>
      </c>
      <c r="I819" s="31">
        <f t="shared" si="84"/>
        <v>0</v>
      </c>
      <c r="J819" s="31">
        <f t="shared" si="85"/>
        <v>0</v>
      </c>
      <c r="K819" s="57">
        <f t="shared" si="91"/>
        <v>0</v>
      </c>
      <c r="M819" s="33">
        <f t="shared" si="81"/>
        <v>0</v>
      </c>
      <c r="N819" s="33"/>
    </row>
    <row r="820" spans="7:14" ht="16.5" customHeight="1">
      <c r="G820" s="30">
        <f t="shared" si="82"/>
        <v>0</v>
      </c>
      <c r="H820" s="31">
        <f t="shared" si="83"/>
        <v>0</v>
      </c>
      <c r="I820" s="31">
        <f t="shared" si="84"/>
        <v>0</v>
      </c>
      <c r="J820" s="31">
        <f t="shared" si="85"/>
        <v>0</v>
      </c>
      <c r="K820" s="57">
        <f t="shared" si="91"/>
        <v>0</v>
      </c>
      <c r="M820" s="33">
        <f t="shared" si="81"/>
        <v>0</v>
      </c>
      <c r="N820" s="33"/>
    </row>
    <row r="821" spans="7:14" ht="16.5" customHeight="1">
      <c r="G821" s="30">
        <f t="shared" si="82"/>
        <v>0</v>
      </c>
      <c r="H821" s="31">
        <f t="shared" si="83"/>
        <v>0</v>
      </c>
      <c r="I821" s="31">
        <f t="shared" si="84"/>
        <v>0</v>
      </c>
      <c r="J821" s="31">
        <f t="shared" si="85"/>
        <v>0</v>
      </c>
      <c r="K821" s="57">
        <f t="shared" si="91"/>
        <v>0</v>
      </c>
      <c r="M821" s="33">
        <f t="shared" si="81"/>
        <v>0</v>
      </c>
      <c r="N821" s="33"/>
    </row>
    <row r="822" spans="7:14" ht="16.5" customHeight="1">
      <c r="G822" s="30">
        <f t="shared" si="82"/>
        <v>0</v>
      </c>
      <c r="H822" s="31">
        <f t="shared" si="83"/>
        <v>0</v>
      </c>
      <c r="I822" s="31">
        <f t="shared" si="84"/>
        <v>0</v>
      </c>
      <c r="J822" s="31">
        <f t="shared" si="85"/>
        <v>0</v>
      </c>
      <c r="K822" s="57">
        <f t="shared" si="91"/>
        <v>0</v>
      </c>
      <c r="M822" s="33">
        <f t="shared" si="81"/>
        <v>0</v>
      </c>
      <c r="N822" s="33"/>
    </row>
    <row r="823" spans="7:14" ht="16.5" customHeight="1">
      <c r="G823" s="30">
        <f t="shared" si="82"/>
        <v>0</v>
      </c>
      <c r="H823" s="31">
        <f t="shared" si="83"/>
        <v>0</v>
      </c>
      <c r="I823" s="31">
        <f t="shared" si="84"/>
        <v>0</v>
      </c>
      <c r="J823" s="31">
        <f t="shared" si="85"/>
        <v>0</v>
      </c>
      <c r="K823" s="57">
        <f t="shared" si="91"/>
        <v>0</v>
      </c>
      <c r="M823" s="33">
        <f t="shared" si="81"/>
        <v>0</v>
      </c>
      <c r="N823" s="33"/>
    </row>
    <row r="824" spans="7:14" ht="16.5" customHeight="1">
      <c r="G824" s="30">
        <f t="shared" si="82"/>
        <v>0</v>
      </c>
      <c r="H824" s="31">
        <f t="shared" si="83"/>
        <v>0</v>
      </c>
      <c r="I824" s="31">
        <f t="shared" si="84"/>
        <v>0</v>
      </c>
      <c r="J824" s="31">
        <f t="shared" si="85"/>
        <v>0</v>
      </c>
      <c r="K824" s="57">
        <f t="shared" si="91"/>
        <v>0</v>
      </c>
      <c r="M824" s="33">
        <f t="shared" si="81"/>
        <v>0</v>
      </c>
      <c r="N824" s="33"/>
    </row>
    <row r="825" spans="7:14" ht="16.5" customHeight="1">
      <c r="G825" s="30">
        <f t="shared" si="82"/>
        <v>0</v>
      </c>
      <c r="H825" s="31">
        <f t="shared" si="83"/>
        <v>0</v>
      </c>
      <c r="I825" s="31">
        <f t="shared" si="84"/>
        <v>0</v>
      </c>
      <c r="J825" s="31">
        <f t="shared" si="85"/>
        <v>0</v>
      </c>
      <c r="K825" s="57">
        <f t="shared" si="91"/>
        <v>0</v>
      </c>
      <c r="M825" s="33">
        <f t="shared" si="81"/>
        <v>0</v>
      </c>
      <c r="N825" s="33"/>
    </row>
    <row r="826" spans="7:14" ht="16.5" customHeight="1">
      <c r="G826" s="30">
        <f t="shared" si="82"/>
        <v>0</v>
      </c>
      <c r="H826" s="31">
        <f t="shared" si="83"/>
        <v>0</v>
      </c>
      <c r="I826" s="31">
        <f t="shared" si="84"/>
        <v>0</v>
      </c>
      <c r="J826" s="31">
        <f t="shared" si="85"/>
        <v>0</v>
      </c>
      <c r="K826" s="57">
        <f t="shared" si="91"/>
        <v>0</v>
      </c>
      <c r="M826" s="33">
        <f t="shared" si="81"/>
        <v>0</v>
      </c>
      <c r="N826" s="33"/>
    </row>
    <row r="827" spans="7:14" ht="16.5" customHeight="1">
      <c r="G827" s="30">
        <f t="shared" si="82"/>
        <v>0</v>
      </c>
      <c r="H827" s="31">
        <f t="shared" si="83"/>
        <v>0</v>
      </c>
      <c r="I827" s="31">
        <f t="shared" si="84"/>
        <v>0</v>
      </c>
      <c r="J827" s="31">
        <f t="shared" si="85"/>
        <v>0</v>
      </c>
      <c r="K827" s="57">
        <f t="shared" si="91"/>
        <v>0</v>
      </c>
      <c r="M827" s="33">
        <f t="shared" si="81"/>
        <v>0</v>
      </c>
      <c r="N827" s="33"/>
    </row>
    <row r="828" spans="7:14" ht="16.5" customHeight="1">
      <c r="G828" s="30">
        <f t="shared" si="82"/>
        <v>0</v>
      </c>
      <c r="H828" s="31">
        <f t="shared" si="83"/>
        <v>0</v>
      </c>
      <c r="I828" s="31">
        <f t="shared" si="84"/>
        <v>0</v>
      </c>
      <c r="J828" s="31">
        <f t="shared" si="85"/>
        <v>0</v>
      </c>
      <c r="K828" s="57">
        <f t="shared" si="91"/>
        <v>0</v>
      </c>
      <c r="M828" s="33">
        <f t="shared" si="81"/>
        <v>0</v>
      </c>
      <c r="N828" s="33"/>
    </row>
    <row r="829" spans="7:14" ht="16.5" customHeight="1">
      <c r="G829" s="30">
        <f t="shared" si="82"/>
        <v>0</v>
      </c>
      <c r="H829" s="31">
        <f t="shared" si="83"/>
        <v>0</v>
      </c>
      <c r="I829" s="31">
        <f t="shared" si="84"/>
        <v>0</v>
      </c>
      <c r="J829" s="31">
        <f t="shared" si="85"/>
        <v>0</v>
      </c>
      <c r="K829" s="57">
        <f t="shared" si="91"/>
        <v>0</v>
      </c>
      <c r="M829" s="33">
        <f t="shared" si="81"/>
        <v>0</v>
      </c>
      <c r="N829" s="33"/>
    </row>
    <row r="830" spans="7:14" ht="16.5" customHeight="1">
      <c r="G830" s="30">
        <f t="shared" si="82"/>
        <v>0</v>
      </c>
      <c r="H830" s="31">
        <f t="shared" si="83"/>
        <v>0</v>
      </c>
      <c r="I830" s="31">
        <f t="shared" si="84"/>
        <v>0</v>
      </c>
      <c r="J830" s="31">
        <f t="shared" si="85"/>
        <v>0</v>
      </c>
      <c r="K830" s="57">
        <f t="shared" si="91"/>
        <v>0</v>
      </c>
      <c r="M830" s="33">
        <f t="shared" ref="M830:M893" si="92">IF(P830="TL tuyệt đối",0, IF(K830&lt;5,0,IF(K830&lt;50,K830*9%,IF(K830&lt;100,4.5,IF(K830&lt;200,4.5%*K830,IF(K830&lt;300,9,IF(K830&lt;500,K830*3%,IF(K830&lt;1000,15,))))))))</f>
        <v>0</v>
      </c>
      <c r="N830" s="33"/>
    </row>
    <row r="831" spans="7:14" ht="16.5" customHeight="1">
      <c r="G831" s="30">
        <f t="shared" si="82"/>
        <v>0</v>
      </c>
      <c r="H831" s="31">
        <f t="shared" si="83"/>
        <v>0</v>
      </c>
      <c r="I831" s="31">
        <f t="shared" si="84"/>
        <v>0</v>
      </c>
      <c r="J831" s="31">
        <f t="shared" si="85"/>
        <v>0</v>
      </c>
      <c r="K831" s="57">
        <f t="shared" si="91"/>
        <v>0</v>
      </c>
      <c r="M831" s="33">
        <f t="shared" si="92"/>
        <v>0</v>
      </c>
      <c r="N831" s="33"/>
    </row>
    <row r="832" spans="7:14" ht="16.5" customHeight="1">
      <c r="G832" s="30">
        <f t="shared" ref="G832:G895" si="93">IF(P832="TL tuyệt đối",K832*103%,K832+1/3*M832)</f>
        <v>0</v>
      </c>
      <c r="H832" s="31">
        <f t="shared" ref="H832:H895" si="94">IF(P832="TL tuyệt đối",K832*101%,K832-1/3*M832)</f>
        <v>0</v>
      </c>
      <c r="I832" s="31">
        <f t="shared" ref="I832:I895" si="95">IF(P832="TL tuyệt đối", K832*105%,K832+M832)</f>
        <v>0</v>
      </c>
      <c r="J832" s="31">
        <f t="shared" si="85"/>
        <v>0</v>
      </c>
      <c r="K832" s="57">
        <f t="shared" si="91"/>
        <v>0</v>
      </c>
      <c r="M832" s="33">
        <f t="shared" si="92"/>
        <v>0</v>
      </c>
      <c r="N832" s="33"/>
    </row>
    <row r="833" spans="7:14" ht="16.5" customHeight="1">
      <c r="G833" s="30">
        <f t="shared" si="93"/>
        <v>0</v>
      </c>
      <c r="H833" s="31">
        <f t="shared" si="94"/>
        <v>0</v>
      </c>
      <c r="I833" s="31">
        <f t="shared" si="95"/>
        <v>0</v>
      </c>
      <c r="J833" s="31">
        <f t="shared" si="85"/>
        <v>0</v>
      </c>
      <c r="K833" s="57">
        <f t="shared" si="91"/>
        <v>0</v>
      </c>
      <c r="M833" s="33">
        <f t="shared" si="92"/>
        <v>0</v>
      </c>
      <c r="N833" s="33"/>
    </row>
    <row r="834" spans="7:14" ht="16.5" customHeight="1">
      <c r="G834" s="30">
        <f t="shared" si="93"/>
        <v>0</v>
      </c>
      <c r="H834" s="31">
        <f t="shared" si="94"/>
        <v>0</v>
      </c>
      <c r="I834" s="31">
        <f t="shared" si="95"/>
        <v>0</v>
      </c>
      <c r="J834" s="31">
        <f t="shared" si="85"/>
        <v>0</v>
      </c>
      <c r="K834" s="57">
        <f t="shared" si="91"/>
        <v>0</v>
      </c>
      <c r="M834" s="33">
        <f t="shared" si="92"/>
        <v>0</v>
      </c>
      <c r="N834" s="33"/>
    </row>
    <row r="835" spans="7:14" ht="16.5" customHeight="1">
      <c r="G835" s="30">
        <f t="shared" si="93"/>
        <v>0</v>
      </c>
      <c r="H835" s="31">
        <f t="shared" si="94"/>
        <v>0</v>
      </c>
      <c r="I835" s="31">
        <f t="shared" si="95"/>
        <v>0</v>
      </c>
      <c r="J835" s="31">
        <f t="shared" si="85"/>
        <v>0</v>
      </c>
      <c r="K835" s="57">
        <f t="shared" si="91"/>
        <v>0</v>
      </c>
      <c r="M835" s="33">
        <f t="shared" si="92"/>
        <v>0</v>
      </c>
      <c r="N835" s="33"/>
    </row>
    <row r="836" spans="7:14" ht="16.5" customHeight="1">
      <c r="G836" s="30">
        <f t="shared" si="93"/>
        <v>0</v>
      </c>
      <c r="H836" s="31">
        <f t="shared" si="94"/>
        <v>0</v>
      </c>
      <c r="I836" s="31">
        <f t="shared" si="95"/>
        <v>0</v>
      </c>
      <c r="J836" s="31">
        <f t="shared" ref="J836:J899" si="96">K836-M836</f>
        <v>0</v>
      </c>
      <c r="K836" s="57">
        <f t="shared" si="91"/>
        <v>0</v>
      </c>
      <c r="M836" s="33">
        <f t="shared" si="92"/>
        <v>0</v>
      </c>
      <c r="N836" s="33"/>
    </row>
    <row r="837" spans="7:14" ht="16.5" customHeight="1">
      <c r="G837" s="30">
        <f t="shared" si="93"/>
        <v>0</v>
      </c>
      <c r="H837" s="31">
        <f t="shared" si="94"/>
        <v>0</v>
      </c>
      <c r="I837" s="31">
        <f t="shared" si="95"/>
        <v>0</v>
      </c>
      <c r="J837" s="31">
        <f t="shared" si="96"/>
        <v>0</v>
      </c>
      <c r="K837" s="57">
        <f t="shared" si="91"/>
        <v>0</v>
      </c>
      <c r="M837" s="33">
        <f t="shared" si="92"/>
        <v>0</v>
      </c>
      <c r="N837" s="33"/>
    </row>
    <row r="838" spans="7:14" ht="16.5" customHeight="1">
      <c r="G838" s="30">
        <f t="shared" si="93"/>
        <v>0</v>
      </c>
      <c r="H838" s="31">
        <f t="shared" si="94"/>
        <v>0</v>
      </c>
      <c r="I838" s="31">
        <f t="shared" si="95"/>
        <v>0</v>
      </c>
      <c r="J838" s="31">
        <f t="shared" si="96"/>
        <v>0</v>
      </c>
      <c r="K838" s="57">
        <f t="shared" si="91"/>
        <v>0</v>
      </c>
      <c r="M838" s="33">
        <f t="shared" si="92"/>
        <v>0</v>
      </c>
      <c r="N838" s="33"/>
    </row>
    <row r="839" spans="7:14" ht="16.5" customHeight="1">
      <c r="G839" s="30">
        <f t="shared" si="93"/>
        <v>0</v>
      </c>
      <c r="H839" s="31">
        <f t="shared" si="94"/>
        <v>0</v>
      </c>
      <c r="I839" s="31">
        <f t="shared" si="95"/>
        <v>0</v>
      </c>
      <c r="J839" s="31">
        <f t="shared" si="96"/>
        <v>0</v>
      </c>
      <c r="K839" s="57">
        <f t="shared" si="91"/>
        <v>0</v>
      </c>
      <c r="M839" s="33">
        <f t="shared" si="92"/>
        <v>0</v>
      </c>
      <c r="N839" s="33"/>
    </row>
    <row r="840" spans="7:14" ht="16.5" customHeight="1">
      <c r="G840" s="30">
        <f t="shared" si="93"/>
        <v>0</v>
      </c>
      <c r="H840" s="31">
        <f t="shared" si="94"/>
        <v>0</v>
      </c>
      <c r="I840" s="31">
        <f t="shared" si="95"/>
        <v>0</v>
      </c>
      <c r="J840" s="31">
        <f t="shared" si="96"/>
        <v>0</v>
      </c>
      <c r="K840" s="57">
        <f t="shared" si="91"/>
        <v>0</v>
      </c>
      <c r="M840" s="33">
        <f t="shared" si="92"/>
        <v>0</v>
      </c>
      <c r="N840" s="33"/>
    </row>
    <row r="841" spans="7:14" ht="16.5" customHeight="1">
      <c r="G841" s="30">
        <f t="shared" si="93"/>
        <v>0</v>
      </c>
      <c r="H841" s="31">
        <f t="shared" si="94"/>
        <v>0</v>
      </c>
      <c r="I841" s="31">
        <f t="shared" si="95"/>
        <v>0</v>
      </c>
      <c r="J841" s="31">
        <f t="shared" si="96"/>
        <v>0</v>
      </c>
      <c r="K841" s="57">
        <f t="shared" si="91"/>
        <v>0</v>
      </c>
      <c r="M841" s="33">
        <f t="shared" si="92"/>
        <v>0</v>
      </c>
      <c r="N841" s="33"/>
    </row>
    <row r="842" spans="7:14" ht="16.5" customHeight="1">
      <c r="G842" s="30">
        <f t="shared" si="93"/>
        <v>0</v>
      </c>
      <c r="H842" s="31">
        <f t="shared" si="94"/>
        <v>0</v>
      </c>
      <c r="I842" s="31">
        <f t="shared" si="95"/>
        <v>0</v>
      </c>
      <c r="J842" s="31">
        <f t="shared" si="96"/>
        <v>0</v>
      </c>
      <c r="K842" s="57">
        <f t="shared" si="91"/>
        <v>0</v>
      </c>
      <c r="M842" s="33">
        <f t="shared" si="92"/>
        <v>0</v>
      </c>
      <c r="N842" s="33"/>
    </row>
    <row r="843" spans="7:14" ht="16.5" customHeight="1">
      <c r="G843" s="30">
        <f t="shared" si="93"/>
        <v>0</v>
      </c>
      <c r="H843" s="31">
        <f t="shared" si="94"/>
        <v>0</v>
      </c>
      <c r="I843" s="31">
        <f t="shared" si="95"/>
        <v>0</v>
      </c>
      <c r="J843" s="31">
        <f t="shared" si="96"/>
        <v>0</v>
      </c>
      <c r="K843" s="57">
        <f t="shared" si="91"/>
        <v>0</v>
      </c>
      <c r="M843" s="33">
        <f t="shared" si="92"/>
        <v>0</v>
      </c>
      <c r="N843" s="33"/>
    </row>
    <row r="844" spans="7:14" ht="16.5" customHeight="1">
      <c r="G844" s="30">
        <f t="shared" si="93"/>
        <v>0</v>
      </c>
      <c r="H844" s="31">
        <f t="shared" si="94"/>
        <v>0</v>
      </c>
      <c r="I844" s="31">
        <f t="shared" si="95"/>
        <v>0</v>
      </c>
      <c r="J844" s="31">
        <f t="shared" si="96"/>
        <v>0</v>
      </c>
      <c r="K844" s="57">
        <f t="shared" si="91"/>
        <v>0</v>
      </c>
      <c r="M844" s="33">
        <f t="shared" si="92"/>
        <v>0</v>
      </c>
      <c r="N844" s="33"/>
    </row>
    <row r="845" spans="7:14" ht="16.5" customHeight="1">
      <c r="G845" s="30">
        <f t="shared" si="93"/>
        <v>0</v>
      </c>
      <c r="H845" s="31">
        <f t="shared" si="94"/>
        <v>0</v>
      </c>
      <c r="I845" s="31">
        <f t="shared" si="95"/>
        <v>0</v>
      </c>
      <c r="J845" s="31">
        <f t="shared" si="96"/>
        <v>0</v>
      </c>
      <c r="K845" s="57">
        <f t="shared" si="91"/>
        <v>0</v>
      </c>
      <c r="M845" s="33">
        <f t="shared" si="92"/>
        <v>0</v>
      </c>
      <c r="N845" s="33"/>
    </row>
    <row r="846" spans="7:14" ht="16.5" customHeight="1">
      <c r="G846" s="30">
        <f t="shared" si="93"/>
        <v>0</v>
      </c>
      <c r="H846" s="31">
        <f t="shared" si="94"/>
        <v>0</v>
      </c>
      <c r="I846" s="31">
        <f t="shared" si="95"/>
        <v>0</v>
      </c>
      <c r="J846" s="31">
        <f t="shared" si="96"/>
        <v>0</v>
      </c>
      <c r="K846" s="57">
        <f t="shared" si="91"/>
        <v>0</v>
      </c>
      <c r="M846" s="33">
        <f t="shared" si="92"/>
        <v>0</v>
      </c>
      <c r="N846" s="33"/>
    </row>
    <row r="847" spans="7:14" ht="16.5" customHeight="1">
      <c r="G847" s="30">
        <f t="shared" si="93"/>
        <v>0</v>
      </c>
      <c r="H847" s="31">
        <f t="shared" si="94"/>
        <v>0</v>
      </c>
      <c r="I847" s="31">
        <f t="shared" si="95"/>
        <v>0</v>
      </c>
      <c r="J847" s="31">
        <f t="shared" si="96"/>
        <v>0</v>
      </c>
      <c r="K847" s="57">
        <f t="shared" si="91"/>
        <v>0</v>
      </c>
      <c r="M847" s="33">
        <f t="shared" si="92"/>
        <v>0</v>
      </c>
      <c r="N847" s="33"/>
    </row>
    <row r="848" spans="7:14" ht="16.5" customHeight="1">
      <c r="G848" s="30">
        <f t="shared" si="93"/>
        <v>0</v>
      </c>
      <c r="H848" s="31">
        <f t="shared" si="94"/>
        <v>0</v>
      </c>
      <c r="I848" s="31">
        <f t="shared" si="95"/>
        <v>0</v>
      </c>
      <c r="J848" s="31">
        <f t="shared" si="96"/>
        <v>0</v>
      </c>
      <c r="K848" s="57">
        <f t="shared" si="91"/>
        <v>0</v>
      </c>
      <c r="M848" s="33">
        <f t="shared" si="92"/>
        <v>0</v>
      </c>
      <c r="N848" s="33"/>
    </row>
    <row r="849" spans="7:14" ht="16.5" customHeight="1">
      <c r="G849" s="30">
        <f t="shared" si="93"/>
        <v>0</v>
      </c>
      <c r="H849" s="31">
        <f t="shared" si="94"/>
        <v>0</v>
      </c>
      <c r="I849" s="31">
        <f t="shared" si="95"/>
        <v>0</v>
      </c>
      <c r="J849" s="31">
        <f t="shared" si="96"/>
        <v>0</v>
      </c>
      <c r="K849" s="57">
        <f t="shared" si="91"/>
        <v>0</v>
      </c>
      <c r="M849" s="33">
        <f t="shared" si="92"/>
        <v>0</v>
      </c>
      <c r="N849" s="33"/>
    </row>
    <row r="850" spans="7:14" ht="16.5" customHeight="1">
      <c r="G850" s="30">
        <f t="shared" si="93"/>
        <v>0</v>
      </c>
      <c r="H850" s="31">
        <f t="shared" si="94"/>
        <v>0</v>
      </c>
      <c r="I850" s="31">
        <f t="shared" si="95"/>
        <v>0</v>
      </c>
      <c r="J850" s="31">
        <f t="shared" si="96"/>
        <v>0</v>
      </c>
      <c r="K850" s="57">
        <f t="shared" si="91"/>
        <v>0</v>
      </c>
      <c r="M850" s="33">
        <f t="shared" si="92"/>
        <v>0</v>
      </c>
      <c r="N850" s="33"/>
    </row>
    <row r="851" spans="7:14" ht="16.5" customHeight="1">
      <c r="G851" s="30">
        <f t="shared" si="93"/>
        <v>0</v>
      </c>
      <c r="H851" s="31">
        <f t="shared" si="94"/>
        <v>0</v>
      </c>
      <c r="I851" s="31">
        <f t="shared" si="95"/>
        <v>0</v>
      </c>
      <c r="J851" s="31">
        <f t="shared" si="96"/>
        <v>0</v>
      </c>
      <c r="K851" s="57">
        <f t="shared" si="91"/>
        <v>0</v>
      </c>
      <c r="M851" s="33">
        <f t="shared" si="92"/>
        <v>0</v>
      </c>
      <c r="N851" s="33"/>
    </row>
    <row r="852" spans="7:14" ht="16.5" customHeight="1">
      <c r="G852" s="30">
        <f t="shared" si="93"/>
        <v>0</v>
      </c>
      <c r="H852" s="31">
        <f t="shared" si="94"/>
        <v>0</v>
      </c>
      <c r="I852" s="31">
        <f t="shared" si="95"/>
        <v>0</v>
      </c>
      <c r="J852" s="31">
        <f t="shared" si="96"/>
        <v>0</v>
      </c>
      <c r="K852" s="57">
        <f t="shared" si="91"/>
        <v>0</v>
      </c>
      <c r="M852" s="33">
        <f t="shared" si="92"/>
        <v>0</v>
      </c>
      <c r="N852" s="33"/>
    </row>
    <row r="853" spans="7:14" ht="16.5" customHeight="1">
      <c r="G853" s="30">
        <f t="shared" si="93"/>
        <v>0</v>
      </c>
      <c r="H853" s="31">
        <f t="shared" si="94"/>
        <v>0</v>
      </c>
      <c r="I853" s="31">
        <f t="shared" si="95"/>
        <v>0</v>
      </c>
      <c r="J853" s="31">
        <f t="shared" si="96"/>
        <v>0</v>
      </c>
      <c r="K853" s="57">
        <f t="shared" si="91"/>
        <v>0</v>
      </c>
      <c r="M853" s="33">
        <f t="shared" si="92"/>
        <v>0</v>
      </c>
      <c r="N853" s="33"/>
    </row>
    <row r="854" spans="7:14" ht="16.5" customHeight="1">
      <c r="G854" s="30">
        <f t="shared" si="93"/>
        <v>0</v>
      </c>
      <c r="H854" s="31">
        <f t="shared" si="94"/>
        <v>0</v>
      </c>
      <c r="I854" s="31">
        <f t="shared" si="95"/>
        <v>0</v>
      </c>
      <c r="J854" s="31">
        <f t="shared" si="96"/>
        <v>0</v>
      </c>
      <c r="K854" s="57">
        <f t="shared" si="91"/>
        <v>0</v>
      </c>
      <c r="M854" s="33">
        <f t="shared" si="92"/>
        <v>0</v>
      </c>
      <c r="N854" s="33"/>
    </row>
    <row r="855" spans="7:14" ht="16.5" customHeight="1">
      <c r="G855" s="30">
        <f t="shared" si="93"/>
        <v>0</v>
      </c>
      <c r="H855" s="31">
        <f t="shared" si="94"/>
        <v>0</v>
      </c>
      <c r="I855" s="31">
        <f t="shared" si="95"/>
        <v>0</v>
      </c>
      <c r="J855" s="31">
        <f t="shared" si="96"/>
        <v>0</v>
      </c>
      <c r="K855" s="57">
        <f t="shared" si="91"/>
        <v>0</v>
      </c>
      <c r="M855" s="33">
        <f t="shared" si="92"/>
        <v>0</v>
      </c>
      <c r="N855" s="33"/>
    </row>
    <row r="856" spans="7:14" ht="16.5" customHeight="1">
      <c r="G856" s="30">
        <f t="shared" si="93"/>
        <v>0</v>
      </c>
      <c r="H856" s="31">
        <f t="shared" si="94"/>
        <v>0</v>
      </c>
      <c r="I856" s="31">
        <f t="shared" si="95"/>
        <v>0</v>
      </c>
      <c r="J856" s="31">
        <f t="shared" si="96"/>
        <v>0</v>
      </c>
      <c r="K856" s="57">
        <f t="shared" si="91"/>
        <v>0</v>
      </c>
      <c r="M856" s="33">
        <f t="shared" si="92"/>
        <v>0</v>
      </c>
      <c r="N856" s="33"/>
    </row>
    <row r="857" spans="7:14" ht="16.5" customHeight="1">
      <c r="G857" s="30">
        <f t="shared" si="93"/>
        <v>0</v>
      </c>
      <c r="H857" s="31">
        <f t="shared" si="94"/>
        <v>0</v>
      </c>
      <c r="I857" s="31">
        <f t="shared" si="95"/>
        <v>0</v>
      </c>
      <c r="J857" s="31">
        <f t="shared" si="96"/>
        <v>0</v>
      </c>
      <c r="M857" s="33">
        <f t="shared" si="92"/>
        <v>0</v>
      </c>
      <c r="N857" s="33"/>
    </row>
    <row r="858" spans="7:14" ht="16.5" customHeight="1">
      <c r="G858" s="30">
        <f t="shared" si="93"/>
        <v>0</v>
      </c>
      <c r="H858" s="31">
        <f t="shared" si="94"/>
        <v>0</v>
      </c>
      <c r="I858" s="31">
        <f t="shared" si="95"/>
        <v>0</v>
      </c>
      <c r="J858" s="31">
        <f t="shared" si="96"/>
        <v>0</v>
      </c>
      <c r="M858" s="33">
        <f t="shared" si="92"/>
        <v>0</v>
      </c>
      <c r="N858" s="33"/>
    </row>
    <row r="859" spans="7:14" ht="16.5" customHeight="1">
      <c r="G859" s="30">
        <f t="shared" si="93"/>
        <v>0</v>
      </c>
      <c r="H859" s="31">
        <f t="shared" si="94"/>
        <v>0</v>
      </c>
      <c r="I859" s="31">
        <f t="shared" si="95"/>
        <v>0</v>
      </c>
      <c r="J859" s="31">
        <f t="shared" si="96"/>
        <v>0</v>
      </c>
      <c r="M859" s="33">
        <f t="shared" si="92"/>
        <v>0</v>
      </c>
      <c r="N859" s="33"/>
    </row>
    <row r="860" spans="7:14" ht="16.5" customHeight="1">
      <c r="G860" s="30">
        <f t="shared" si="93"/>
        <v>0</v>
      </c>
      <c r="H860" s="31">
        <f t="shared" si="94"/>
        <v>0</v>
      </c>
      <c r="I860" s="31">
        <f t="shared" si="95"/>
        <v>0</v>
      </c>
      <c r="J860" s="31">
        <f t="shared" si="96"/>
        <v>0</v>
      </c>
      <c r="M860" s="33">
        <f t="shared" si="92"/>
        <v>0</v>
      </c>
      <c r="N860" s="33"/>
    </row>
    <row r="861" spans="7:14" ht="16.5" customHeight="1">
      <c r="G861" s="30">
        <f t="shared" si="93"/>
        <v>0</v>
      </c>
      <c r="H861" s="31">
        <f t="shared" si="94"/>
        <v>0</v>
      </c>
      <c r="I861" s="31">
        <f t="shared" si="95"/>
        <v>0</v>
      </c>
      <c r="J861" s="31">
        <f t="shared" si="96"/>
        <v>0</v>
      </c>
      <c r="M861" s="33">
        <f t="shared" si="92"/>
        <v>0</v>
      </c>
      <c r="N861" s="33"/>
    </row>
    <row r="862" spans="7:14" ht="16.5" customHeight="1">
      <c r="G862" s="30">
        <f t="shared" si="93"/>
        <v>0</v>
      </c>
      <c r="H862" s="31">
        <f t="shared" si="94"/>
        <v>0</v>
      </c>
      <c r="I862" s="31">
        <f t="shared" si="95"/>
        <v>0</v>
      </c>
      <c r="J862" s="31">
        <f t="shared" si="96"/>
        <v>0</v>
      </c>
      <c r="M862" s="33">
        <f t="shared" si="92"/>
        <v>0</v>
      </c>
      <c r="N862" s="33"/>
    </row>
    <row r="863" spans="7:14" ht="16.5" customHeight="1">
      <c r="G863" s="30">
        <f t="shared" si="93"/>
        <v>0</v>
      </c>
      <c r="H863" s="31">
        <f t="shared" si="94"/>
        <v>0</v>
      </c>
      <c r="I863" s="31">
        <f t="shared" si="95"/>
        <v>0</v>
      </c>
      <c r="J863" s="31">
        <f t="shared" si="96"/>
        <v>0</v>
      </c>
      <c r="M863" s="33">
        <f t="shared" si="92"/>
        <v>0</v>
      </c>
      <c r="N863" s="33"/>
    </row>
    <row r="864" spans="7:14" ht="16.5" customHeight="1">
      <c r="G864" s="30">
        <f t="shared" si="93"/>
        <v>0</v>
      </c>
      <c r="H864" s="31">
        <f t="shared" si="94"/>
        <v>0</v>
      </c>
      <c r="I864" s="31">
        <f t="shared" si="95"/>
        <v>0</v>
      </c>
      <c r="J864" s="31">
        <f t="shared" si="96"/>
        <v>0</v>
      </c>
      <c r="M864" s="33">
        <f t="shared" si="92"/>
        <v>0</v>
      </c>
      <c r="N864" s="33"/>
    </row>
    <row r="865" spans="7:14" ht="16.5" customHeight="1">
      <c r="G865" s="30">
        <f t="shared" si="93"/>
        <v>0</v>
      </c>
      <c r="H865" s="31">
        <f t="shared" si="94"/>
        <v>0</v>
      </c>
      <c r="I865" s="31">
        <f t="shared" si="95"/>
        <v>0</v>
      </c>
      <c r="J865" s="31">
        <f t="shared" si="96"/>
        <v>0</v>
      </c>
      <c r="M865" s="33">
        <f t="shared" si="92"/>
        <v>0</v>
      </c>
      <c r="N865" s="33"/>
    </row>
    <row r="866" spans="7:14" ht="16.5" customHeight="1">
      <c r="G866" s="30">
        <f t="shared" si="93"/>
        <v>0</v>
      </c>
      <c r="H866" s="31">
        <f t="shared" si="94"/>
        <v>0</v>
      </c>
      <c r="I866" s="31">
        <f t="shared" si="95"/>
        <v>0</v>
      </c>
      <c r="J866" s="31">
        <f t="shared" si="96"/>
        <v>0</v>
      </c>
      <c r="M866" s="33">
        <f t="shared" si="92"/>
        <v>0</v>
      </c>
      <c r="N866" s="33"/>
    </row>
    <row r="867" spans="7:14" ht="16.5" customHeight="1">
      <c r="G867" s="30">
        <f t="shared" si="93"/>
        <v>0</v>
      </c>
      <c r="H867" s="31">
        <f t="shared" si="94"/>
        <v>0</v>
      </c>
      <c r="I867" s="31">
        <f t="shared" si="95"/>
        <v>0</v>
      </c>
      <c r="J867" s="31">
        <f t="shared" si="96"/>
        <v>0</v>
      </c>
      <c r="M867" s="33">
        <f t="shared" si="92"/>
        <v>0</v>
      </c>
      <c r="N867" s="33"/>
    </row>
    <row r="868" spans="7:14" ht="16.5" customHeight="1">
      <c r="G868" s="30">
        <f t="shared" si="93"/>
        <v>0</v>
      </c>
      <c r="H868" s="31">
        <f t="shared" si="94"/>
        <v>0</v>
      </c>
      <c r="I868" s="31">
        <f t="shared" si="95"/>
        <v>0</v>
      </c>
      <c r="J868" s="31">
        <f t="shared" si="96"/>
        <v>0</v>
      </c>
      <c r="M868" s="33">
        <f t="shared" si="92"/>
        <v>0</v>
      </c>
      <c r="N868" s="33"/>
    </row>
    <row r="869" spans="7:14" ht="16.5" customHeight="1">
      <c r="G869" s="30">
        <f t="shared" si="93"/>
        <v>0</v>
      </c>
      <c r="H869" s="31">
        <f t="shared" si="94"/>
        <v>0</v>
      </c>
      <c r="I869" s="31">
        <f t="shared" si="95"/>
        <v>0</v>
      </c>
      <c r="J869" s="31">
        <f t="shared" si="96"/>
        <v>0</v>
      </c>
      <c r="M869" s="33">
        <f t="shared" si="92"/>
        <v>0</v>
      </c>
      <c r="N869" s="33"/>
    </row>
    <row r="870" spans="7:14" ht="16.5" customHeight="1">
      <c r="G870" s="30">
        <f t="shared" si="93"/>
        <v>0</v>
      </c>
      <c r="H870" s="31">
        <f t="shared" si="94"/>
        <v>0</v>
      </c>
      <c r="I870" s="31">
        <f t="shared" si="95"/>
        <v>0</v>
      </c>
      <c r="J870" s="31">
        <f t="shared" si="96"/>
        <v>0</v>
      </c>
      <c r="M870" s="33">
        <f t="shared" si="92"/>
        <v>0</v>
      </c>
      <c r="N870" s="33"/>
    </row>
    <row r="871" spans="7:14" ht="16.5" customHeight="1">
      <c r="G871" s="30">
        <f t="shared" si="93"/>
        <v>0</v>
      </c>
      <c r="H871" s="31">
        <f t="shared" si="94"/>
        <v>0</v>
      </c>
      <c r="I871" s="31">
        <f t="shared" si="95"/>
        <v>0</v>
      </c>
      <c r="J871" s="31">
        <f t="shared" si="96"/>
        <v>0</v>
      </c>
      <c r="M871" s="33">
        <f t="shared" si="92"/>
        <v>0</v>
      </c>
      <c r="N871" s="33"/>
    </row>
    <row r="872" spans="7:14" ht="16.5" customHeight="1">
      <c r="G872" s="30">
        <f t="shared" si="93"/>
        <v>0</v>
      </c>
      <c r="H872" s="31">
        <f t="shared" si="94"/>
        <v>0</v>
      </c>
      <c r="I872" s="31">
        <f t="shared" si="95"/>
        <v>0</v>
      </c>
      <c r="J872" s="31">
        <f t="shared" si="96"/>
        <v>0</v>
      </c>
      <c r="M872" s="33">
        <f t="shared" si="92"/>
        <v>0</v>
      </c>
      <c r="N872" s="33"/>
    </row>
    <row r="873" spans="7:14" ht="16.5" customHeight="1">
      <c r="G873" s="30">
        <f t="shared" si="93"/>
        <v>0</v>
      </c>
      <c r="H873" s="31">
        <f t="shared" si="94"/>
        <v>0</v>
      </c>
      <c r="I873" s="31">
        <f t="shared" si="95"/>
        <v>0</v>
      </c>
      <c r="J873" s="31">
        <f t="shared" si="96"/>
        <v>0</v>
      </c>
      <c r="M873" s="33">
        <f t="shared" si="92"/>
        <v>0</v>
      </c>
      <c r="N873" s="33"/>
    </row>
    <row r="874" spans="7:14" ht="16.5" customHeight="1">
      <c r="G874" s="30">
        <f t="shared" si="93"/>
        <v>0</v>
      </c>
      <c r="H874" s="31">
        <f t="shared" si="94"/>
        <v>0</v>
      </c>
      <c r="I874" s="31">
        <f t="shared" si="95"/>
        <v>0</v>
      </c>
      <c r="J874" s="31">
        <f t="shared" si="96"/>
        <v>0</v>
      </c>
      <c r="M874" s="33">
        <f t="shared" si="92"/>
        <v>0</v>
      </c>
      <c r="N874" s="33"/>
    </row>
    <row r="875" spans="7:14" ht="16.5" customHeight="1">
      <c r="G875" s="30">
        <f t="shared" si="93"/>
        <v>0</v>
      </c>
      <c r="H875" s="31">
        <f t="shared" si="94"/>
        <v>0</v>
      </c>
      <c r="I875" s="31">
        <f t="shared" si="95"/>
        <v>0</v>
      </c>
      <c r="J875" s="31">
        <f t="shared" si="96"/>
        <v>0</v>
      </c>
      <c r="M875" s="33">
        <f t="shared" si="92"/>
        <v>0</v>
      </c>
      <c r="N875" s="33"/>
    </row>
    <row r="876" spans="7:14" ht="16.5" customHeight="1">
      <c r="G876" s="30">
        <f t="shared" si="93"/>
        <v>0</v>
      </c>
      <c r="H876" s="31">
        <f t="shared" si="94"/>
        <v>0</v>
      </c>
      <c r="I876" s="31">
        <f t="shared" si="95"/>
        <v>0</v>
      </c>
      <c r="J876" s="31">
        <f t="shared" si="96"/>
        <v>0</v>
      </c>
      <c r="M876" s="33">
        <f t="shared" si="92"/>
        <v>0</v>
      </c>
      <c r="N876" s="33"/>
    </row>
    <row r="877" spans="7:14" ht="16.5" customHeight="1">
      <c r="G877" s="30">
        <f t="shared" si="93"/>
        <v>0</v>
      </c>
      <c r="H877" s="31">
        <f t="shared" si="94"/>
        <v>0</v>
      </c>
      <c r="I877" s="31">
        <f t="shared" si="95"/>
        <v>0</v>
      </c>
      <c r="J877" s="31">
        <f t="shared" si="96"/>
        <v>0</v>
      </c>
      <c r="M877" s="33">
        <f t="shared" si="92"/>
        <v>0</v>
      </c>
      <c r="N877" s="33"/>
    </row>
    <row r="878" spans="7:14" ht="16.5" customHeight="1">
      <c r="G878" s="30">
        <f t="shared" si="93"/>
        <v>0</v>
      </c>
      <c r="H878" s="31">
        <f t="shared" si="94"/>
        <v>0</v>
      </c>
      <c r="I878" s="31">
        <f t="shared" si="95"/>
        <v>0</v>
      </c>
      <c r="J878" s="31">
        <f t="shared" si="96"/>
        <v>0</v>
      </c>
      <c r="M878" s="33">
        <f t="shared" si="92"/>
        <v>0</v>
      </c>
      <c r="N878" s="33"/>
    </row>
    <row r="879" spans="7:14" ht="16.5" customHeight="1">
      <c r="G879" s="30">
        <f t="shared" si="93"/>
        <v>0</v>
      </c>
      <c r="H879" s="31">
        <f t="shared" si="94"/>
        <v>0</v>
      </c>
      <c r="I879" s="31">
        <f t="shared" si="95"/>
        <v>0</v>
      </c>
      <c r="J879" s="31">
        <f t="shared" si="96"/>
        <v>0</v>
      </c>
      <c r="M879" s="33">
        <f t="shared" si="92"/>
        <v>0</v>
      </c>
      <c r="N879" s="33"/>
    </row>
    <row r="880" spans="7:14" ht="16.5" customHeight="1">
      <c r="G880" s="30">
        <f t="shared" si="93"/>
        <v>0</v>
      </c>
      <c r="H880" s="31">
        <f t="shared" si="94"/>
        <v>0</v>
      </c>
      <c r="I880" s="31">
        <f t="shared" si="95"/>
        <v>0</v>
      </c>
      <c r="J880" s="31">
        <f t="shared" si="96"/>
        <v>0</v>
      </c>
      <c r="M880" s="33">
        <f t="shared" si="92"/>
        <v>0</v>
      </c>
      <c r="N880" s="33"/>
    </row>
    <row r="881" spans="7:14" ht="16.5" customHeight="1">
      <c r="G881" s="30">
        <f t="shared" si="93"/>
        <v>0</v>
      </c>
      <c r="H881" s="31">
        <f t="shared" si="94"/>
        <v>0</v>
      </c>
      <c r="I881" s="31">
        <f t="shared" si="95"/>
        <v>0</v>
      </c>
      <c r="J881" s="31">
        <f t="shared" si="96"/>
        <v>0</v>
      </c>
      <c r="M881" s="33">
        <f t="shared" si="92"/>
        <v>0</v>
      </c>
      <c r="N881" s="33"/>
    </row>
    <row r="882" spans="7:14" ht="16.5" customHeight="1">
      <c r="G882" s="30">
        <f t="shared" si="93"/>
        <v>0</v>
      </c>
      <c r="H882" s="31">
        <f t="shared" si="94"/>
        <v>0</v>
      </c>
      <c r="I882" s="31">
        <f t="shared" si="95"/>
        <v>0</v>
      </c>
      <c r="J882" s="31">
        <f t="shared" si="96"/>
        <v>0</v>
      </c>
      <c r="M882" s="33">
        <f t="shared" si="92"/>
        <v>0</v>
      </c>
      <c r="N882" s="33"/>
    </row>
    <row r="883" spans="7:14" ht="16.5" customHeight="1">
      <c r="G883" s="30">
        <f t="shared" si="93"/>
        <v>0</v>
      </c>
      <c r="H883" s="31">
        <f t="shared" si="94"/>
        <v>0</v>
      </c>
      <c r="I883" s="31">
        <f t="shared" si="95"/>
        <v>0</v>
      </c>
      <c r="J883" s="31">
        <f t="shared" si="96"/>
        <v>0</v>
      </c>
      <c r="M883" s="33">
        <f t="shared" si="92"/>
        <v>0</v>
      </c>
      <c r="N883" s="33"/>
    </row>
    <row r="884" spans="7:14" ht="16.5" customHeight="1">
      <c r="G884" s="30">
        <f t="shared" si="93"/>
        <v>0</v>
      </c>
      <c r="H884" s="31">
        <f t="shared" si="94"/>
        <v>0</v>
      </c>
      <c r="I884" s="31">
        <f t="shared" si="95"/>
        <v>0</v>
      </c>
      <c r="J884" s="31">
        <f t="shared" si="96"/>
        <v>0</v>
      </c>
      <c r="M884" s="33">
        <f t="shared" si="92"/>
        <v>0</v>
      </c>
      <c r="N884" s="33"/>
    </row>
    <row r="885" spans="7:14" ht="16.5" customHeight="1">
      <c r="G885" s="30">
        <f t="shared" si="93"/>
        <v>0</v>
      </c>
      <c r="H885" s="31">
        <f t="shared" si="94"/>
        <v>0</v>
      </c>
      <c r="I885" s="31">
        <f t="shared" si="95"/>
        <v>0</v>
      </c>
      <c r="J885" s="31">
        <f t="shared" si="96"/>
        <v>0</v>
      </c>
      <c r="M885" s="33">
        <f t="shared" si="92"/>
        <v>0</v>
      </c>
      <c r="N885" s="33"/>
    </row>
    <row r="886" spans="7:14" ht="16.5" customHeight="1">
      <c r="G886" s="30">
        <f t="shared" si="93"/>
        <v>0</v>
      </c>
      <c r="H886" s="31">
        <f t="shared" si="94"/>
        <v>0</v>
      </c>
      <c r="I886" s="31">
        <f t="shared" si="95"/>
        <v>0</v>
      </c>
      <c r="J886" s="31">
        <f t="shared" si="96"/>
        <v>0</v>
      </c>
      <c r="M886" s="33">
        <f t="shared" si="92"/>
        <v>0</v>
      </c>
      <c r="N886" s="33"/>
    </row>
    <row r="887" spans="7:14" ht="16.5" customHeight="1">
      <c r="G887" s="30">
        <f t="shared" si="93"/>
        <v>0</v>
      </c>
      <c r="H887" s="31">
        <f t="shared" si="94"/>
        <v>0</v>
      </c>
      <c r="I887" s="31">
        <f t="shared" si="95"/>
        <v>0</v>
      </c>
      <c r="J887" s="31">
        <f t="shared" si="96"/>
        <v>0</v>
      </c>
      <c r="M887" s="33">
        <f t="shared" si="92"/>
        <v>0</v>
      </c>
      <c r="N887" s="33"/>
    </row>
    <row r="888" spans="7:14" ht="16.5" customHeight="1">
      <c r="G888" s="30">
        <f t="shared" si="93"/>
        <v>0</v>
      </c>
      <c r="H888" s="31">
        <f t="shared" si="94"/>
        <v>0</v>
      </c>
      <c r="I888" s="31">
        <f t="shared" si="95"/>
        <v>0</v>
      </c>
      <c r="J888" s="31">
        <f t="shared" si="96"/>
        <v>0</v>
      </c>
      <c r="M888" s="33">
        <f t="shared" si="92"/>
        <v>0</v>
      </c>
      <c r="N888" s="33"/>
    </row>
    <row r="889" spans="7:14" ht="16.5" customHeight="1">
      <c r="G889" s="30">
        <f t="shared" si="93"/>
        <v>0</v>
      </c>
      <c r="H889" s="31">
        <f t="shared" si="94"/>
        <v>0</v>
      </c>
      <c r="I889" s="31">
        <f t="shared" si="95"/>
        <v>0</v>
      </c>
      <c r="J889" s="31">
        <f t="shared" si="96"/>
        <v>0</v>
      </c>
      <c r="M889" s="33">
        <f t="shared" si="92"/>
        <v>0</v>
      </c>
      <c r="N889" s="33"/>
    </row>
    <row r="890" spans="7:14" ht="16.5" customHeight="1">
      <c r="G890" s="30">
        <f t="shared" si="93"/>
        <v>0</v>
      </c>
      <c r="H890" s="31">
        <f t="shared" si="94"/>
        <v>0</v>
      </c>
      <c r="I890" s="31">
        <f t="shared" si="95"/>
        <v>0</v>
      </c>
      <c r="J890" s="31">
        <f t="shared" si="96"/>
        <v>0</v>
      </c>
      <c r="M890" s="33">
        <f t="shared" si="92"/>
        <v>0</v>
      </c>
      <c r="N890" s="33"/>
    </row>
    <row r="891" spans="7:14" ht="16.5" customHeight="1">
      <c r="G891" s="30">
        <f t="shared" si="93"/>
        <v>0</v>
      </c>
      <c r="H891" s="31">
        <f t="shared" si="94"/>
        <v>0</v>
      </c>
      <c r="I891" s="31">
        <f t="shared" si="95"/>
        <v>0</v>
      </c>
      <c r="J891" s="31">
        <f t="shared" si="96"/>
        <v>0</v>
      </c>
      <c r="M891" s="33">
        <f t="shared" si="92"/>
        <v>0</v>
      </c>
      <c r="N891" s="33"/>
    </row>
    <row r="892" spans="7:14" ht="16.5" customHeight="1">
      <c r="G892" s="30">
        <f t="shared" si="93"/>
        <v>0</v>
      </c>
      <c r="H892" s="31">
        <f t="shared" si="94"/>
        <v>0</v>
      </c>
      <c r="I892" s="31">
        <f t="shared" si="95"/>
        <v>0</v>
      </c>
      <c r="J892" s="31">
        <f t="shared" si="96"/>
        <v>0</v>
      </c>
      <c r="M892" s="33">
        <f t="shared" si="92"/>
        <v>0</v>
      </c>
      <c r="N892" s="33"/>
    </row>
    <row r="893" spans="7:14" ht="16.5" customHeight="1">
      <c r="G893" s="30">
        <f t="shared" si="93"/>
        <v>0</v>
      </c>
      <c r="H893" s="31">
        <f t="shared" si="94"/>
        <v>0</v>
      </c>
      <c r="I893" s="31">
        <f t="shared" si="95"/>
        <v>0</v>
      </c>
      <c r="J893" s="31">
        <f t="shared" si="96"/>
        <v>0</v>
      </c>
      <c r="M893" s="33">
        <f t="shared" si="92"/>
        <v>0</v>
      </c>
      <c r="N893" s="33"/>
    </row>
    <row r="894" spans="7:14" ht="16.5" customHeight="1">
      <c r="G894" s="30">
        <f t="shared" si="93"/>
        <v>0</v>
      </c>
      <c r="H894" s="31">
        <f t="shared" si="94"/>
        <v>0</v>
      </c>
      <c r="I894" s="31">
        <f t="shared" si="95"/>
        <v>0</v>
      </c>
      <c r="J894" s="31">
        <f t="shared" si="96"/>
        <v>0</v>
      </c>
      <c r="M894" s="33">
        <f t="shared" ref="M894:M957" si="97">IF(P894="TL tuyệt đối",0, IF(K894&lt;5,0,IF(K894&lt;50,K894*9%,IF(K894&lt;100,4.5,IF(K894&lt;200,4.5%*K894,IF(K894&lt;300,9,IF(K894&lt;500,K894*3%,IF(K894&lt;1000,15,))))))))</f>
        <v>0</v>
      </c>
      <c r="N894" s="33"/>
    </row>
    <row r="895" spans="7:14" ht="16.5" customHeight="1">
      <c r="G895" s="30">
        <f t="shared" si="93"/>
        <v>0</v>
      </c>
      <c r="H895" s="31">
        <f t="shared" si="94"/>
        <v>0</v>
      </c>
      <c r="I895" s="31">
        <f t="shared" si="95"/>
        <v>0</v>
      </c>
      <c r="J895" s="31">
        <f t="shared" si="96"/>
        <v>0</v>
      </c>
      <c r="M895" s="33">
        <f t="shared" si="97"/>
        <v>0</v>
      </c>
      <c r="N895" s="33"/>
    </row>
    <row r="896" spans="7:14" ht="16.5" customHeight="1">
      <c r="G896" s="30">
        <f t="shared" ref="G896:G959" si="98">IF(P896="TL tuyệt đối",K896*103%,K896+1/3*M896)</f>
        <v>0</v>
      </c>
      <c r="H896" s="31">
        <f t="shared" ref="H896:H959" si="99">IF(P896="TL tuyệt đối",K896*101%,K896-1/3*M896)</f>
        <v>0</v>
      </c>
      <c r="I896" s="31">
        <f t="shared" ref="I896:I959" si="100">IF(P896="TL tuyệt đối", K896*105%,K896+M896)</f>
        <v>0</v>
      </c>
      <c r="J896" s="31">
        <f t="shared" si="96"/>
        <v>0</v>
      </c>
      <c r="M896" s="33">
        <f t="shared" si="97"/>
        <v>0</v>
      </c>
      <c r="N896" s="33"/>
    </row>
    <row r="897" spans="7:14" ht="16.5" customHeight="1">
      <c r="G897" s="30">
        <f t="shared" si="98"/>
        <v>0</v>
      </c>
      <c r="H897" s="31">
        <f t="shared" si="99"/>
        <v>0</v>
      </c>
      <c r="I897" s="31">
        <f t="shared" si="100"/>
        <v>0</v>
      </c>
      <c r="J897" s="31">
        <f t="shared" si="96"/>
        <v>0</v>
      </c>
      <c r="M897" s="33">
        <f t="shared" si="97"/>
        <v>0</v>
      </c>
      <c r="N897" s="33"/>
    </row>
    <row r="898" spans="7:14" ht="16.5" customHeight="1">
      <c r="G898" s="30">
        <f t="shared" si="98"/>
        <v>0</v>
      </c>
      <c r="H898" s="31">
        <f t="shared" si="99"/>
        <v>0</v>
      </c>
      <c r="I898" s="31">
        <f t="shared" si="100"/>
        <v>0</v>
      </c>
      <c r="J898" s="31">
        <f t="shared" si="96"/>
        <v>0</v>
      </c>
      <c r="M898" s="33">
        <f t="shared" si="97"/>
        <v>0</v>
      </c>
      <c r="N898" s="33"/>
    </row>
    <row r="899" spans="7:14" ht="16.5" customHeight="1">
      <c r="G899" s="30">
        <f t="shared" si="98"/>
        <v>0</v>
      </c>
      <c r="H899" s="31">
        <f t="shared" si="99"/>
        <v>0</v>
      </c>
      <c r="I899" s="31">
        <f t="shared" si="100"/>
        <v>0</v>
      </c>
      <c r="J899" s="31">
        <f t="shared" si="96"/>
        <v>0</v>
      </c>
      <c r="M899" s="33">
        <f t="shared" si="97"/>
        <v>0</v>
      </c>
      <c r="N899" s="33"/>
    </row>
    <row r="900" spans="7:14" ht="16.5" customHeight="1">
      <c r="G900" s="30">
        <f t="shared" si="98"/>
        <v>0</v>
      </c>
      <c r="H900" s="31">
        <f t="shared" si="99"/>
        <v>0</v>
      </c>
      <c r="I900" s="31">
        <f t="shared" si="100"/>
        <v>0</v>
      </c>
      <c r="J900" s="31">
        <f t="shared" ref="J900:J963" si="101">K900-M900</f>
        <v>0</v>
      </c>
      <c r="M900" s="33">
        <f t="shared" si="97"/>
        <v>0</v>
      </c>
      <c r="N900" s="33"/>
    </row>
    <row r="901" spans="7:14" ht="16.5" customHeight="1">
      <c r="G901" s="30">
        <f t="shared" si="98"/>
        <v>0</v>
      </c>
      <c r="H901" s="31">
        <f t="shared" si="99"/>
        <v>0</v>
      </c>
      <c r="I901" s="31">
        <f t="shared" si="100"/>
        <v>0</v>
      </c>
      <c r="J901" s="31">
        <f t="shared" si="101"/>
        <v>0</v>
      </c>
      <c r="M901" s="33">
        <f t="shared" si="97"/>
        <v>0</v>
      </c>
      <c r="N901" s="33"/>
    </row>
    <row r="902" spans="7:14" ht="16.5" customHeight="1">
      <c r="G902" s="30">
        <f t="shared" si="98"/>
        <v>0</v>
      </c>
      <c r="H902" s="31">
        <f t="shared" si="99"/>
        <v>0</v>
      </c>
      <c r="I902" s="31">
        <f t="shared" si="100"/>
        <v>0</v>
      </c>
      <c r="J902" s="31">
        <f t="shared" si="101"/>
        <v>0</v>
      </c>
      <c r="M902" s="33">
        <f t="shared" si="97"/>
        <v>0</v>
      </c>
      <c r="N902" s="33"/>
    </row>
    <row r="903" spans="7:14" ht="16.5" customHeight="1">
      <c r="G903" s="30">
        <f t="shared" si="98"/>
        <v>0</v>
      </c>
      <c r="H903" s="31">
        <f t="shared" si="99"/>
        <v>0</v>
      </c>
      <c r="I903" s="31">
        <f t="shared" si="100"/>
        <v>0</v>
      </c>
      <c r="J903" s="31">
        <f t="shared" si="101"/>
        <v>0</v>
      </c>
      <c r="M903" s="33">
        <f t="shared" si="97"/>
        <v>0</v>
      </c>
      <c r="N903" s="33"/>
    </row>
    <row r="904" spans="7:14" ht="16.5" customHeight="1">
      <c r="G904" s="30">
        <f t="shared" si="98"/>
        <v>0</v>
      </c>
      <c r="H904" s="31">
        <f t="shared" si="99"/>
        <v>0</v>
      </c>
      <c r="I904" s="31">
        <f t="shared" si="100"/>
        <v>0</v>
      </c>
      <c r="J904" s="31">
        <f t="shared" si="101"/>
        <v>0</v>
      </c>
      <c r="M904" s="33">
        <f t="shared" si="97"/>
        <v>0</v>
      </c>
      <c r="N904" s="33"/>
    </row>
    <row r="905" spans="7:14" ht="16.5" customHeight="1">
      <c r="G905" s="30">
        <f t="shared" si="98"/>
        <v>0</v>
      </c>
      <c r="H905" s="31">
        <f t="shared" si="99"/>
        <v>0</v>
      </c>
      <c r="I905" s="31">
        <f t="shared" si="100"/>
        <v>0</v>
      </c>
      <c r="J905" s="31">
        <f t="shared" si="101"/>
        <v>0</v>
      </c>
      <c r="M905" s="33">
        <f t="shared" si="97"/>
        <v>0</v>
      </c>
      <c r="N905" s="33"/>
    </row>
    <row r="906" spans="7:14" ht="16.5" customHeight="1">
      <c r="G906" s="30">
        <f t="shared" si="98"/>
        <v>0</v>
      </c>
      <c r="H906" s="31">
        <f t="shared" si="99"/>
        <v>0</v>
      </c>
      <c r="I906" s="31">
        <f t="shared" si="100"/>
        <v>0</v>
      </c>
      <c r="J906" s="31">
        <f t="shared" si="101"/>
        <v>0</v>
      </c>
      <c r="M906" s="33">
        <f t="shared" si="97"/>
        <v>0</v>
      </c>
      <c r="N906" s="33"/>
    </row>
    <row r="907" spans="7:14" ht="16.5" customHeight="1">
      <c r="G907" s="30">
        <f t="shared" si="98"/>
        <v>0</v>
      </c>
      <c r="H907" s="31">
        <f t="shared" si="99"/>
        <v>0</v>
      </c>
      <c r="I907" s="31">
        <f t="shared" si="100"/>
        <v>0</v>
      </c>
      <c r="J907" s="31">
        <f t="shared" si="101"/>
        <v>0</v>
      </c>
      <c r="M907" s="33">
        <f t="shared" si="97"/>
        <v>0</v>
      </c>
      <c r="N907" s="33"/>
    </row>
    <row r="908" spans="7:14" ht="16.5" customHeight="1">
      <c r="G908" s="30">
        <f t="shared" si="98"/>
        <v>0</v>
      </c>
      <c r="H908" s="31">
        <f t="shared" si="99"/>
        <v>0</v>
      </c>
      <c r="I908" s="31">
        <f t="shared" si="100"/>
        <v>0</v>
      </c>
      <c r="J908" s="31">
        <f t="shared" si="101"/>
        <v>0</v>
      </c>
      <c r="M908" s="33">
        <f t="shared" si="97"/>
        <v>0</v>
      </c>
      <c r="N908" s="33"/>
    </row>
    <row r="909" spans="7:14" ht="16.5" customHeight="1">
      <c r="G909" s="30">
        <f t="shared" si="98"/>
        <v>0</v>
      </c>
      <c r="H909" s="31">
        <f t="shared" si="99"/>
        <v>0</v>
      </c>
      <c r="I909" s="31">
        <f t="shared" si="100"/>
        <v>0</v>
      </c>
      <c r="J909" s="31">
        <f t="shared" si="101"/>
        <v>0</v>
      </c>
      <c r="M909" s="33">
        <f t="shared" si="97"/>
        <v>0</v>
      </c>
      <c r="N909" s="33"/>
    </row>
    <row r="910" spans="7:14" ht="16.5" customHeight="1">
      <c r="G910" s="30">
        <f t="shared" si="98"/>
        <v>0</v>
      </c>
      <c r="H910" s="31">
        <f t="shared" si="99"/>
        <v>0</v>
      </c>
      <c r="I910" s="31">
        <f t="shared" si="100"/>
        <v>0</v>
      </c>
      <c r="J910" s="31">
        <f t="shared" si="101"/>
        <v>0</v>
      </c>
      <c r="M910" s="33">
        <f t="shared" si="97"/>
        <v>0</v>
      </c>
      <c r="N910" s="33"/>
    </row>
    <row r="911" spans="7:14" ht="16.5" customHeight="1">
      <c r="G911" s="30">
        <f t="shared" si="98"/>
        <v>0</v>
      </c>
      <c r="H911" s="31">
        <f t="shared" si="99"/>
        <v>0</v>
      </c>
      <c r="I911" s="31">
        <f t="shared" si="100"/>
        <v>0</v>
      </c>
      <c r="J911" s="31">
        <f t="shared" si="101"/>
        <v>0</v>
      </c>
      <c r="M911" s="33">
        <f t="shared" si="97"/>
        <v>0</v>
      </c>
      <c r="N911" s="33"/>
    </row>
    <row r="912" spans="7:14" ht="16.5" customHeight="1">
      <c r="G912" s="30">
        <f t="shared" si="98"/>
        <v>0</v>
      </c>
      <c r="H912" s="31">
        <f t="shared" si="99"/>
        <v>0</v>
      </c>
      <c r="I912" s="31">
        <f t="shared" si="100"/>
        <v>0</v>
      </c>
      <c r="J912" s="31">
        <f t="shared" si="101"/>
        <v>0</v>
      </c>
      <c r="M912" s="33">
        <f t="shared" si="97"/>
        <v>0</v>
      </c>
      <c r="N912" s="33"/>
    </row>
    <row r="913" spans="7:14" ht="16.5" customHeight="1">
      <c r="G913" s="30">
        <f t="shared" si="98"/>
        <v>0</v>
      </c>
      <c r="H913" s="31">
        <f t="shared" si="99"/>
        <v>0</v>
      </c>
      <c r="I913" s="31">
        <f t="shared" si="100"/>
        <v>0</v>
      </c>
      <c r="J913" s="31">
        <f t="shared" si="101"/>
        <v>0</v>
      </c>
      <c r="M913" s="33">
        <f t="shared" si="97"/>
        <v>0</v>
      </c>
      <c r="N913" s="33"/>
    </row>
    <row r="914" spans="7:14" ht="16.5" customHeight="1">
      <c r="G914" s="30">
        <f t="shared" si="98"/>
        <v>0</v>
      </c>
      <c r="H914" s="31">
        <f t="shared" si="99"/>
        <v>0</v>
      </c>
      <c r="I914" s="31">
        <f t="shared" si="100"/>
        <v>0</v>
      </c>
      <c r="J914" s="31">
        <f t="shared" si="101"/>
        <v>0</v>
      </c>
      <c r="M914" s="33">
        <f t="shared" si="97"/>
        <v>0</v>
      </c>
      <c r="N914" s="33"/>
    </row>
    <row r="915" spans="7:14" ht="16.5" customHeight="1">
      <c r="G915" s="30">
        <f t="shared" si="98"/>
        <v>0</v>
      </c>
      <c r="H915" s="31">
        <f t="shared" si="99"/>
        <v>0</v>
      </c>
      <c r="I915" s="31">
        <f t="shared" si="100"/>
        <v>0</v>
      </c>
      <c r="J915" s="31">
        <f t="shared" si="101"/>
        <v>0</v>
      </c>
      <c r="M915" s="33">
        <f t="shared" si="97"/>
        <v>0</v>
      </c>
      <c r="N915" s="33"/>
    </row>
    <row r="916" spans="7:14" ht="16.5" customHeight="1">
      <c r="G916" s="30">
        <f t="shared" si="98"/>
        <v>0</v>
      </c>
      <c r="H916" s="31">
        <f t="shared" si="99"/>
        <v>0</v>
      </c>
      <c r="I916" s="31">
        <f t="shared" si="100"/>
        <v>0</v>
      </c>
      <c r="J916" s="31">
        <f t="shared" si="101"/>
        <v>0</v>
      </c>
      <c r="M916" s="33">
        <f t="shared" si="97"/>
        <v>0</v>
      </c>
      <c r="N916" s="33"/>
    </row>
    <row r="917" spans="7:14" ht="16.5" customHeight="1">
      <c r="G917" s="30">
        <f t="shared" si="98"/>
        <v>0</v>
      </c>
      <c r="H917" s="31">
        <f t="shared" si="99"/>
        <v>0</v>
      </c>
      <c r="I917" s="31">
        <f t="shared" si="100"/>
        <v>0</v>
      </c>
      <c r="J917" s="31">
        <f t="shared" si="101"/>
        <v>0</v>
      </c>
      <c r="M917" s="33">
        <f t="shared" si="97"/>
        <v>0</v>
      </c>
      <c r="N917" s="33"/>
    </row>
    <row r="918" spans="7:14" ht="16.5" customHeight="1">
      <c r="G918" s="30">
        <f t="shared" si="98"/>
        <v>0</v>
      </c>
      <c r="H918" s="31">
        <f t="shared" si="99"/>
        <v>0</v>
      </c>
      <c r="I918" s="31">
        <f t="shared" si="100"/>
        <v>0</v>
      </c>
      <c r="J918" s="31">
        <f t="shared" si="101"/>
        <v>0</v>
      </c>
      <c r="M918" s="33">
        <f t="shared" si="97"/>
        <v>0</v>
      </c>
      <c r="N918" s="33"/>
    </row>
    <row r="919" spans="7:14" ht="16.5" customHeight="1">
      <c r="G919" s="30">
        <f t="shared" si="98"/>
        <v>0</v>
      </c>
      <c r="H919" s="31">
        <f t="shared" si="99"/>
        <v>0</v>
      </c>
      <c r="I919" s="31">
        <f t="shared" si="100"/>
        <v>0</v>
      </c>
      <c r="J919" s="31">
        <f t="shared" si="101"/>
        <v>0</v>
      </c>
      <c r="M919" s="33">
        <f t="shared" si="97"/>
        <v>0</v>
      </c>
      <c r="N919" s="33"/>
    </row>
    <row r="920" spans="7:14" ht="16.5" customHeight="1">
      <c r="G920" s="30">
        <f t="shared" si="98"/>
        <v>0</v>
      </c>
      <c r="H920" s="31">
        <f t="shared" si="99"/>
        <v>0</v>
      </c>
      <c r="I920" s="31">
        <f t="shared" si="100"/>
        <v>0</v>
      </c>
      <c r="J920" s="31">
        <f t="shared" si="101"/>
        <v>0</v>
      </c>
      <c r="M920" s="33">
        <f t="shared" si="97"/>
        <v>0</v>
      </c>
      <c r="N920" s="33"/>
    </row>
    <row r="921" spans="7:14" ht="16.5" customHeight="1">
      <c r="G921" s="30">
        <f t="shared" si="98"/>
        <v>0</v>
      </c>
      <c r="H921" s="31">
        <f t="shared" si="99"/>
        <v>0</v>
      </c>
      <c r="I921" s="31">
        <f t="shared" si="100"/>
        <v>0</v>
      </c>
      <c r="J921" s="31">
        <f t="shared" si="101"/>
        <v>0</v>
      </c>
      <c r="M921" s="33">
        <f t="shared" si="97"/>
        <v>0</v>
      </c>
      <c r="N921" s="33"/>
    </row>
    <row r="922" spans="7:14" ht="16.5" customHeight="1">
      <c r="G922" s="30">
        <f t="shared" si="98"/>
        <v>0</v>
      </c>
      <c r="H922" s="31">
        <f t="shared" si="99"/>
        <v>0</v>
      </c>
      <c r="I922" s="31">
        <f t="shared" si="100"/>
        <v>0</v>
      </c>
      <c r="J922" s="31">
        <f t="shared" si="101"/>
        <v>0</v>
      </c>
      <c r="M922" s="33">
        <f t="shared" si="97"/>
        <v>0</v>
      </c>
      <c r="N922" s="33"/>
    </row>
    <row r="923" spans="7:14" ht="16.5" customHeight="1">
      <c r="G923" s="30">
        <f t="shared" si="98"/>
        <v>0</v>
      </c>
      <c r="H923" s="31">
        <f t="shared" si="99"/>
        <v>0</v>
      </c>
      <c r="I923" s="31">
        <f t="shared" si="100"/>
        <v>0</v>
      </c>
      <c r="J923" s="31">
        <f t="shared" si="101"/>
        <v>0</v>
      </c>
      <c r="M923" s="33">
        <f t="shared" si="97"/>
        <v>0</v>
      </c>
      <c r="N923" s="33"/>
    </row>
    <row r="924" spans="7:14" ht="16.5" customHeight="1">
      <c r="G924" s="30">
        <f t="shared" si="98"/>
        <v>0</v>
      </c>
      <c r="H924" s="31">
        <f t="shared" si="99"/>
        <v>0</v>
      </c>
      <c r="I924" s="31">
        <f t="shared" si="100"/>
        <v>0</v>
      </c>
      <c r="J924" s="31">
        <f t="shared" si="101"/>
        <v>0</v>
      </c>
      <c r="M924" s="33">
        <f t="shared" si="97"/>
        <v>0</v>
      </c>
      <c r="N924" s="33"/>
    </row>
    <row r="925" spans="7:14" ht="16.5" customHeight="1">
      <c r="G925" s="30">
        <f t="shared" si="98"/>
        <v>0</v>
      </c>
      <c r="H925" s="31">
        <f t="shared" si="99"/>
        <v>0</v>
      </c>
      <c r="I925" s="31">
        <f t="shared" si="100"/>
        <v>0</v>
      </c>
      <c r="J925" s="31">
        <f t="shared" si="101"/>
        <v>0</v>
      </c>
      <c r="M925" s="33">
        <f t="shared" si="97"/>
        <v>0</v>
      </c>
      <c r="N925" s="33"/>
    </row>
    <row r="926" spans="7:14" ht="16.5" customHeight="1">
      <c r="G926" s="30">
        <f t="shared" si="98"/>
        <v>0</v>
      </c>
      <c r="H926" s="31">
        <f t="shared" si="99"/>
        <v>0</v>
      </c>
      <c r="I926" s="31">
        <f t="shared" si="100"/>
        <v>0</v>
      </c>
      <c r="J926" s="31">
        <f t="shared" si="101"/>
        <v>0</v>
      </c>
      <c r="M926" s="33">
        <f t="shared" si="97"/>
        <v>0</v>
      </c>
      <c r="N926" s="33"/>
    </row>
    <row r="927" spans="7:14" ht="16.5" customHeight="1">
      <c r="G927" s="30">
        <f t="shared" si="98"/>
        <v>0</v>
      </c>
      <c r="H927" s="31">
        <f t="shared" si="99"/>
        <v>0</v>
      </c>
      <c r="I927" s="31">
        <f t="shared" si="100"/>
        <v>0</v>
      </c>
      <c r="J927" s="31">
        <f t="shared" si="101"/>
        <v>0</v>
      </c>
      <c r="M927" s="33">
        <f t="shared" si="97"/>
        <v>0</v>
      </c>
      <c r="N927" s="33"/>
    </row>
    <row r="928" spans="7:14" ht="16.5" customHeight="1">
      <c r="G928" s="30">
        <f t="shared" si="98"/>
        <v>0</v>
      </c>
      <c r="H928" s="31">
        <f t="shared" si="99"/>
        <v>0</v>
      </c>
      <c r="I928" s="31">
        <f t="shared" si="100"/>
        <v>0</v>
      </c>
      <c r="J928" s="31">
        <f t="shared" si="101"/>
        <v>0</v>
      </c>
      <c r="M928" s="33">
        <f t="shared" si="97"/>
        <v>0</v>
      </c>
      <c r="N928" s="33"/>
    </row>
    <row r="929" spans="7:14" ht="16.5" customHeight="1">
      <c r="G929" s="30">
        <f t="shared" si="98"/>
        <v>0</v>
      </c>
      <c r="H929" s="31">
        <f t="shared" si="99"/>
        <v>0</v>
      </c>
      <c r="I929" s="31">
        <f t="shared" si="100"/>
        <v>0</v>
      </c>
      <c r="J929" s="31">
        <f t="shared" si="101"/>
        <v>0</v>
      </c>
      <c r="M929" s="33">
        <f t="shared" si="97"/>
        <v>0</v>
      </c>
      <c r="N929" s="33"/>
    </row>
    <row r="930" spans="7:14" ht="16.5" customHeight="1">
      <c r="G930" s="30">
        <f t="shared" si="98"/>
        <v>0</v>
      </c>
      <c r="H930" s="31">
        <f t="shared" si="99"/>
        <v>0</v>
      </c>
      <c r="I930" s="31">
        <f t="shared" si="100"/>
        <v>0</v>
      </c>
      <c r="J930" s="31">
        <f t="shared" si="101"/>
        <v>0</v>
      </c>
      <c r="M930" s="33">
        <f t="shared" si="97"/>
        <v>0</v>
      </c>
      <c r="N930" s="33"/>
    </row>
    <row r="931" spans="7:14" ht="16.5" customHeight="1">
      <c r="G931" s="30">
        <f t="shared" si="98"/>
        <v>0</v>
      </c>
      <c r="H931" s="31">
        <f t="shared" si="99"/>
        <v>0</v>
      </c>
      <c r="I931" s="31">
        <f t="shared" si="100"/>
        <v>0</v>
      </c>
      <c r="J931" s="31">
        <f t="shared" si="101"/>
        <v>0</v>
      </c>
      <c r="M931" s="33">
        <f t="shared" si="97"/>
        <v>0</v>
      </c>
      <c r="N931" s="33"/>
    </row>
    <row r="932" spans="7:14" ht="16.5" customHeight="1">
      <c r="G932" s="30">
        <f t="shared" si="98"/>
        <v>0</v>
      </c>
      <c r="H932" s="31">
        <f t="shared" si="99"/>
        <v>0</v>
      </c>
      <c r="I932" s="31">
        <f t="shared" si="100"/>
        <v>0</v>
      </c>
      <c r="J932" s="31">
        <f t="shared" si="101"/>
        <v>0</v>
      </c>
      <c r="M932" s="33">
        <f t="shared" si="97"/>
        <v>0</v>
      </c>
      <c r="N932" s="33"/>
    </row>
    <row r="933" spans="7:14" ht="16.5" customHeight="1">
      <c r="G933" s="30">
        <f t="shared" si="98"/>
        <v>0</v>
      </c>
      <c r="H933" s="31">
        <f t="shared" si="99"/>
        <v>0</v>
      </c>
      <c r="I933" s="31">
        <f t="shared" si="100"/>
        <v>0</v>
      </c>
      <c r="J933" s="31">
        <f t="shared" si="101"/>
        <v>0</v>
      </c>
      <c r="M933" s="33">
        <f t="shared" si="97"/>
        <v>0</v>
      </c>
      <c r="N933" s="33"/>
    </row>
    <row r="934" spans="7:14" ht="16.5" customHeight="1">
      <c r="G934" s="30">
        <f t="shared" si="98"/>
        <v>0</v>
      </c>
      <c r="H934" s="31">
        <f t="shared" si="99"/>
        <v>0</v>
      </c>
      <c r="I934" s="31">
        <f t="shared" si="100"/>
        <v>0</v>
      </c>
      <c r="J934" s="31">
        <f t="shared" si="101"/>
        <v>0</v>
      </c>
      <c r="M934" s="33">
        <f t="shared" si="97"/>
        <v>0</v>
      </c>
      <c r="N934" s="33"/>
    </row>
    <row r="935" spans="7:14" ht="16.5" customHeight="1">
      <c r="G935" s="30">
        <f t="shared" si="98"/>
        <v>0</v>
      </c>
      <c r="H935" s="31">
        <f t="shared" si="99"/>
        <v>0</v>
      </c>
      <c r="I935" s="31">
        <f t="shared" si="100"/>
        <v>0</v>
      </c>
      <c r="J935" s="31">
        <f t="shared" si="101"/>
        <v>0</v>
      </c>
      <c r="M935" s="33">
        <f t="shared" si="97"/>
        <v>0</v>
      </c>
      <c r="N935" s="33"/>
    </row>
    <row r="936" spans="7:14" ht="16.5" customHeight="1">
      <c r="G936" s="30">
        <f t="shared" si="98"/>
        <v>0</v>
      </c>
      <c r="H936" s="31">
        <f t="shared" si="99"/>
        <v>0</v>
      </c>
      <c r="I936" s="31">
        <f t="shared" si="100"/>
        <v>0</v>
      </c>
      <c r="J936" s="31">
        <f t="shared" si="101"/>
        <v>0</v>
      </c>
      <c r="M936" s="33">
        <f t="shared" si="97"/>
        <v>0</v>
      </c>
      <c r="N936" s="33"/>
    </row>
    <row r="937" spans="7:14" ht="16.5" customHeight="1">
      <c r="G937" s="30">
        <f t="shared" si="98"/>
        <v>0</v>
      </c>
      <c r="H937" s="31">
        <f t="shared" si="99"/>
        <v>0</v>
      </c>
      <c r="I937" s="31">
        <f t="shared" si="100"/>
        <v>0</v>
      </c>
      <c r="J937" s="31">
        <f t="shared" si="101"/>
        <v>0</v>
      </c>
      <c r="M937" s="33">
        <f t="shared" si="97"/>
        <v>0</v>
      </c>
      <c r="N937" s="33"/>
    </row>
    <row r="938" spans="7:14" ht="16.5" customHeight="1">
      <c r="G938" s="30">
        <f t="shared" si="98"/>
        <v>0</v>
      </c>
      <c r="H938" s="31">
        <f t="shared" si="99"/>
        <v>0</v>
      </c>
      <c r="I938" s="31">
        <f t="shared" si="100"/>
        <v>0</v>
      </c>
      <c r="J938" s="31">
        <f t="shared" si="101"/>
        <v>0</v>
      </c>
      <c r="M938" s="33">
        <f t="shared" si="97"/>
        <v>0</v>
      </c>
      <c r="N938" s="33"/>
    </row>
    <row r="939" spans="7:14" ht="16.5" customHeight="1">
      <c r="G939" s="30">
        <f t="shared" si="98"/>
        <v>0</v>
      </c>
      <c r="H939" s="31">
        <f t="shared" si="99"/>
        <v>0</v>
      </c>
      <c r="I939" s="31">
        <f t="shared" si="100"/>
        <v>0</v>
      </c>
      <c r="J939" s="31">
        <f t="shared" si="101"/>
        <v>0</v>
      </c>
      <c r="M939" s="33">
        <f t="shared" si="97"/>
        <v>0</v>
      </c>
      <c r="N939" s="33"/>
    </row>
    <row r="940" spans="7:14" ht="16.5" customHeight="1">
      <c r="G940" s="30">
        <f t="shared" si="98"/>
        <v>0</v>
      </c>
      <c r="H940" s="31">
        <f t="shared" si="99"/>
        <v>0</v>
      </c>
      <c r="I940" s="31">
        <f t="shared" si="100"/>
        <v>0</v>
      </c>
      <c r="J940" s="31">
        <f t="shared" si="101"/>
        <v>0</v>
      </c>
      <c r="M940" s="33">
        <f t="shared" si="97"/>
        <v>0</v>
      </c>
      <c r="N940" s="33"/>
    </row>
    <row r="941" spans="7:14" ht="16.5" customHeight="1">
      <c r="G941" s="30">
        <f t="shared" si="98"/>
        <v>0</v>
      </c>
      <c r="H941" s="31">
        <f t="shared" si="99"/>
        <v>0</v>
      </c>
      <c r="I941" s="31">
        <f t="shared" si="100"/>
        <v>0</v>
      </c>
      <c r="J941" s="31">
        <f t="shared" si="101"/>
        <v>0</v>
      </c>
      <c r="M941" s="33">
        <f t="shared" si="97"/>
        <v>0</v>
      </c>
      <c r="N941" s="33"/>
    </row>
    <row r="942" spans="7:14" ht="16.5" customHeight="1">
      <c r="G942" s="30">
        <f t="shared" si="98"/>
        <v>0</v>
      </c>
      <c r="H942" s="31">
        <f t="shared" si="99"/>
        <v>0</v>
      </c>
      <c r="I942" s="31">
        <f t="shared" si="100"/>
        <v>0</v>
      </c>
      <c r="J942" s="31">
        <f t="shared" si="101"/>
        <v>0</v>
      </c>
      <c r="M942" s="33">
        <f t="shared" si="97"/>
        <v>0</v>
      </c>
      <c r="N942" s="33"/>
    </row>
    <row r="943" spans="7:14" ht="16.5" customHeight="1">
      <c r="G943" s="30">
        <f t="shared" si="98"/>
        <v>0</v>
      </c>
      <c r="H943" s="31">
        <f t="shared" si="99"/>
        <v>0</v>
      </c>
      <c r="I943" s="31">
        <f t="shared" si="100"/>
        <v>0</v>
      </c>
      <c r="J943" s="31">
        <f t="shared" si="101"/>
        <v>0</v>
      </c>
      <c r="M943" s="33">
        <f t="shared" si="97"/>
        <v>0</v>
      </c>
      <c r="N943" s="33"/>
    </row>
    <row r="944" spans="7:14" ht="16.5" customHeight="1">
      <c r="G944" s="30">
        <f t="shared" si="98"/>
        <v>0</v>
      </c>
      <c r="H944" s="31">
        <f t="shared" si="99"/>
        <v>0</v>
      </c>
      <c r="I944" s="31">
        <f t="shared" si="100"/>
        <v>0</v>
      </c>
      <c r="J944" s="31">
        <f t="shared" si="101"/>
        <v>0</v>
      </c>
      <c r="M944" s="33">
        <f t="shared" si="97"/>
        <v>0</v>
      </c>
      <c r="N944" s="33"/>
    </row>
    <row r="945" spans="7:14" ht="16.5" customHeight="1">
      <c r="G945" s="30">
        <f t="shared" si="98"/>
        <v>0</v>
      </c>
      <c r="H945" s="31">
        <f t="shared" si="99"/>
        <v>0</v>
      </c>
      <c r="I945" s="31">
        <f t="shared" si="100"/>
        <v>0</v>
      </c>
      <c r="J945" s="31">
        <f t="shared" si="101"/>
        <v>0</v>
      </c>
      <c r="M945" s="33">
        <f t="shared" si="97"/>
        <v>0</v>
      </c>
      <c r="N945" s="33"/>
    </row>
    <row r="946" spans="7:14" ht="16.5" customHeight="1">
      <c r="G946" s="30">
        <f t="shared" si="98"/>
        <v>0</v>
      </c>
      <c r="H946" s="31">
        <f t="shared" si="99"/>
        <v>0</v>
      </c>
      <c r="I946" s="31">
        <f t="shared" si="100"/>
        <v>0</v>
      </c>
      <c r="J946" s="31">
        <f t="shared" si="101"/>
        <v>0</v>
      </c>
      <c r="M946" s="33">
        <f t="shared" si="97"/>
        <v>0</v>
      </c>
      <c r="N946" s="33"/>
    </row>
    <row r="947" spans="7:14" ht="16.5" customHeight="1">
      <c r="G947" s="30">
        <f t="shared" si="98"/>
        <v>0</v>
      </c>
      <c r="H947" s="31">
        <f t="shared" si="99"/>
        <v>0</v>
      </c>
      <c r="I947" s="31">
        <f t="shared" si="100"/>
        <v>0</v>
      </c>
      <c r="J947" s="31">
        <f t="shared" si="101"/>
        <v>0</v>
      </c>
      <c r="M947" s="33">
        <f t="shared" si="97"/>
        <v>0</v>
      </c>
      <c r="N947" s="33"/>
    </row>
    <row r="948" spans="7:14" ht="16.5" customHeight="1">
      <c r="G948" s="30">
        <f t="shared" si="98"/>
        <v>0</v>
      </c>
      <c r="H948" s="31">
        <f t="shared" si="99"/>
        <v>0</v>
      </c>
      <c r="I948" s="31">
        <f t="shared" si="100"/>
        <v>0</v>
      </c>
      <c r="J948" s="31">
        <f t="shared" si="101"/>
        <v>0</v>
      </c>
      <c r="M948" s="33">
        <f t="shared" si="97"/>
        <v>0</v>
      </c>
      <c r="N948" s="33"/>
    </row>
    <row r="949" spans="7:14" ht="16.5" customHeight="1">
      <c r="G949" s="30">
        <f t="shared" si="98"/>
        <v>0</v>
      </c>
      <c r="H949" s="31">
        <f t="shared" si="99"/>
        <v>0</v>
      </c>
      <c r="I949" s="31">
        <f t="shared" si="100"/>
        <v>0</v>
      </c>
      <c r="J949" s="31">
        <f t="shared" si="101"/>
        <v>0</v>
      </c>
      <c r="M949" s="33">
        <f t="shared" si="97"/>
        <v>0</v>
      </c>
      <c r="N949" s="33"/>
    </row>
    <row r="950" spans="7:14" ht="16.5" customHeight="1">
      <c r="G950" s="30">
        <f t="shared" si="98"/>
        <v>0</v>
      </c>
      <c r="H950" s="31">
        <f t="shared" si="99"/>
        <v>0</v>
      </c>
      <c r="I950" s="31">
        <f t="shared" si="100"/>
        <v>0</v>
      </c>
      <c r="J950" s="31">
        <f t="shared" si="101"/>
        <v>0</v>
      </c>
      <c r="M950" s="33">
        <f t="shared" si="97"/>
        <v>0</v>
      </c>
      <c r="N950" s="33"/>
    </row>
    <row r="951" spans="7:14" ht="16.5" customHeight="1">
      <c r="G951" s="30">
        <f t="shared" si="98"/>
        <v>0</v>
      </c>
      <c r="H951" s="31">
        <f t="shared" si="99"/>
        <v>0</v>
      </c>
      <c r="I951" s="31">
        <f t="shared" si="100"/>
        <v>0</v>
      </c>
      <c r="J951" s="31">
        <f t="shared" si="101"/>
        <v>0</v>
      </c>
      <c r="M951" s="33">
        <f t="shared" si="97"/>
        <v>0</v>
      </c>
      <c r="N951" s="33"/>
    </row>
    <row r="952" spans="7:14" ht="16.5" customHeight="1">
      <c r="G952" s="30">
        <f t="shared" si="98"/>
        <v>0</v>
      </c>
      <c r="H952" s="31">
        <f t="shared" si="99"/>
        <v>0</v>
      </c>
      <c r="I952" s="31">
        <f t="shared" si="100"/>
        <v>0</v>
      </c>
      <c r="J952" s="31">
        <f t="shared" si="101"/>
        <v>0</v>
      </c>
      <c r="M952" s="33">
        <f t="shared" si="97"/>
        <v>0</v>
      </c>
      <c r="N952" s="33"/>
    </row>
    <row r="953" spans="7:14" ht="16.5" customHeight="1">
      <c r="G953" s="30">
        <f t="shared" si="98"/>
        <v>0</v>
      </c>
      <c r="H953" s="31">
        <f t="shared" si="99"/>
        <v>0</v>
      </c>
      <c r="I953" s="31">
        <f t="shared" si="100"/>
        <v>0</v>
      </c>
      <c r="J953" s="31">
        <f t="shared" si="101"/>
        <v>0</v>
      </c>
      <c r="M953" s="33">
        <f t="shared" si="97"/>
        <v>0</v>
      </c>
      <c r="N953" s="33"/>
    </row>
    <row r="954" spans="7:14" ht="16.5" customHeight="1">
      <c r="G954" s="30">
        <f t="shared" si="98"/>
        <v>0</v>
      </c>
      <c r="H954" s="31">
        <f t="shared" si="99"/>
        <v>0</v>
      </c>
      <c r="I954" s="31">
        <f t="shared" si="100"/>
        <v>0</v>
      </c>
      <c r="J954" s="31">
        <f t="shared" si="101"/>
        <v>0</v>
      </c>
      <c r="M954" s="33">
        <f t="shared" si="97"/>
        <v>0</v>
      </c>
      <c r="N954" s="33"/>
    </row>
    <row r="955" spans="7:14" ht="16.5" customHeight="1">
      <c r="G955" s="30">
        <f t="shared" si="98"/>
        <v>0</v>
      </c>
      <c r="H955" s="31">
        <f t="shared" si="99"/>
        <v>0</v>
      </c>
      <c r="I955" s="31">
        <f t="shared" si="100"/>
        <v>0</v>
      </c>
      <c r="J955" s="31">
        <f t="shared" si="101"/>
        <v>0</v>
      </c>
      <c r="M955" s="33">
        <f t="shared" si="97"/>
        <v>0</v>
      </c>
      <c r="N955" s="33"/>
    </row>
    <row r="956" spans="7:14" ht="16.5" customHeight="1">
      <c r="G956" s="30">
        <f t="shared" si="98"/>
        <v>0</v>
      </c>
      <c r="H956" s="31">
        <f t="shared" si="99"/>
        <v>0</v>
      </c>
      <c r="I956" s="31">
        <f t="shared" si="100"/>
        <v>0</v>
      </c>
      <c r="J956" s="31">
        <f t="shared" si="101"/>
        <v>0</v>
      </c>
      <c r="M956" s="33">
        <f t="shared" si="97"/>
        <v>0</v>
      </c>
      <c r="N956" s="33"/>
    </row>
    <row r="957" spans="7:14" ht="16.5" customHeight="1">
      <c r="G957" s="30">
        <f t="shared" si="98"/>
        <v>0</v>
      </c>
      <c r="H957" s="31">
        <f t="shared" si="99"/>
        <v>0</v>
      </c>
      <c r="I957" s="31">
        <f t="shared" si="100"/>
        <v>0</v>
      </c>
      <c r="J957" s="31">
        <f t="shared" si="101"/>
        <v>0</v>
      </c>
      <c r="M957" s="33">
        <f t="shared" si="97"/>
        <v>0</v>
      </c>
      <c r="N957" s="33"/>
    </row>
    <row r="958" spans="7:14" ht="16.5" customHeight="1">
      <c r="G958" s="30">
        <f t="shared" si="98"/>
        <v>0</v>
      </c>
      <c r="H958" s="31">
        <f t="shared" si="99"/>
        <v>0</v>
      </c>
      <c r="I958" s="31">
        <f t="shared" si="100"/>
        <v>0</v>
      </c>
      <c r="J958" s="31">
        <f t="shared" si="101"/>
        <v>0</v>
      </c>
      <c r="M958" s="33">
        <f t="shared" ref="M958:M1021" si="102">IF(P958="TL tuyệt đối",0, IF(K958&lt;5,0,IF(K958&lt;50,K958*9%,IF(K958&lt;100,4.5,IF(K958&lt;200,4.5%*K958,IF(K958&lt;300,9,IF(K958&lt;500,K958*3%,IF(K958&lt;1000,15,))))))))</f>
        <v>0</v>
      </c>
      <c r="N958" s="33"/>
    </row>
    <row r="959" spans="7:14" ht="16.5" customHeight="1">
      <c r="G959" s="30">
        <f t="shared" si="98"/>
        <v>0</v>
      </c>
      <c r="H959" s="31">
        <f t="shared" si="99"/>
        <v>0</v>
      </c>
      <c r="I959" s="31">
        <f t="shared" si="100"/>
        <v>0</v>
      </c>
      <c r="J959" s="31">
        <f t="shared" si="101"/>
        <v>0</v>
      </c>
      <c r="M959" s="33">
        <f t="shared" si="102"/>
        <v>0</v>
      </c>
      <c r="N959" s="33"/>
    </row>
    <row r="960" spans="7:14" ht="16.5" customHeight="1">
      <c r="G960" s="30">
        <f t="shared" ref="G960:G1023" si="103">IF(P960="TL tuyệt đối",K960*103%,K960+1/3*M960)</f>
        <v>0</v>
      </c>
      <c r="H960" s="31">
        <f t="shared" ref="H960:H1023" si="104">IF(P960="TL tuyệt đối",K960*101%,K960-1/3*M960)</f>
        <v>0</v>
      </c>
      <c r="I960" s="31">
        <f t="shared" ref="I960:I1023" si="105">IF(P960="TL tuyệt đối", K960*105%,K960+M960)</f>
        <v>0</v>
      </c>
      <c r="J960" s="31">
        <f t="shared" si="101"/>
        <v>0</v>
      </c>
      <c r="M960" s="33">
        <f t="shared" si="102"/>
        <v>0</v>
      </c>
      <c r="N960" s="33"/>
    </row>
    <row r="961" spans="7:14" ht="16.5" customHeight="1">
      <c r="G961" s="30">
        <f t="shared" si="103"/>
        <v>0</v>
      </c>
      <c r="H961" s="31">
        <f t="shared" si="104"/>
        <v>0</v>
      </c>
      <c r="I961" s="31">
        <f t="shared" si="105"/>
        <v>0</v>
      </c>
      <c r="J961" s="31">
        <f t="shared" si="101"/>
        <v>0</v>
      </c>
      <c r="M961" s="33">
        <f t="shared" si="102"/>
        <v>0</v>
      </c>
      <c r="N961" s="33"/>
    </row>
    <row r="962" spans="7:14" ht="16.5" customHeight="1">
      <c r="G962" s="30">
        <f t="shared" si="103"/>
        <v>0</v>
      </c>
      <c r="H962" s="31">
        <f t="shared" si="104"/>
        <v>0</v>
      </c>
      <c r="I962" s="31">
        <f t="shared" si="105"/>
        <v>0</v>
      </c>
      <c r="J962" s="31">
        <f t="shared" si="101"/>
        <v>0</v>
      </c>
      <c r="M962" s="33">
        <f t="shared" si="102"/>
        <v>0</v>
      </c>
      <c r="N962" s="33"/>
    </row>
    <row r="963" spans="7:14" ht="16.5" customHeight="1">
      <c r="G963" s="30">
        <f t="shared" si="103"/>
        <v>0</v>
      </c>
      <c r="H963" s="31">
        <f t="shared" si="104"/>
        <v>0</v>
      </c>
      <c r="I963" s="31">
        <f t="shared" si="105"/>
        <v>0</v>
      </c>
      <c r="J963" s="31">
        <f t="shared" si="101"/>
        <v>0</v>
      </c>
      <c r="M963" s="33">
        <f t="shared" si="102"/>
        <v>0</v>
      </c>
      <c r="N963" s="33"/>
    </row>
    <row r="964" spans="7:14" ht="16.5" customHeight="1">
      <c r="G964" s="30">
        <f t="shared" si="103"/>
        <v>0</v>
      </c>
      <c r="H964" s="31">
        <f t="shared" si="104"/>
        <v>0</v>
      </c>
      <c r="I964" s="31">
        <f t="shared" si="105"/>
        <v>0</v>
      </c>
      <c r="J964" s="31">
        <f t="shared" ref="J964:J1027" si="106">K964-M964</f>
        <v>0</v>
      </c>
      <c r="M964" s="33">
        <f t="shared" si="102"/>
        <v>0</v>
      </c>
      <c r="N964" s="33"/>
    </row>
    <row r="965" spans="7:14" ht="16.5" customHeight="1">
      <c r="G965" s="30">
        <f t="shared" si="103"/>
        <v>0</v>
      </c>
      <c r="H965" s="31">
        <f t="shared" si="104"/>
        <v>0</v>
      </c>
      <c r="I965" s="31">
        <f t="shared" si="105"/>
        <v>0</v>
      </c>
      <c r="J965" s="31">
        <f t="shared" si="106"/>
        <v>0</v>
      </c>
      <c r="M965" s="33">
        <f t="shared" si="102"/>
        <v>0</v>
      </c>
      <c r="N965" s="33"/>
    </row>
    <row r="966" spans="7:14" ht="16.5" customHeight="1">
      <c r="G966" s="30">
        <f t="shared" si="103"/>
        <v>0</v>
      </c>
      <c r="H966" s="31">
        <f t="shared" si="104"/>
        <v>0</v>
      </c>
      <c r="I966" s="31">
        <f t="shared" si="105"/>
        <v>0</v>
      </c>
      <c r="J966" s="31">
        <f t="shared" si="106"/>
        <v>0</v>
      </c>
      <c r="M966" s="33">
        <f t="shared" si="102"/>
        <v>0</v>
      </c>
      <c r="N966" s="33"/>
    </row>
    <row r="967" spans="7:14" ht="16.5" customHeight="1">
      <c r="G967" s="30">
        <f t="shared" si="103"/>
        <v>0</v>
      </c>
      <c r="H967" s="31">
        <f t="shared" si="104"/>
        <v>0</v>
      </c>
      <c r="I967" s="31">
        <f t="shared" si="105"/>
        <v>0</v>
      </c>
      <c r="J967" s="31">
        <f t="shared" si="106"/>
        <v>0</v>
      </c>
      <c r="M967" s="33">
        <f t="shared" si="102"/>
        <v>0</v>
      </c>
      <c r="N967" s="33"/>
    </row>
    <row r="968" spans="7:14" ht="16.5" customHeight="1">
      <c r="G968" s="30">
        <f t="shared" si="103"/>
        <v>0</v>
      </c>
      <c r="H968" s="31">
        <f t="shared" si="104"/>
        <v>0</v>
      </c>
      <c r="I968" s="31">
        <f t="shared" si="105"/>
        <v>0</v>
      </c>
      <c r="J968" s="31">
        <f t="shared" si="106"/>
        <v>0</v>
      </c>
      <c r="M968" s="33">
        <f t="shared" si="102"/>
        <v>0</v>
      </c>
      <c r="N968" s="33"/>
    </row>
    <row r="969" spans="7:14" ht="16.5" customHeight="1">
      <c r="G969" s="30">
        <f t="shared" si="103"/>
        <v>0</v>
      </c>
      <c r="H969" s="31">
        <f t="shared" si="104"/>
        <v>0</v>
      </c>
      <c r="I969" s="31">
        <f t="shared" si="105"/>
        <v>0</v>
      </c>
      <c r="J969" s="31">
        <f t="shared" si="106"/>
        <v>0</v>
      </c>
      <c r="M969" s="33">
        <f t="shared" si="102"/>
        <v>0</v>
      </c>
      <c r="N969" s="33"/>
    </row>
    <row r="970" spans="7:14" ht="16.5" customHeight="1">
      <c r="G970" s="30">
        <f t="shared" si="103"/>
        <v>0</v>
      </c>
      <c r="H970" s="31">
        <f t="shared" si="104"/>
        <v>0</v>
      </c>
      <c r="I970" s="31">
        <f t="shared" si="105"/>
        <v>0</v>
      </c>
      <c r="J970" s="31">
        <f t="shared" si="106"/>
        <v>0</v>
      </c>
      <c r="M970" s="33">
        <f t="shared" si="102"/>
        <v>0</v>
      </c>
      <c r="N970" s="33"/>
    </row>
    <row r="971" spans="7:14" ht="16.5" customHeight="1">
      <c r="G971" s="30">
        <f t="shared" si="103"/>
        <v>0</v>
      </c>
      <c r="H971" s="31">
        <f t="shared" si="104"/>
        <v>0</v>
      </c>
      <c r="I971" s="31">
        <f t="shared" si="105"/>
        <v>0</v>
      </c>
      <c r="J971" s="31">
        <f t="shared" si="106"/>
        <v>0</v>
      </c>
      <c r="M971" s="33">
        <f t="shared" si="102"/>
        <v>0</v>
      </c>
      <c r="N971" s="33"/>
    </row>
    <row r="972" spans="7:14" ht="16.5" customHeight="1">
      <c r="G972" s="30">
        <f t="shared" si="103"/>
        <v>0</v>
      </c>
      <c r="H972" s="31">
        <f t="shared" si="104"/>
        <v>0</v>
      </c>
      <c r="I972" s="31">
        <f t="shared" si="105"/>
        <v>0</v>
      </c>
      <c r="J972" s="31">
        <f t="shared" si="106"/>
        <v>0</v>
      </c>
      <c r="M972" s="33">
        <f t="shared" si="102"/>
        <v>0</v>
      </c>
      <c r="N972" s="33"/>
    </row>
    <row r="973" spans="7:14" ht="16.5" customHeight="1">
      <c r="G973" s="30">
        <f t="shared" si="103"/>
        <v>0</v>
      </c>
      <c r="H973" s="31">
        <f t="shared" si="104"/>
        <v>0</v>
      </c>
      <c r="I973" s="31">
        <f t="shared" si="105"/>
        <v>0</v>
      </c>
      <c r="J973" s="31">
        <f t="shared" si="106"/>
        <v>0</v>
      </c>
      <c r="M973" s="33">
        <f t="shared" si="102"/>
        <v>0</v>
      </c>
      <c r="N973" s="33"/>
    </row>
    <row r="974" spans="7:14" ht="16.5" customHeight="1">
      <c r="G974" s="30">
        <f t="shared" si="103"/>
        <v>0</v>
      </c>
      <c r="H974" s="31">
        <f t="shared" si="104"/>
        <v>0</v>
      </c>
      <c r="I974" s="31">
        <f t="shared" si="105"/>
        <v>0</v>
      </c>
      <c r="J974" s="31">
        <f t="shared" si="106"/>
        <v>0</v>
      </c>
      <c r="M974" s="33">
        <f t="shared" si="102"/>
        <v>0</v>
      </c>
      <c r="N974" s="33"/>
    </row>
    <row r="975" spans="7:14" ht="16.5" customHeight="1">
      <c r="G975" s="30">
        <f t="shared" si="103"/>
        <v>0</v>
      </c>
      <c r="H975" s="31">
        <f t="shared" si="104"/>
        <v>0</v>
      </c>
      <c r="I975" s="31">
        <f t="shared" si="105"/>
        <v>0</v>
      </c>
      <c r="J975" s="31">
        <f t="shared" si="106"/>
        <v>0</v>
      </c>
      <c r="M975" s="33">
        <f t="shared" si="102"/>
        <v>0</v>
      </c>
      <c r="N975" s="33"/>
    </row>
    <row r="976" spans="7:14" ht="16.5" customHeight="1">
      <c r="G976" s="30">
        <f t="shared" si="103"/>
        <v>0</v>
      </c>
      <c r="H976" s="31">
        <f t="shared" si="104"/>
        <v>0</v>
      </c>
      <c r="I976" s="31">
        <f t="shared" si="105"/>
        <v>0</v>
      </c>
      <c r="J976" s="31">
        <f t="shared" si="106"/>
        <v>0</v>
      </c>
      <c r="M976" s="33">
        <f t="shared" si="102"/>
        <v>0</v>
      </c>
      <c r="N976" s="33"/>
    </row>
    <row r="977" spans="7:14" ht="16.5" customHeight="1">
      <c r="G977" s="30">
        <f t="shared" si="103"/>
        <v>0</v>
      </c>
      <c r="H977" s="31">
        <f t="shared" si="104"/>
        <v>0</v>
      </c>
      <c r="I977" s="31">
        <f t="shared" si="105"/>
        <v>0</v>
      </c>
      <c r="J977" s="31">
        <f t="shared" si="106"/>
        <v>0</v>
      </c>
      <c r="M977" s="33">
        <f t="shared" si="102"/>
        <v>0</v>
      </c>
      <c r="N977" s="33"/>
    </row>
    <row r="978" spans="7:14" ht="16.5" customHeight="1">
      <c r="G978" s="30">
        <f t="shared" si="103"/>
        <v>0</v>
      </c>
      <c r="H978" s="31">
        <f t="shared" si="104"/>
        <v>0</v>
      </c>
      <c r="I978" s="31">
        <f t="shared" si="105"/>
        <v>0</v>
      </c>
      <c r="J978" s="31">
        <f t="shared" si="106"/>
        <v>0</v>
      </c>
      <c r="M978" s="33">
        <f t="shared" si="102"/>
        <v>0</v>
      </c>
      <c r="N978" s="33"/>
    </row>
    <row r="979" spans="7:14" ht="16.5" customHeight="1">
      <c r="G979" s="30">
        <f t="shared" si="103"/>
        <v>0</v>
      </c>
      <c r="H979" s="31">
        <f t="shared" si="104"/>
        <v>0</v>
      </c>
      <c r="I979" s="31">
        <f t="shared" si="105"/>
        <v>0</v>
      </c>
      <c r="J979" s="31">
        <f t="shared" si="106"/>
        <v>0</v>
      </c>
      <c r="M979" s="33">
        <f t="shared" si="102"/>
        <v>0</v>
      </c>
      <c r="N979" s="33"/>
    </row>
    <row r="980" spans="7:14" ht="16.5" customHeight="1">
      <c r="G980" s="30">
        <f t="shared" si="103"/>
        <v>0</v>
      </c>
      <c r="H980" s="31">
        <f t="shared" si="104"/>
        <v>0</v>
      </c>
      <c r="I980" s="31">
        <f t="shared" si="105"/>
        <v>0</v>
      </c>
      <c r="J980" s="31">
        <f t="shared" si="106"/>
        <v>0</v>
      </c>
      <c r="M980" s="33">
        <f t="shared" si="102"/>
        <v>0</v>
      </c>
      <c r="N980" s="33"/>
    </row>
    <row r="981" spans="7:14" ht="16.5" customHeight="1">
      <c r="G981" s="30">
        <f t="shared" si="103"/>
        <v>0</v>
      </c>
      <c r="H981" s="31">
        <f t="shared" si="104"/>
        <v>0</v>
      </c>
      <c r="I981" s="31">
        <f t="shared" si="105"/>
        <v>0</v>
      </c>
      <c r="J981" s="31">
        <f t="shared" si="106"/>
        <v>0</v>
      </c>
      <c r="M981" s="33">
        <f t="shared" si="102"/>
        <v>0</v>
      </c>
      <c r="N981" s="33"/>
    </row>
    <row r="982" spans="7:14" ht="16.5" customHeight="1">
      <c r="G982" s="30">
        <f t="shared" si="103"/>
        <v>0</v>
      </c>
      <c r="H982" s="31">
        <f t="shared" si="104"/>
        <v>0</v>
      </c>
      <c r="I982" s="31">
        <f t="shared" si="105"/>
        <v>0</v>
      </c>
      <c r="J982" s="31">
        <f t="shared" si="106"/>
        <v>0</v>
      </c>
      <c r="M982" s="33">
        <f t="shared" si="102"/>
        <v>0</v>
      </c>
      <c r="N982" s="33"/>
    </row>
    <row r="983" spans="7:14" ht="16.5" customHeight="1">
      <c r="G983" s="30">
        <f t="shared" si="103"/>
        <v>0</v>
      </c>
      <c r="H983" s="31">
        <f t="shared" si="104"/>
        <v>0</v>
      </c>
      <c r="I983" s="31">
        <f t="shared" si="105"/>
        <v>0</v>
      </c>
      <c r="J983" s="31">
        <f t="shared" si="106"/>
        <v>0</v>
      </c>
      <c r="M983" s="33">
        <f t="shared" si="102"/>
        <v>0</v>
      </c>
      <c r="N983" s="33"/>
    </row>
    <row r="984" spans="7:14" ht="16.5" customHeight="1">
      <c r="G984" s="30">
        <f t="shared" si="103"/>
        <v>0</v>
      </c>
      <c r="H984" s="31">
        <f t="shared" si="104"/>
        <v>0</v>
      </c>
      <c r="I984" s="31">
        <f t="shared" si="105"/>
        <v>0</v>
      </c>
      <c r="J984" s="31">
        <f t="shared" si="106"/>
        <v>0</v>
      </c>
      <c r="M984" s="33">
        <f t="shared" si="102"/>
        <v>0</v>
      </c>
      <c r="N984" s="33"/>
    </row>
    <row r="985" spans="7:14" ht="16.5" customHeight="1">
      <c r="G985" s="30">
        <f t="shared" si="103"/>
        <v>0</v>
      </c>
      <c r="H985" s="31">
        <f t="shared" si="104"/>
        <v>0</v>
      </c>
      <c r="I985" s="31">
        <f t="shared" si="105"/>
        <v>0</v>
      </c>
      <c r="J985" s="31">
        <f t="shared" si="106"/>
        <v>0</v>
      </c>
      <c r="M985" s="33">
        <f t="shared" si="102"/>
        <v>0</v>
      </c>
      <c r="N985" s="33"/>
    </row>
    <row r="986" spans="7:14" ht="16.5" customHeight="1">
      <c r="G986" s="30">
        <f t="shared" si="103"/>
        <v>0</v>
      </c>
      <c r="H986" s="31">
        <f t="shared" si="104"/>
        <v>0</v>
      </c>
      <c r="I986" s="31">
        <f t="shared" si="105"/>
        <v>0</v>
      </c>
      <c r="J986" s="31">
        <f t="shared" si="106"/>
        <v>0</v>
      </c>
      <c r="M986" s="33">
        <f t="shared" si="102"/>
        <v>0</v>
      </c>
      <c r="N986" s="33"/>
    </row>
    <row r="987" spans="7:14" ht="16.5" customHeight="1">
      <c r="G987" s="30">
        <f t="shared" si="103"/>
        <v>0</v>
      </c>
      <c r="H987" s="31">
        <f t="shared" si="104"/>
        <v>0</v>
      </c>
      <c r="I987" s="31">
        <f t="shared" si="105"/>
        <v>0</v>
      </c>
      <c r="J987" s="31">
        <f t="shared" si="106"/>
        <v>0</v>
      </c>
      <c r="M987" s="33">
        <f t="shared" si="102"/>
        <v>0</v>
      </c>
      <c r="N987" s="33"/>
    </row>
    <row r="988" spans="7:14" ht="16.5" customHeight="1">
      <c r="G988" s="30">
        <f t="shared" si="103"/>
        <v>0</v>
      </c>
      <c r="H988" s="31">
        <f t="shared" si="104"/>
        <v>0</v>
      </c>
      <c r="I988" s="31">
        <f t="shared" si="105"/>
        <v>0</v>
      </c>
      <c r="J988" s="31">
        <f t="shared" si="106"/>
        <v>0</v>
      </c>
      <c r="M988" s="33">
        <f t="shared" si="102"/>
        <v>0</v>
      </c>
      <c r="N988" s="33"/>
    </row>
    <row r="989" spans="7:14" ht="16.5" customHeight="1">
      <c r="G989" s="30">
        <f t="shared" si="103"/>
        <v>0</v>
      </c>
      <c r="H989" s="31">
        <f t="shared" si="104"/>
        <v>0</v>
      </c>
      <c r="I989" s="31">
        <f t="shared" si="105"/>
        <v>0</v>
      </c>
      <c r="J989" s="31">
        <f t="shared" si="106"/>
        <v>0</v>
      </c>
      <c r="M989" s="33">
        <f t="shared" si="102"/>
        <v>0</v>
      </c>
      <c r="N989" s="33"/>
    </row>
    <row r="990" spans="7:14" ht="16.5" customHeight="1">
      <c r="G990" s="30">
        <f t="shared" si="103"/>
        <v>0</v>
      </c>
      <c r="H990" s="31">
        <f t="shared" si="104"/>
        <v>0</v>
      </c>
      <c r="I990" s="31">
        <f t="shared" si="105"/>
        <v>0</v>
      </c>
      <c r="J990" s="31">
        <f t="shared" si="106"/>
        <v>0</v>
      </c>
      <c r="M990" s="33">
        <f t="shared" si="102"/>
        <v>0</v>
      </c>
      <c r="N990" s="33"/>
    </row>
    <row r="991" spans="7:14" ht="16.5" customHeight="1">
      <c r="G991" s="30">
        <f t="shared" si="103"/>
        <v>0</v>
      </c>
      <c r="H991" s="31">
        <f t="shared" si="104"/>
        <v>0</v>
      </c>
      <c r="I991" s="31">
        <f t="shared" si="105"/>
        <v>0</v>
      </c>
      <c r="J991" s="31">
        <f t="shared" si="106"/>
        <v>0</v>
      </c>
      <c r="M991" s="33">
        <f t="shared" si="102"/>
        <v>0</v>
      </c>
      <c r="N991" s="33"/>
    </row>
    <row r="992" spans="7:14" ht="16.5" customHeight="1">
      <c r="G992" s="30">
        <f t="shared" si="103"/>
        <v>0</v>
      </c>
      <c r="H992" s="31">
        <f t="shared" si="104"/>
        <v>0</v>
      </c>
      <c r="I992" s="31">
        <f t="shared" si="105"/>
        <v>0</v>
      </c>
      <c r="J992" s="31">
        <f t="shared" si="106"/>
        <v>0</v>
      </c>
      <c r="M992" s="33">
        <f t="shared" si="102"/>
        <v>0</v>
      </c>
      <c r="N992" s="33"/>
    </row>
    <row r="993" spans="7:14" ht="16.5" customHeight="1">
      <c r="G993" s="30">
        <f t="shared" si="103"/>
        <v>0</v>
      </c>
      <c r="H993" s="31">
        <f t="shared" si="104"/>
        <v>0</v>
      </c>
      <c r="I993" s="31">
        <f t="shared" si="105"/>
        <v>0</v>
      </c>
      <c r="J993" s="31">
        <f t="shared" si="106"/>
        <v>0</v>
      </c>
      <c r="M993" s="33">
        <f t="shared" si="102"/>
        <v>0</v>
      </c>
      <c r="N993" s="33"/>
    </row>
    <row r="994" spans="7:14" ht="16.5" customHeight="1">
      <c r="G994" s="30">
        <f t="shared" si="103"/>
        <v>0</v>
      </c>
      <c r="H994" s="31">
        <f t="shared" si="104"/>
        <v>0</v>
      </c>
      <c r="I994" s="31">
        <f t="shared" si="105"/>
        <v>0</v>
      </c>
      <c r="J994" s="31">
        <f t="shared" si="106"/>
        <v>0</v>
      </c>
      <c r="M994" s="33">
        <f t="shared" si="102"/>
        <v>0</v>
      </c>
      <c r="N994" s="33"/>
    </row>
    <row r="995" spans="7:14" ht="16.5" customHeight="1">
      <c r="G995" s="30">
        <f t="shared" si="103"/>
        <v>0</v>
      </c>
      <c r="H995" s="31">
        <f t="shared" si="104"/>
        <v>0</v>
      </c>
      <c r="I995" s="31">
        <f t="shared" si="105"/>
        <v>0</v>
      </c>
      <c r="J995" s="31">
        <f t="shared" si="106"/>
        <v>0</v>
      </c>
      <c r="M995" s="33">
        <f t="shared" si="102"/>
        <v>0</v>
      </c>
      <c r="N995" s="33"/>
    </row>
    <row r="996" spans="7:14" ht="16.5" customHeight="1">
      <c r="G996" s="30">
        <f t="shared" si="103"/>
        <v>0</v>
      </c>
      <c r="H996" s="31">
        <f t="shared" si="104"/>
        <v>0</v>
      </c>
      <c r="I996" s="31">
        <f t="shared" si="105"/>
        <v>0</v>
      </c>
      <c r="J996" s="31">
        <f t="shared" si="106"/>
        <v>0</v>
      </c>
      <c r="M996" s="33">
        <f t="shared" si="102"/>
        <v>0</v>
      </c>
      <c r="N996" s="33"/>
    </row>
    <row r="997" spans="7:14" ht="16.5" customHeight="1">
      <c r="G997" s="30">
        <f t="shared" si="103"/>
        <v>0</v>
      </c>
      <c r="H997" s="31">
        <f t="shared" si="104"/>
        <v>0</v>
      </c>
      <c r="I997" s="31">
        <f t="shared" si="105"/>
        <v>0</v>
      </c>
      <c r="J997" s="31">
        <f t="shared" si="106"/>
        <v>0</v>
      </c>
      <c r="M997" s="33">
        <f t="shared" si="102"/>
        <v>0</v>
      </c>
      <c r="N997" s="33"/>
    </row>
    <row r="998" spans="7:14" ht="16.5" customHeight="1">
      <c r="G998" s="30">
        <f t="shared" si="103"/>
        <v>0</v>
      </c>
      <c r="H998" s="31">
        <f t="shared" si="104"/>
        <v>0</v>
      </c>
      <c r="I998" s="31">
        <f t="shared" si="105"/>
        <v>0</v>
      </c>
      <c r="J998" s="31">
        <f t="shared" si="106"/>
        <v>0</v>
      </c>
      <c r="M998" s="33">
        <f t="shared" si="102"/>
        <v>0</v>
      </c>
      <c r="N998" s="33"/>
    </row>
    <row r="999" spans="7:14" ht="16.5" customHeight="1">
      <c r="G999" s="30">
        <f t="shared" si="103"/>
        <v>0</v>
      </c>
      <c r="H999" s="31">
        <f t="shared" si="104"/>
        <v>0</v>
      </c>
      <c r="I999" s="31">
        <f t="shared" si="105"/>
        <v>0</v>
      </c>
      <c r="J999" s="31">
        <f t="shared" si="106"/>
        <v>0</v>
      </c>
      <c r="M999" s="33">
        <f t="shared" si="102"/>
        <v>0</v>
      </c>
      <c r="N999" s="33"/>
    </row>
    <row r="1000" spans="7:14" ht="16.5" customHeight="1">
      <c r="G1000" s="30">
        <f t="shared" si="103"/>
        <v>0</v>
      </c>
      <c r="H1000" s="31">
        <f t="shared" si="104"/>
        <v>0</v>
      </c>
      <c r="I1000" s="31">
        <f t="shared" si="105"/>
        <v>0</v>
      </c>
      <c r="J1000" s="31">
        <f t="shared" si="106"/>
        <v>0</v>
      </c>
      <c r="M1000" s="33">
        <f t="shared" si="102"/>
        <v>0</v>
      </c>
      <c r="N1000" s="33"/>
    </row>
    <row r="1001" spans="7:14" ht="16.5" customHeight="1">
      <c r="G1001" s="30">
        <f t="shared" si="103"/>
        <v>0</v>
      </c>
      <c r="H1001" s="31">
        <f t="shared" si="104"/>
        <v>0</v>
      </c>
      <c r="I1001" s="31">
        <f t="shared" si="105"/>
        <v>0</v>
      </c>
      <c r="J1001" s="31">
        <f t="shared" si="106"/>
        <v>0</v>
      </c>
      <c r="M1001" s="33">
        <f t="shared" si="102"/>
        <v>0</v>
      </c>
      <c r="N1001" s="33"/>
    </row>
    <row r="1002" spans="7:14" ht="16.5" customHeight="1">
      <c r="G1002" s="30">
        <f t="shared" si="103"/>
        <v>0</v>
      </c>
      <c r="H1002" s="31">
        <f t="shared" si="104"/>
        <v>0</v>
      </c>
      <c r="I1002" s="31">
        <f t="shared" si="105"/>
        <v>0</v>
      </c>
      <c r="J1002" s="31">
        <f t="shared" si="106"/>
        <v>0</v>
      </c>
      <c r="M1002" s="33">
        <f t="shared" si="102"/>
        <v>0</v>
      </c>
      <c r="N1002" s="33"/>
    </row>
    <row r="1003" spans="7:14" ht="16.5" customHeight="1">
      <c r="G1003" s="30">
        <f t="shared" si="103"/>
        <v>0</v>
      </c>
      <c r="H1003" s="31">
        <f t="shared" si="104"/>
        <v>0</v>
      </c>
      <c r="I1003" s="31">
        <f t="shared" si="105"/>
        <v>0</v>
      </c>
      <c r="J1003" s="31">
        <f t="shared" si="106"/>
        <v>0</v>
      </c>
      <c r="M1003" s="33">
        <f t="shared" si="102"/>
        <v>0</v>
      </c>
      <c r="N1003" s="33"/>
    </row>
    <row r="1004" spans="7:14" ht="16.5" customHeight="1">
      <c r="G1004" s="30">
        <f t="shared" si="103"/>
        <v>0</v>
      </c>
      <c r="H1004" s="31">
        <f t="shared" si="104"/>
        <v>0</v>
      </c>
      <c r="I1004" s="31">
        <f t="shared" si="105"/>
        <v>0</v>
      </c>
      <c r="J1004" s="31">
        <f t="shared" si="106"/>
        <v>0</v>
      </c>
      <c r="M1004" s="33">
        <f t="shared" si="102"/>
        <v>0</v>
      </c>
      <c r="N1004" s="33"/>
    </row>
    <row r="1005" spans="7:14" ht="16.5" customHeight="1">
      <c r="G1005" s="30">
        <f t="shared" si="103"/>
        <v>0</v>
      </c>
      <c r="H1005" s="31">
        <f t="shared" si="104"/>
        <v>0</v>
      </c>
      <c r="I1005" s="31">
        <f t="shared" si="105"/>
        <v>0</v>
      </c>
      <c r="J1005" s="31">
        <f t="shared" si="106"/>
        <v>0</v>
      </c>
      <c r="M1005" s="33">
        <f t="shared" si="102"/>
        <v>0</v>
      </c>
      <c r="N1005" s="33"/>
    </row>
    <row r="1006" spans="7:14" ht="16.5" customHeight="1">
      <c r="G1006" s="30">
        <f t="shared" si="103"/>
        <v>0</v>
      </c>
      <c r="H1006" s="31">
        <f t="shared" si="104"/>
        <v>0</v>
      </c>
      <c r="I1006" s="31">
        <f t="shared" si="105"/>
        <v>0</v>
      </c>
      <c r="J1006" s="31">
        <f t="shared" si="106"/>
        <v>0</v>
      </c>
      <c r="M1006" s="33">
        <f t="shared" si="102"/>
        <v>0</v>
      </c>
      <c r="N1006" s="33"/>
    </row>
    <row r="1007" spans="7:14" ht="16.5" customHeight="1">
      <c r="G1007" s="30">
        <f t="shared" si="103"/>
        <v>0</v>
      </c>
      <c r="H1007" s="31">
        <f t="shared" si="104"/>
        <v>0</v>
      </c>
      <c r="I1007" s="31">
        <f t="shared" si="105"/>
        <v>0</v>
      </c>
      <c r="J1007" s="31">
        <f t="shared" si="106"/>
        <v>0</v>
      </c>
      <c r="M1007" s="33">
        <f t="shared" si="102"/>
        <v>0</v>
      </c>
      <c r="N1007" s="33"/>
    </row>
    <row r="1008" spans="7:14" ht="16.5" customHeight="1">
      <c r="G1008" s="30">
        <f t="shared" si="103"/>
        <v>0</v>
      </c>
      <c r="H1008" s="31">
        <f t="shared" si="104"/>
        <v>0</v>
      </c>
      <c r="I1008" s="31">
        <f t="shared" si="105"/>
        <v>0</v>
      </c>
      <c r="J1008" s="31">
        <f t="shared" si="106"/>
        <v>0</v>
      </c>
      <c r="M1008" s="33">
        <f t="shared" si="102"/>
        <v>0</v>
      </c>
      <c r="N1008" s="33"/>
    </row>
    <row r="1009" spans="7:14" ht="16.5" customHeight="1">
      <c r="G1009" s="30">
        <f t="shared" si="103"/>
        <v>0</v>
      </c>
      <c r="H1009" s="31">
        <f t="shared" si="104"/>
        <v>0</v>
      </c>
      <c r="I1009" s="31">
        <f t="shared" si="105"/>
        <v>0</v>
      </c>
      <c r="J1009" s="31">
        <f t="shared" si="106"/>
        <v>0</v>
      </c>
      <c r="M1009" s="33">
        <f t="shared" si="102"/>
        <v>0</v>
      </c>
      <c r="N1009" s="33"/>
    </row>
    <row r="1010" spans="7:14" ht="16.5" customHeight="1">
      <c r="G1010" s="30">
        <f t="shared" si="103"/>
        <v>0</v>
      </c>
      <c r="H1010" s="31">
        <f t="shared" si="104"/>
        <v>0</v>
      </c>
      <c r="I1010" s="31">
        <f t="shared" si="105"/>
        <v>0</v>
      </c>
      <c r="J1010" s="31">
        <f t="shared" si="106"/>
        <v>0</v>
      </c>
      <c r="M1010" s="33">
        <f t="shared" si="102"/>
        <v>0</v>
      </c>
      <c r="N1010" s="33"/>
    </row>
    <row r="1011" spans="7:14" ht="16.5" customHeight="1">
      <c r="G1011" s="30">
        <f t="shared" si="103"/>
        <v>0</v>
      </c>
      <c r="H1011" s="31">
        <f t="shared" si="104"/>
        <v>0</v>
      </c>
      <c r="I1011" s="31">
        <f t="shared" si="105"/>
        <v>0</v>
      </c>
      <c r="J1011" s="31">
        <f t="shared" si="106"/>
        <v>0</v>
      </c>
      <c r="M1011" s="33">
        <f t="shared" si="102"/>
        <v>0</v>
      </c>
      <c r="N1011" s="33"/>
    </row>
    <row r="1012" spans="7:14" ht="16.5" customHeight="1">
      <c r="G1012" s="30">
        <f t="shared" si="103"/>
        <v>0</v>
      </c>
      <c r="H1012" s="31">
        <f t="shared" si="104"/>
        <v>0</v>
      </c>
      <c r="I1012" s="31">
        <f t="shared" si="105"/>
        <v>0</v>
      </c>
      <c r="J1012" s="31">
        <f t="shared" si="106"/>
        <v>0</v>
      </c>
      <c r="M1012" s="33">
        <f t="shared" si="102"/>
        <v>0</v>
      </c>
      <c r="N1012" s="33"/>
    </row>
    <row r="1013" spans="7:14" ht="16.5" customHeight="1">
      <c r="G1013" s="30">
        <f t="shared" si="103"/>
        <v>0</v>
      </c>
      <c r="H1013" s="31">
        <f t="shared" si="104"/>
        <v>0</v>
      </c>
      <c r="I1013" s="31">
        <f t="shared" si="105"/>
        <v>0</v>
      </c>
      <c r="J1013" s="31">
        <f t="shared" si="106"/>
        <v>0</v>
      </c>
      <c r="M1013" s="33">
        <f t="shared" si="102"/>
        <v>0</v>
      </c>
      <c r="N1013" s="33"/>
    </row>
    <row r="1014" spans="7:14" ht="16.5" customHeight="1">
      <c r="G1014" s="30">
        <f t="shared" si="103"/>
        <v>0</v>
      </c>
      <c r="H1014" s="31">
        <f t="shared" si="104"/>
        <v>0</v>
      </c>
      <c r="I1014" s="31">
        <f t="shared" si="105"/>
        <v>0</v>
      </c>
      <c r="J1014" s="31">
        <f t="shared" si="106"/>
        <v>0</v>
      </c>
      <c r="M1014" s="33">
        <f t="shared" si="102"/>
        <v>0</v>
      </c>
      <c r="N1014" s="33"/>
    </row>
    <row r="1015" spans="7:14" ht="16.5" customHeight="1">
      <c r="G1015" s="30">
        <f t="shared" si="103"/>
        <v>0</v>
      </c>
      <c r="H1015" s="31">
        <f t="shared" si="104"/>
        <v>0</v>
      </c>
      <c r="I1015" s="31">
        <f t="shared" si="105"/>
        <v>0</v>
      </c>
      <c r="J1015" s="31">
        <f t="shared" si="106"/>
        <v>0</v>
      </c>
      <c r="M1015" s="33">
        <f t="shared" si="102"/>
        <v>0</v>
      </c>
      <c r="N1015" s="33"/>
    </row>
    <row r="1016" spans="7:14" ht="16.5" customHeight="1">
      <c r="G1016" s="30">
        <f t="shared" si="103"/>
        <v>0</v>
      </c>
      <c r="H1016" s="31">
        <f t="shared" si="104"/>
        <v>0</v>
      </c>
      <c r="I1016" s="31">
        <f t="shared" si="105"/>
        <v>0</v>
      </c>
      <c r="J1016" s="31">
        <f t="shared" si="106"/>
        <v>0</v>
      </c>
      <c r="M1016" s="33">
        <f t="shared" si="102"/>
        <v>0</v>
      </c>
      <c r="N1016" s="33"/>
    </row>
    <row r="1017" spans="7:14" ht="16.5" customHeight="1">
      <c r="G1017" s="30">
        <f t="shared" si="103"/>
        <v>0</v>
      </c>
      <c r="H1017" s="31">
        <f t="shared" si="104"/>
        <v>0</v>
      </c>
      <c r="I1017" s="31">
        <f t="shared" si="105"/>
        <v>0</v>
      </c>
      <c r="J1017" s="31">
        <f t="shared" si="106"/>
        <v>0</v>
      </c>
      <c r="M1017" s="33">
        <f t="shared" si="102"/>
        <v>0</v>
      </c>
      <c r="N1017" s="33"/>
    </row>
    <row r="1018" spans="7:14" ht="16.5" customHeight="1">
      <c r="G1018" s="30">
        <f t="shared" si="103"/>
        <v>0</v>
      </c>
      <c r="H1018" s="31">
        <f t="shared" si="104"/>
        <v>0</v>
      </c>
      <c r="I1018" s="31">
        <f t="shared" si="105"/>
        <v>0</v>
      </c>
      <c r="J1018" s="31">
        <f t="shared" si="106"/>
        <v>0</v>
      </c>
      <c r="M1018" s="33">
        <f t="shared" si="102"/>
        <v>0</v>
      </c>
      <c r="N1018" s="33"/>
    </row>
    <row r="1019" spans="7:14" ht="16.5" customHeight="1">
      <c r="G1019" s="30">
        <f t="shared" si="103"/>
        <v>0</v>
      </c>
      <c r="H1019" s="31">
        <f t="shared" si="104"/>
        <v>0</v>
      </c>
      <c r="I1019" s="31">
        <f t="shared" si="105"/>
        <v>0</v>
      </c>
      <c r="J1019" s="31">
        <f t="shared" si="106"/>
        <v>0</v>
      </c>
      <c r="M1019" s="33">
        <f t="shared" si="102"/>
        <v>0</v>
      </c>
      <c r="N1019" s="33"/>
    </row>
    <row r="1020" spans="7:14" ht="16.5" customHeight="1">
      <c r="G1020" s="30">
        <f t="shared" si="103"/>
        <v>0</v>
      </c>
      <c r="H1020" s="31">
        <f t="shared" si="104"/>
        <v>0</v>
      </c>
      <c r="I1020" s="31">
        <f t="shared" si="105"/>
        <v>0</v>
      </c>
      <c r="J1020" s="31">
        <f t="shared" si="106"/>
        <v>0</v>
      </c>
      <c r="M1020" s="33">
        <f t="shared" si="102"/>
        <v>0</v>
      </c>
      <c r="N1020" s="33"/>
    </row>
    <row r="1021" spans="7:14" ht="16.5" customHeight="1">
      <c r="G1021" s="30">
        <f t="shared" si="103"/>
        <v>0</v>
      </c>
      <c r="H1021" s="31">
        <f t="shared" si="104"/>
        <v>0</v>
      </c>
      <c r="I1021" s="31">
        <f t="shared" si="105"/>
        <v>0</v>
      </c>
      <c r="J1021" s="31">
        <f t="shared" si="106"/>
        <v>0</v>
      </c>
      <c r="M1021" s="33">
        <f t="shared" si="102"/>
        <v>0</v>
      </c>
      <c r="N1021" s="33"/>
    </row>
    <row r="1022" spans="7:14" ht="16.5" customHeight="1">
      <c r="G1022" s="30">
        <f t="shared" si="103"/>
        <v>0</v>
      </c>
      <c r="H1022" s="31">
        <f t="shared" si="104"/>
        <v>0</v>
      </c>
      <c r="I1022" s="31">
        <f t="shared" si="105"/>
        <v>0</v>
      </c>
      <c r="J1022" s="31">
        <f t="shared" si="106"/>
        <v>0</v>
      </c>
      <c r="M1022" s="33">
        <f t="shared" ref="M1022:M1085" si="107">IF(P1022="TL tuyệt đối",0, IF(K1022&lt;5,0,IF(K1022&lt;50,K1022*9%,IF(K1022&lt;100,4.5,IF(K1022&lt;200,4.5%*K1022,IF(K1022&lt;300,9,IF(K1022&lt;500,K1022*3%,IF(K1022&lt;1000,15,))))))))</f>
        <v>0</v>
      </c>
      <c r="N1022" s="33"/>
    </row>
    <row r="1023" spans="7:14" ht="16.5" customHeight="1">
      <c r="G1023" s="30">
        <f t="shared" si="103"/>
        <v>0</v>
      </c>
      <c r="H1023" s="31">
        <f t="shared" si="104"/>
        <v>0</v>
      </c>
      <c r="I1023" s="31">
        <f t="shared" si="105"/>
        <v>0</v>
      </c>
      <c r="J1023" s="31">
        <f t="shared" si="106"/>
        <v>0</v>
      </c>
      <c r="M1023" s="33">
        <f t="shared" si="107"/>
        <v>0</v>
      </c>
      <c r="N1023" s="33"/>
    </row>
    <row r="1024" spans="7:14" ht="16.5" customHeight="1">
      <c r="G1024" s="30">
        <f t="shared" ref="G1024:G1087" si="108">IF(P1024="TL tuyệt đối",K1024*103%,K1024+1/3*M1024)</f>
        <v>0</v>
      </c>
      <c r="H1024" s="31">
        <f t="shared" ref="H1024:H1087" si="109">IF(P1024="TL tuyệt đối",K1024*101%,K1024-1/3*M1024)</f>
        <v>0</v>
      </c>
      <c r="I1024" s="31">
        <f t="shared" ref="I1024:I1087" si="110">IF(P1024="TL tuyệt đối", K1024*105%,K1024+M1024)</f>
        <v>0</v>
      </c>
      <c r="J1024" s="31">
        <f t="shared" si="106"/>
        <v>0</v>
      </c>
      <c r="M1024" s="33">
        <f t="shared" si="107"/>
        <v>0</v>
      </c>
      <c r="N1024" s="33"/>
    </row>
    <row r="1025" spans="7:14" ht="16.5" customHeight="1">
      <c r="G1025" s="30">
        <f t="shared" si="108"/>
        <v>0</v>
      </c>
      <c r="H1025" s="31">
        <f t="shared" si="109"/>
        <v>0</v>
      </c>
      <c r="I1025" s="31">
        <f t="shared" si="110"/>
        <v>0</v>
      </c>
      <c r="J1025" s="31">
        <f t="shared" si="106"/>
        <v>0</v>
      </c>
      <c r="M1025" s="33">
        <f t="shared" si="107"/>
        <v>0</v>
      </c>
      <c r="N1025" s="33"/>
    </row>
    <row r="1026" spans="7:14" ht="16.5" customHeight="1">
      <c r="G1026" s="30">
        <f t="shared" si="108"/>
        <v>0</v>
      </c>
      <c r="H1026" s="31">
        <f t="shared" si="109"/>
        <v>0</v>
      </c>
      <c r="I1026" s="31">
        <f t="shared" si="110"/>
        <v>0</v>
      </c>
      <c r="J1026" s="31">
        <f t="shared" si="106"/>
        <v>0</v>
      </c>
      <c r="M1026" s="33">
        <f t="shared" si="107"/>
        <v>0</v>
      </c>
      <c r="N1026" s="33"/>
    </row>
    <row r="1027" spans="7:14" ht="16.5" customHeight="1">
      <c r="G1027" s="30">
        <f t="shared" si="108"/>
        <v>0</v>
      </c>
      <c r="H1027" s="31">
        <f t="shared" si="109"/>
        <v>0</v>
      </c>
      <c r="I1027" s="31">
        <f t="shared" si="110"/>
        <v>0</v>
      </c>
      <c r="J1027" s="31">
        <f t="shared" si="106"/>
        <v>0</v>
      </c>
      <c r="M1027" s="33">
        <f t="shared" si="107"/>
        <v>0</v>
      </c>
      <c r="N1027" s="33"/>
    </row>
    <row r="1028" spans="7:14" ht="16.5" customHeight="1">
      <c r="G1028" s="30">
        <f t="shared" si="108"/>
        <v>0</v>
      </c>
      <c r="H1028" s="31">
        <f t="shared" si="109"/>
        <v>0</v>
      </c>
      <c r="I1028" s="31">
        <f t="shared" si="110"/>
        <v>0</v>
      </c>
      <c r="J1028" s="31">
        <f t="shared" ref="J1028:J1091" si="111">K1028-M1028</f>
        <v>0</v>
      </c>
      <c r="M1028" s="33">
        <f t="shared" si="107"/>
        <v>0</v>
      </c>
      <c r="N1028" s="33"/>
    </row>
    <row r="1029" spans="7:14" ht="16.5" customHeight="1">
      <c r="G1029" s="30">
        <f t="shared" si="108"/>
        <v>0</v>
      </c>
      <c r="H1029" s="31">
        <f t="shared" si="109"/>
        <v>0</v>
      </c>
      <c r="I1029" s="31">
        <f t="shared" si="110"/>
        <v>0</v>
      </c>
      <c r="J1029" s="31">
        <f t="shared" si="111"/>
        <v>0</v>
      </c>
      <c r="M1029" s="33">
        <f t="shared" si="107"/>
        <v>0</v>
      </c>
      <c r="N1029" s="33"/>
    </row>
    <row r="1030" spans="7:14" ht="16.5" customHeight="1">
      <c r="G1030" s="30">
        <f t="shared" si="108"/>
        <v>0</v>
      </c>
      <c r="H1030" s="31">
        <f t="shared" si="109"/>
        <v>0</v>
      </c>
      <c r="I1030" s="31">
        <f t="shared" si="110"/>
        <v>0</v>
      </c>
      <c r="J1030" s="31">
        <f t="shared" si="111"/>
        <v>0</v>
      </c>
      <c r="M1030" s="33">
        <f t="shared" si="107"/>
        <v>0</v>
      </c>
      <c r="N1030" s="33"/>
    </row>
    <row r="1031" spans="7:14" ht="16.5" customHeight="1">
      <c r="G1031" s="30">
        <f t="shared" si="108"/>
        <v>0</v>
      </c>
      <c r="H1031" s="31">
        <f t="shared" si="109"/>
        <v>0</v>
      </c>
      <c r="I1031" s="31">
        <f t="shared" si="110"/>
        <v>0</v>
      </c>
      <c r="J1031" s="31">
        <f t="shared" si="111"/>
        <v>0</v>
      </c>
      <c r="M1031" s="33">
        <f t="shared" si="107"/>
        <v>0</v>
      </c>
      <c r="N1031" s="33"/>
    </row>
    <row r="1032" spans="7:14" ht="16.5" customHeight="1">
      <c r="G1032" s="30">
        <f t="shared" si="108"/>
        <v>0</v>
      </c>
      <c r="H1032" s="31">
        <f t="shared" si="109"/>
        <v>0</v>
      </c>
      <c r="I1032" s="31">
        <f t="shared" si="110"/>
        <v>0</v>
      </c>
      <c r="J1032" s="31">
        <f t="shared" si="111"/>
        <v>0</v>
      </c>
      <c r="M1032" s="33">
        <f t="shared" si="107"/>
        <v>0</v>
      </c>
      <c r="N1032" s="33"/>
    </row>
    <row r="1033" spans="7:14" ht="16.5" customHeight="1">
      <c r="G1033" s="30">
        <f t="shared" si="108"/>
        <v>0</v>
      </c>
      <c r="H1033" s="31">
        <f t="shared" si="109"/>
        <v>0</v>
      </c>
      <c r="I1033" s="31">
        <f t="shared" si="110"/>
        <v>0</v>
      </c>
      <c r="J1033" s="31">
        <f t="shared" si="111"/>
        <v>0</v>
      </c>
      <c r="M1033" s="33">
        <f t="shared" si="107"/>
        <v>0</v>
      </c>
      <c r="N1033" s="33"/>
    </row>
    <row r="1034" spans="7:14" ht="16.5" customHeight="1">
      <c r="G1034" s="30">
        <f t="shared" si="108"/>
        <v>0</v>
      </c>
      <c r="H1034" s="31">
        <f t="shared" si="109"/>
        <v>0</v>
      </c>
      <c r="I1034" s="31">
        <f t="shared" si="110"/>
        <v>0</v>
      </c>
      <c r="J1034" s="31">
        <f t="shared" si="111"/>
        <v>0</v>
      </c>
      <c r="M1034" s="33">
        <f t="shared" si="107"/>
        <v>0</v>
      </c>
      <c r="N1034" s="33"/>
    </row>
    <row r="1035" spans="7:14" ht="16.5" customHeight="1">
      <c r="G1035" s="30">
        <f t="shared" si="108"/>
        <v>0</v>
      </c>
      <c r="H1035" s="31">
        <f t="shared" si="109"/>
        <v>0</v>
      </c>
      <c r="I1035" s="31">
        <f t="shared" si="110"/>
        <v>0</v>
      </c>
      <c r="J1035" s="31">
        <f t="shared" si="111"/>
        <v>0</v>
      </c>
      <c r="M1035" s="33">
        <f t="shared" si="107"/>
        <v>0</v>
      </c>
      <c r="N1035" s="33"/>
    </row>
    <row r="1036" spans="7:14" ht="16.5" customHeight="1">
      <c r="G1036" s="30">
        <f t="shared" si="108"/>
        <v>0</v>
      </c>
      <c r="H1036" s="31">
        <f t="shared" si="109"/>
        <v>0</v>
      </c>
      <c r="I1036" s="31">
        <f t="shared" si="110"/>
        <v>0</v>
      </c>
      <c r="J1036" s="31">
        <f t="shared" si="111"/>
        <v>0</v>
      </c>
      <c r="M1036" s="33">
        <f t="shared" si="107"/>
        <v>0</v>
      </c>
      <c r="N1036" s="33"/>
    </row>
    <row r="1037" spans="7:14" ht="16.5" customHeight="1">
      <c r="G1037" s="30">
        <f t="shared" si="108"/>
        <v>0</v>
      </c>
      <c r="H1037" s="31">
        <f t="shared" si="109"/>
        <v>0</v>
      </c>
      <c r="I1037" s="31">
        <f t="shared" si="110"/>
        <v>0</v>
      </c>
      <c r="J1037" s="31">
        <f t="shared" si="111"/>
        <v>0</v>
      </c>
      <c r="M1037" s="33">
        <f t="shared" si="107"/>
        <v>0</v>
      </c>
      <c r="N1037" s="33"/>
    </row>
    <row r="1038" spans="7:14" ht="16.5" customHeight="1">
      <c r="G1038" s="30">
        <f t="shared" si="108"/>
        <v>0</v>
      </c>
      <c r="H1038" s="31">
        <f t="shared" si="109"/>
        <v>0</v>
      </c>
      <c r="I1038" s="31">
        <f t="shared" si="110"/>
        <v>0</v>
      </c>
      <c r="J1038" s="31">
        <f t="shared" si="111"/>
        <v>0</v>
      </c>
      <c r="M1038" s="33">
        <f t="shared" si="107"/>
        <v>0</v>
      </c>
      <c r="N1038" s="33"/>
    </row>
    <row r="1039" spans="7:14" ht="16.5" customHeight="1">
      <c r="G1039" s="30">
        <f t="shared" si="108"/>
        <v>0</v>
      </c>
      <c r="H1039" s="31">
        <f t="shared" si="109"/>
        <v>0</v>
      </c>
      <c r="I1039" s="31">
        <f t="shared" si="110"/>
        <v>0</v>
      </c>
      <c r="J1039" s="31">
        <f t="shared" si="111"/>
        <v>0</v>
      </c>
      <c r="M1039" s="33">
        <f t="shared" si="107"/>
        <v>0</v>
      </c>
      <c r="N1039" s="33"/>
    </row>
    <row r="1040" spans="7:14" ht="16.5" customHeight="1">
      <c r="G1040" s="30">
        <f t="shared" si="108"/>
        <v>0</v>
      </c>
      <c r="H1040" s="31">
        <f t="shared" si="109"/>
        <v>0</v>
      </c>
      <c r="I1040" s="31">
        <f t="shared" si="110"/>
        <v>0</v>
      </c>
      <c r="J1040" s="31">
        <f t="shared" si="111"/>
        <v>0</v>
      </c>
      <c r="M1040" s="33">
        <f t="shared" si="107"/>
        <v>0</v>
      </c>
      <c r="N1040" s="33"/>
    </row>
    <row r="1041" spans="7:14" ht="16.5" customHeight="1">
      <c r="G1041" s="30">
        <f t="shared" si="108"/>
        <v>0</v>
      </c>
      <c r="H1041" s="31">
        <f t="shared" si="109"/>
        <v>0</v>
      </c>
      <c r="I1041" s="31">
        <f t="shared" si="110"/>
        <v>0</v>
      </c>
      <c r="J1041" s="31">
        <f t="shared" si="111"/>
        <v>0</v>
      </c>
      <c r="M1041" s="33">
        <f t="shared" si="107"/>
        <v>0</v>
      </c>
      <c r="N1041" s="33"/>
    </row>
    <row r="1042" spans="7:14" ht="16.5" customHeight="1">
      <c r="G1042" s="30">
        <f t="shared" si="108"/>
        <v>0</v>
      </c>
      <c r="H1042" s="31">
        <f t="shared" si="109"/>
        <v>0</v>
      </c>
      <c r="I1042" s="31">
        <f t="shared" si="110"/>
        <v>0</v>
      </c>
      <c r="J1042" s="31">
        <f t="shared" si="111"/>
        <v>0</v>
      </c>
      <c r="M1042" s="33">
        <f t="shared" si="107"/>
        <v>0</v>
      </c>
      <c r="N1042" s="33"/>
    </row>
    <row r="1043" spans="7:14" ht="16.5" customHeight="1">
      <c r="G1043" s="30">
        <f t="shared" si="108"/>
        <v>0</v>
      </c>
      <c r="H1043" s="31">
        <f t="shared" si="109"/>
        <v>0</v>
      </c>
      <c r="I1043" s="31">
        <f t="shared" si="110"/>
        <v>0</v>
      </c>
      <c r="J1043" s="31">
        <f t="shared" si="111"/>
        <v>0</v>
      </c>
      <c r="M1043" s="33">
        <f t="shared" si="107"/>
        <v>0</v>
      </c>
      <c r="N1043" s="33"/>
    </row>
    <row r="1044" spans="7:14" ht="16.5" customHeight="1">
      <c r="G1044" s="30">
        <f t="shared" si="108"/>
        <v>0</v>
      </c>
      <c r="H1044" s="31">
        <f t="shared" si="109"/>
        <v>0</v>
      </c>
      <c r="I1044" s="31">
        <f t="shared" si="110"/>
        <v>0</v>
      </c>
      <c r="J1044" s="31">
        <f t="shared" si="111"/>
        <v>0</v>
      </c>
      <c r="M1044" s="33">
        <f t="shared" si="107"/>
        <v>0</v>
      </c>
      <c r="N1044" s="33"/>
    </row>
    <row r="1045" spans="7:14" ht="16.5" customHeight="1">
      <c r="G1045" s="30">
        <f t="shared" si="108"/>
        <v>0</v>
      </c>
      <c r="H1045" s="31">
        <f t="shared" si="109"/>
        <v>0</v>
      </c>
      <c r="I1045" s="31">
        <f t="shared" si="110"/>
        <v>0</v>
      </c>
      <c r="J1045" s="31">
        <f t="shared" si="111"/>
        <v>0</v>
      </c>
      <c r="M1045" s="33">
        <f t="shared" si="107"/>
        <v>0</v>
      </c>
      <c r="N1045" s="33"/>
    </row>
    <row r="1046" spans="7:14" ht="16.5" customHeight="1">
      <c r="G1046" s="30">
        <f t="shared" si="108"/>
        <v>0</v>
      </c>
      <c r="H1046" s="31">
        <f t="shared" si="109"/>
        <v>0</v>
      </c>
      <c r="I1046" s="31">
        <f t="shared" si="110"/>
        <v>0</v>
      </c>
      <c r="J1046" s="31">
        <f t="shared" si="111"/>
        <v>0</v>
      </c>
      <c r="M1046" s="33">
        <f t="shared" si="107"/>
        <v>0</v>
      </c>
      <c r="N1046" s="33"/>
    </row>
    <row r="1047" spans="7:14" ht="16.5" customHeight="1">
      <c r="G1047" s="30">
        <f t="shared" si="108"/>
        <v>0</v>
      </c>
      <c r="H1047" s="31">
        <f t="shared" si="109"/>
        <v>0</v>
      </c>
      <c r="I1047" s="31">
        <f t="shared" si="110"/>
        <v>0</v>
      </c>
      <c r="J1047" s="31">
        <f t="shared" si="111"/>
        <v>0</v>
      </c>
      <c r="M1047" s="33">
        <f t="shared" si="107"/>
        <v>0</v>
      </c>
      <c r="N1047" s="33"/>
    </row>
    <row r="1048" spans="7:14" ht="16.5" customHeight="1">
      <c r="G1048" s="30">
        <f t="shared" si="108"/>
        <v>0</v>
      </c>
      <c r="H1048" s="31">
        <f t="shared" si="109"/>
        <v>0</v>
      </c>
      <c r="I1048" s="31">
        <f t="shared" si="110"/>
        <v>0</v>
      </c>
      <c r="J1048" s="31">
        <f t="shared" si="111"/>
        <v>0</v>
      </c>
      <c r="M1048" s="33">
        <f t="shared" si="107"/>
        <v>0</v>
      </c>
      <c r="N1048" s="33"/>
    </row>
    <row r="1049" spans="7:14" ht="16.5" customHeight="1">
      <c r="G1049" s="30">
        <f t="shared" si="108"/>
        <v>0</v>
      </c>
      <c r="H1049" s="31">
        <f t="shared" si="109"/>
        <v>0</v>
      </c>
      <c r="I1049" s="31">
        <f t="shared" si="110"/>
        <v>0</v>
      </c>
      <c r="J1049" s="31">
        <f t="shared" si="111"/>
        <v>0</v>
      </c>
      <c r="M1049" s="33">
        <f t="shared" si="107"/>
        <v>0</v>
      </c>
      <c r="N1049" s="33"/>
    </row>
    <row r="1050" spans="7:14" ht="16.5" customHeight="1">
      <c r="G1050" s="30">
        <f t="shared" si="108"/>
        <v>0</v>
      </c>
      <c r="H1050" s="31">
        <f t="shared" si="109"/>
        <v>0</v>
      </c>
      <c r="I1050" s="31">
        <f t="shared" si="110"/>
        <v>0</v>
      </c>
      <c r="J1050" s="31">
        <f t="shared" si="111"/>
        <v>0</v>
      </c>
      <c r="M1050" s="33">
        <f t="shared" si="107"/>
        <v>0</v>
      </c>
      <c r="N1050" s="33"/>
    </row>
    <row r="1051" spans="7:14" ht="16.5" customHeight="1">
      <c r="G1051" s="30">
        <f t="shared" si="108"/>
        <v>0</v>
      </c>
      <c r="H1051" s="31">
        <f t="shared" si="109"/>
        <v>0</v>
      </c>
      <c r="I1051" s="31">
        <f t="shared" si="110"/>
        <v>0</v>
      </c>
      <c r="J1051" s="31">
        <f t="shared" si="111"/>
        <v>0</v>
      </c>
      <c r="M1051" s="33">
        <f t="shared" si="107"/>
        <v>0</v>
      </c>
      <c r="N1051" s="33"/>
    </row>
    <row r="1052" spans="7:14" ht="16.5" customHeight="1">
      <c r="G1052" s="30">
        <f t="shared" si="108"/>
        <v>0</v>
      </c>
      <c r="H1052" s="31">
        <f t="shared" si="109"/>
        <v>0</v>
      </c>
      <c r="I1052" s="31">
        <f t="shared" si="110"/>
        <v>0</v>
      </c>
      <c r="J1052" s="31">
        <f t="shared" si="111"/>
        <v>0</v>
      </c>
      <c r="M1052" s="33">
        <f t="shared" si="107"/>
        <v>0</v>
      </c>
      <c r="N1052" s="33"/>
    </row>
    <row r="1053" spans="7:14" ht="16.5" customHeight="1">
      <c r="G1053" s="30">
        <f t="shared" si="108"/>
        <v>0</v>
      </c>
      <c r="H1053" s="31">
        <f t="shared" si="109"/>
        <v>0</v>
      </c>
      <c r="I1053" s="31">
        <f t="shared" si="110"/>
        <v>0</v>
      </c>
      <c r="J1053" s="31">
        <f t="shared" si="111"/>
        <v>0</v>
      </c>
      <c r="M1053" s="33">
        <f t="shared" si="107"/>
        <v>0</v>
      </c>
      <c r="N1053" s="33"/>
    </row>
    <row r="1054" spans="7:14" ht="16.5" customHeight="1">
      <c r="G1054" s="30">
        <f t="shared" si="108"/>
        <v>0</v>
      </c>
      <c r="H1054" s="31">
        <f t="shared" si="109"/>
        <v>0</v>
      </c>
      <c r="I1054" s="31">
        <f t="shared" si="110"/>
        <v>0</v>
      </c>
      <c r="J1054" s="31">
        <f t="shared" si="111"/>
        <v>0</v>
      </c>
      <c r="M1054" s="33">
        <f t="shared" si="107"/>
        <v>0</v>
      </c>
      <c r="N1054" s="33"/>
    </row>
    <row r="1055" spans="7:14" ht="16.5" customHeight="1">
      <c r="G1055" s="30">
        <f t="shared" si="108"/>
        <v>0</v>
      </c>
      <c r="H1055" s="31">
        <f t="shared" si="109"/>
        <v>0</v>
      </c>
      <c r="I1055" s="31">
        <f t="shared" si="110"/>
        <v>0</v>
      </c>
      <c r="J1055" s="31">
        <f t="shared" si="111"/>
        <v>0</v>
      </c>
      <c r="M1055" s="33">
        <f t="shared" si="107"/>
        <v>0</v>
      </c>
      <c r="N1055" s="33"/>
    </row>
    <row r="1056" spans="7:14" ht="16.5" customHeight="1">
      <c r="G1056" s="30">
        <f t="shared" si="108"/>
        <v>0</v>
      </c>
      <c r="H1056" s="31">
        <f t="shared" si="109"/>
        <v>0</v>
      </c>
      <c r="I1056" s="31">
        <f t="shared" si="110"/>
        <v>0</v>
      </c>
      <c r="J1056" s="31">
        <f t="shared" si="111"/>
        <v>0</v>
      </c>
      <c r="M1056" s="33">
        <f t="shared" si="107"/>
        <v>0</v>
      </c>
      <c r="N1056" s="33"/>
    </row>
    <row r="1057" spans="7:14" ht="16.5" customHeight="1">
      <c r="G1057" s="30">
        <f t="shared" si="108"/>
        <v>0</v>
      </c>
      <c r="H1057" s="31">
        <f t="shared" si="109"/>
        <v>0</v>
      </c>
      <c r="I1057" s="31">
        <f t="shared" si="110"/>
        <v>0</v>
      </c>
      <c r="J1057" s="31">
        <f t="shared" si="111"/>
        <v>0</v>
      </c>
      <c r="M1057" s="33">
        <f t="shared" si="107"/>
        <v>0</v>
      </c>
      <c r="N1057" s="33"/>
    </row>
    <row r="1058" spans="7:14" ht="16.5" customHeight="1">
      <c r="G1058" s="30">
        <f t="shared" si="108"/>
        <v>0</v>
      </c>
      <c r="H1058" s="31">
        <f t="shared" si="109"/>
        <v>0</v>
      </c>
      <c r="I1058" s="31">
        <f t="shared" si="110"/>
        <v>0</v>
      </c>
      <c r="J1058" s="31">
        <f t="shared" si="111"/>
        <v>0</v>
      </c>
      <c r="M1058" s="33">
        <f t="shared" si="107"/>
        <v>0</v>
      </c>
      <c r="N1058" s="33"/>
    </row>
    <row r="1059" spans="7:14" ht="16.5" customHeight="1">
      <c r="G1059" s="30">
        <f t="shared" si="108"/>
        <v>0</v>
      </c>
      <c r="H1059" s="31">
        <f t="shared" si="109"/>
        <v>0</v>
      </c>
      <c r="I1059" s="31">
        <f t="shared" si="110"/>
        <v>0</v>
      </c>
      <c r="J1059" s="31">
        <f t="shared" si="111"/>
        <v>0</v>
      </c>
      <c r="M1059" s="33">
        <f t="shared" si="107"/>
        <v>0</v>
      </c>
      <c r="N1059" s="33"/>
    </row>
    <row r="1060" spans="7:14" ht="16.5" customHeight="1">
      <c r="G1060" s="30">
        <f t="shared" si="108"/>
        <v>0</v>
      </c>
      <c r="H1060" s="31">
        <f t="shared" si="109"/>
        <v>0</v>
      </c>
      <c r="I1060" s="31">
        <f t="shared" si="110"/>
        <v>0</v>
      </c>
      <c r="J1060" s="31">
        <f t="shared" si="111"/>
        <v>0</v>
      </c>
      <c r="M1060" s="33">
        <f t="shared" si="107"/>
        <v>0</v>
      </c>
      <c r="N1060" s="33"/>
    </row>
    <row r="1061" spans="7:14" ht="16.5" customHeight="1">
      <c r="G1061" s="30">
        <f t="shared" si="108"/>
        <v>0</v>
      </c>
      <c r="H1061" s="31">
        <f t="shared" si="109"/>
        <v>0</v>
      </c>
      <c r="I1061" s="31">
        <f t="shared" si="110"/>
        <v>0</v>
      </c>
      <c r="J1061" s="31">
        <f t="shared" si="111"/>
        <v>0</v>
      </c>
      <c r="M1061" s="33">
        <f t="shared" si="107"/>
        <v>0</v>
      </c>
      <c r="N1061" s="33"/>
    </row>
    <row r="1062" spans="7:14" ht="16.5" customHeight="1">
      <c r="G1062" s="30">
        <f t="shared" si="108"/>
        <v>0</v>
      </c>
      <c r="H1062" s="31">
        <f t="shared" si="109"/>
        <v>0</v>
      </c>
      <c r="I1062" s="31">
        <f t="shared" si="110"/>
        <v>0</v>
      </c>
      <c r="J1062" s="31">
        <f t="shared" si="111"/>
        <v>0</v>
      </c>
      <c r="M1062" s="33">
        <f t="shared" si="107"/>
        <v>0</v>
      </c>
      <c r="N1062" s="33"/>
    </row>
    <row r="1063" spans="7:14" ht="16.5" customHeight="1">
      <c r="G1063" s="30">
        <f t="shared" si="108"/>
        <v>0</v>
      </c>
      <c r="H1063" s="31">
        <f t="shared" si="109"/>
        <v>0</v>
      </c>
      <c r="I1063" s="31">
        <f t="shared" si="110"/>
        <v>0</v>
      </c>
      <c r="J1063" s="31">
        <f t="shared" si="111"/>
        <v>0</v>
      </c>
      <c r="M1063" s="33">
        <f t="shared" si="107"/>
        <v>0</v>
      </c>
      <c r="N1063" s="33"/>
    </row>
    <row r="1064" spans="7:14" ht="16.5" customHeight="1">
      <c r="G1064" s="30">
        <f t="shared" si="108"/>
        <v>0</v>
      </c>
      <c r="H1064" s="31">
        <f t="shared" si="109"/>
        <v>0</v>
      </c>
      <c r="I1064" s="31">
        <f t="shared" si="110"/>
        <v>0</v>
      </c>
      <c r="J1064" s="31">
        <f t="shared" si="111"/>
        <v>0</v>
      </c>
      <c r="M1064" s="33">
        <f t="shared" si="107"/>
        <v>0</v>
      </c>
      <c r="N1064" s="33"/>
    </row>
    <row r="1065" spans="7:14" ht="16.5" customHeight="1">
      <c r="G1065" s="30">
        <f t="shared" si="108"/>
        <v>0</v>
      </c>
      <c r="H1065" s="31">
        <f t="shared" si="109"/>
        <v>0</v>
      </c>
      <c r="I1065" s="31">
        <f t="shared" si="110"/>
        <v>0</v>
      </c>
      <c r="J1065" s="31">
        <f t="shared" si="111"/>
        <v>0</v>
      </c>
      <c r="M1065" s="33">
        <f t="shared" si="107"/>
        <v>0</v>
      </c>
      <c r="N1065" s="33"/>
    </row>
    <row r="1066" spans="7:14" ht="16.5" customHeight="1">
      <c r="G1066" s="30">
        <f t="shared" si="108"/>
        <v>0</v>
      </c>
      <c r="H1066" s="31">
        <f t="shared" si="109"/>
        <v>0</v>
      </c>
      <c r="I1066" s="31">
        <f t="shared" si="110"/>
        <v>0</v>
      </c>
      <c r="J1066" s="31">
        <f t="shared" si="111"/>
        <v>0</v>
      </c>
      <c r="M1066" s="33">
        <f t="shared" si="107"/>
        <v>0</v>
      </c>
      <c r="N1066" s="33"/>
    </row>
    <row r="1067" spans="7:14" ht="16.5" customHeight="1">
      <c r="G1067" s="30">
        <f t="shared" si="108"/>
        <v>0</v>
      </c>
      <c r="H1067" s="31">
        <f t="shared" si="109"/>
        <v>0</v>
      </c>
      <c r="I1067" s="31">
        <f t="shared" si="110"/>
        <v>0</v>
      </c>
      <c r="J1067" s="31">
        <f t="shared" si="111"/>
        <v>0</v>
      </c>
      <c r="M1067" s="33">
        <f t="shared" si="107"/>
        <v>0</v>
      </c>
      <c r="N1067" s="33"/>
    </row>
    <row r="1068" spans="7:14" ht="16.5" customHeight="1">
      <c r="G1068" s="30">
        <f t="shared" si="108"/>
        <v>0</v>
      </c>
      <c r="H1068" s="31">
        <f t="shared" si="109"/>
        <v>0</v>
      </c>
      <c r="I1068" s="31">
        <f t="shared" si="110"/>
        <v>0</v>
      </c>
      <c r="J1068" s="31">
        <f t="shared" si="111"/>
        <v>0</v>
      </c>
      <c r="M1068" s="33">
        <f t="shared" si="107"/>
        <v>0</v>
      </c>
      <c r="N1068" s="33"/>
    </row>
    <row r="1069" spans="7:14" ht="16.5" customHeight="1">
      <c r="G1069" s="30">
        <f t="shared" si="108"/>
        <v>0</v>
      </c>
      <c r="H1069" s="31">
        <f t="shared" si="109"/>
        <v>0</v>
      </c>
      <c r="I1069" s="31">
        <f t="shared" si="110"/>
        <v>0</v>
      </c>
      <c r="J1069" s="31">
        <f t="shared" si="111"/>
        <v>0</v>
      </c>
      <c r="M1069" s="33">
        <f t="shared" si="107"/>
        <v>0</v>
      </c>
      <c r="N1069" s="33"/>
    </row>
    <row r="1070" spans="7:14" ht="16.5" customHeight="1">
      <c r="G1070" s="30">
        <f t="shared" si="108"/>
        <v>0</v>
      </c>
      <c r="H1070" s="31">
        <f t="shared" si="109"/>
        <v>0</v>
      </c>
      <c r="I1070" s="31">
        <f t="shared" si="110"/>
        <v>0</v>
      </c>
      <c r="J1070" s="31">
        <f t="shared" si="111"/>
        <v>0</v>
      </c>
      <c r="M1070" s="33">
        <f t="shared" si="107"/>
        <v>0</v>
      </c>
      <c r="N1070" s="33"/>
    </row>
    <row r="1071" spans="7:14" ht="16.5" customHeight="1">
      <c r="G1071" s="30">
        <f t="shared" si="108"/>
        <v>0</v>
      </c>
      <c r="H1071" s="31">
        <f t="shared" si="109"/>
        <v>0</v>
      </c>
      <c r="I1071" s="31">
        <f t="shared" si="110"/>
        <v>0</v>
      </c>
      <c r="J1071" s="31">
        <f t="shared" si="111"/>
        <v>0</v>
      </c>
      <c r="M1071" s="33">
        <f t="shared" si="107"/>
        <v>0</v>
      </c>
      <c r="N1071" s="33"/>
    </row>
    <row r="1072" spans="7:14" ht="16.5" customHeight="1">
      <c r="G1072" s="30">
        <f t="shared" si="108"/>
        <v>0</v>
      </c>
      <c r="H1072" s="31">
        <f t="shared" si="109"/>
        <v>0</v>
      </c>
      <c r="I1072" s="31">
        <f t="shared" si="110"/>
        <v>0</v>
      </c>
      <c r="J1072" s="31">
        <f t="shared" si="111"/>
        <v>0</v>
      </c>
      <c r="M1072" s="33">
        <f t="shared" si="107"/>
        <v>0</v>
      </c>
      <c r="N1072" s="33"/>
    </row>
    <row r="1073" spans="7:14" ht="16.5" customHeight="1">
      <c r="G1073" s="30">
        <f t="shared" si="108"/>
        <v>0</v>
      </c>
      <c r="H1073" s="31">
        <f t="shared" si="109"/>
        <v>0</v>
      </c>
      <c r="I1073" s="31">
        <f t="shared" si="110"/>
        <v>0</v>
      </c>
      <c r="J1073" s="31">
        <f t="shared" si="111"/>
        <v>0</v>
      </c>
      <c r="M1073" s="33">
        <f t="shared" si="107"/>
        <v>0</v>
      </c>
      <c r="N1073" s="33"/>
    </row>
    <row r="1074" spans="7:14" ht="16.5" customHeight="1">
      <c r="G1074" s="30">
        <f t="shared" si="108"/>
        <v>0</v>
      </c>
      <c r="H1074" s="31">
        <f t="shared" si="109"/>
        <v>0</v>
      </c>
      <c r="I1074" s="31">
        <f t="shared" si="110"/>
        <v>0</v>
      </c>
      <c r="J1074" s="31">
        <f t="shared" si="111"/>
        <v>0</v>
      </c>
      <c r="M1074" s="33">
        <f t="shared" si="107"/>
        <v>0</v>
      </c>
      <c r="N1074" s="33"/>
    </row>
    <row r="1075" spans="7:14" ht="16.5" customHeight="1">
      <c r="G1075" s="30">
        <f t="shared" si="108"/>
        <v>0</v>
      </c>
      <c r="H1075" s="31">
        <f t="shared" si="109"/>
        <v>0</v>
      </c>
      <c r="I1075" s="31">
        <f t="shared" si="110"/>
        <v>0</v>
      </c>
      <c r="J1075" s="31">
        <f t="shared" si="111"/>
        <v>0</v>
      </c>
      <c r="M1075" s="33">
        <f t="shared" si="107"/>
        <v>0</v>
      </c>
      <c r="N1075" s="33"/>
    </row>
    <row r="1076" spans="7:14" ht="16.5" customHeight="1">
      <c r="G1076" s="30">
        <f t="shared" si="108"/>
        <v>0</v>
      </c>
      <c r="H1076" s="31">
        <f t="shared" si="109"/>
        <v>0</v>
      </c>
      <c r="I1076" s="31">
        <f t="shared" si="110"/>
        <v>0</v>
      </c>
      <c r="J1076" s="31">
        <f t="shared" si="111"/>
        <v>0</v>
      </c>
      <c r="M1076" s="33">
        <f t="shared" si="107"/>
        <v>0</v>
      </c>
      <c r="N1076" s="33"/>
    </row>
    <row r="1077" spans="7:14" ht="16.5" customHeight="1">
      <c r="G1077" s="30">
        <f t="shared" si="108"/>
        <v>0</v>
      </c>
      <c r="H1077" s="31">
        <f t="shared" si="109"/>
        <v>0</v>
      </c>
      <c r="I1077" s="31">
        <f t="shared" si="110"/>
        <v>0</v>
      </c>
      <c r="J1077" s="31">
        <f t="shared" si="111"/>
        <v>0</v>
      </c>
      <c r="M1077" s="33">
        <f t="shared" si="107"/>
        <v>0</v>
      </c>
      <c r="N1077" s="33"/>
    </row>
    <row r="1078" spans="7:14" ht="16.5" customHeight="1">
      <c r="G1078" s="30">
        <f t="shared" si="108"/>
        <v>0</v>
      </c>
      <c r="H1078" s="31">
        <f t="shared" si="109"/>
        <v>0</v>
      </c>
      <c r="I1078" s="31">
        <f t="shared" si="110"/>
        <v>0</v>
      </c>
      <c r="J1078" s="31">
        <f t="shared" si="111"/>
        <v>0</v>
      </c>
      <c r="M1078" s="33">
        <f t="shared" si="107"/>
        <v>0</v>
      </c>
      <c r="N1078" s="33"/>
    </row>
    <row r="1079" spans="7:14" ht="16.5" customHeight="1">
      <c r="G1079" s="30">
        <f t="shared" si="108"/>
        <v>0</v>
      </c>
      <c r="H1079" s="31">
        <f t="shared" si="109"/>
        <v>0</v>
      </c>
      <c r="I1079" s="31">
        <f t="shared" si="110"/>
        <v>0</v>
      </c>
      <c r="J1079" s="31">
        <f t="shared" si="111"/>
        <v>0</v>
      </c>
      <c r="M1079" s="33">
        <f t="shared" si="107"/>
        <v>0</v>
      </c>
      <c r="N1079" s="33"/>
    </row>
    <row r="1080" spans="7:14" ht="16.5" customHeight="1">
      <c r="G1080" s="30">
        <f t="shared" si="108"/>
        <v>0</v>
      </c>
      <c r="H1080" s="31">
        <f t="shared" si="109"/>
        <v>0</v>
      </c>
      <c r="I1080" s="31">
        <f t="shared" si="110"/>
        <v>0</v>
      </c>
      <c r="J1080" s="31">
        <f t="shared" si="111"/>
        <v>0</v>
      </c>
      <c r="M1080" s="33">
        <f t="shared" si="107"/>
        <v>0</v>
      </c>
      <c r="N1080" s="33"/>
    </row>
    <row r="1081" spans="7:14" ht="16.5" customHeight="1">
      <c r="G1081" s="30">
        <f t="shared" si="108"/>
        <v>0</v>
      </c>
      <c r="H1081" s="31">
        <f t="shared" si="109"/>
        <v>0</v>
      </c>
      <c r="I1081" s="31">
        <f t="shared" si="110"/>
        <v>0</v>
      </c>
      <c r="J1081" s="31">
        <f t="shared" si="111"/>
        <v>0</v>
      </c>
      <c r="M1081" s="33">
        <f t="shared" si="107"/>
        <v>0</v>
      </c>
      <c r="N1081" s="33"/>
    </row>
    <row r="1082" spans="7:14" ht="16.5" customHeight="1">
      <c r="G1082" s="30">
        <f t="shared" si="108"/>
        <v>0</v>
      </c>
      <c r="H1082" s="31">
        <f t="shared" si="109"/>
        <v>0</v>
      </c>
      <c r="I1082" s="31">
        <f t="shared" si="110"/>
        <v>0</v>
      </c>
      <c r="J1082" s="31">
        <f t="shared" si="111"/>
        <v>0</v>
      </c>
      <c r="M1082" s="33">
        <f t="shared" si="107"/>
        <v>0</v>
      </c>
      <c r="N1082" s="33"/>
    </row>
    <row r="1083" spans="7:14" ht="16.5" customHeight="1">
      <c r="G1083" s="30">
        <f t="shared" si="108"/>
        <v>0</v>
      </c>
      <c r="H1083" s="31">
        <f t="shared" si="109"/>
        <v>0</v>
      </c>
      <c r="I1083" s="31">
        <f t="shared" si="110"/>
        <v>0</v>
      </c>
      <c r="J1083" s="31">
        <f t="shared" si="111"/>
        <v>0</v>
      </c>
      <c r="M1083" s="33">
        <f t="shared" si="107"/>
        <v>0</v>
      </c>
      <c r="N1083" s="33"/>
    </row>
    <row r="1084" spans="7:14" ht="16.5" customHeight="1">
      <c r="G1084" s="30">
        <f t="shared" si="108"/>
        <v>0</v>
      </c>
      <c r="H1084" s="31">
        <f t="shared" si="109"/>
        <v>0</v>
      </c>
      <c r="I1084" s="31">
        <f t="shared" si="110"/>
        <v>0</v>
      </c>
      <c r="J1084" s="31">
        <f t="shared" si="111"/>
        <v>0</v>
      </c>
      <c r="M1084" s="33">
        <f t="shared" si="107"/>
        <v>0</v>
      </c>
      <c r="N1084" s="33"/>
    </row>
    <row r="1085" spans="7:14" ht="16.5" customHeight="1">
      <c r="G1085" s="30">
        <f t="shared" si="108"/>
        <v>0</v>
      </c>
      <c r="H1085" s="31">
        <f t="shared" si="109"/>
        <v>0</v>
      </c>
      <c r="I1085" s="31">
        <f t="shared" si="110"/>
        <v>0</v>
      </c>
      <c r="J1085" s="31">
        <f t="shared" si="111"/>
        <v>0</v>
      </c>
      <c r="M1085" s="33">
        <f t="shared" si="107"/>
        <v>0</v>
      </c>
      <c r="N1085" s="33"/>
    </row>
    <row r="1086" spans="7:14" ht="16.5" customHeight="1">
      <c r="G1086" s="30">
        <f t="shared" si="108"/>
        <v>0</v>
      </c>
      <c r="H1086" s="31">
        <f t="shared" si="109"/>
        <v>0</v>
      </c>
      <c r="I1086" s="31">
        <f t="shared" si="110"/>
        <v>0</v>
      </c>
      <c r="J1086" s="31">
        <f t="shared" si="111"/>
        <v>0</v>
      </c>
      <c r="M1086" s="33">
        <f t="shared" ref="M1086:M1149" si="112">IF(P1086="TL tuyệt đối",0, IF(K1086&lt;5,0,IF(K1086&lt;50,K1086*9%,IF(K1086&lt;100,4.5,IF(K1086&lt;200,4.5%*K1086,IF(K1086&lt;300,9,IF(K1086&lt;500,K1086*3%,IF(K1086&lt;1000,15,))))))))</f>
        <v>0</v>
      </c>
      <c r="N1086" s="33"/>
    </row>
    <row r="1087" spans="7:14" ht="16.5" customHeight="1">
      <c r="G1087" s="30">
        <f t="shared" si="108"/>
        <v>0</v>
      </c>
      <c r="H1087" s="31">
        <f t="shared" si="109"/>
        <v>0</v>
      </c>
      <c r="I1087" s="31">
        <f t="shared" si="110"/>
        <v>0</v>
      </c>
      <c r="J1087" s="31">
        <f t="shared" si="111"/>
        <v>0</v>
      </c>
      <c r="M1087" s="33">
        <f t="shared" si="112"/>
        <v>0</v>
      </c>
      <c r="N1087" s="33"/>
    </row>
    <row r="1088" spans="7:14" ht="16.5" customHeight="1">
      <c r="G1088" s="30">
        <f t="shared" ref="G1088:G1151" si="113">IF(P1088="TL tuyệt đối",K1088*103%,K1088+1/3*M1088)</f>
        <v>0</v>
      </c>
      <c r="H1088" s="31">
        <f t="shared" ref="H1088:H1151" si="114">IF(P1088="TL tuyệt đối",K1088*101%,K1088-1/3*M1088)</f>
        <v>0</v>
      </c>
      <c r="I1088" s="31">
        <f t="shared" ref="I1088:I1151" si="115">IF(P1088="TL tuyệt đối", K1088*105%,K1088+M1088)</f>
        <v>0</v>
      </c>
      <c r="J1088" s="31">
        <f t="shared" si="111"/>
        <v>0</v>
      </c>
      <c r="M1088" s="33">
        <f t="shared" si="112"/>
        <v>0</v>
      </c>
      <c r="N1088" s="33"/>
    </row>
    <row r="1089" spans="7:14" ht="16.5" customHeight="1">
      <c r="G1089" s="30">
        <f t="shared" si="113"/>
        <v>0</v>
      </c>
      <c r="H1089" s="31">
        <f t="shared" si="114"/>
        <v>0</v>
      </c>
      <c r="I1089" s="31">
        <f t="shared" si="115"/>
        <v>0</v>
      </c>
      <c r="J1089" s="31">
        <f t="shared" si="111"/>
        <v>0</v>
      </c>
      <c r="M1089" s="33">
        <f t="shared" si="112"/>
        <v>0</v>
      </c>
      <c r="N1089" s="33"/>
    </row>
    <row r="1090" spans="7:14" ht="16.5" customHeight="1">
      <c r="G1090" s="30">
        <f t="shared" si="113"/>
        <v>0</v>
      </c>
      <c r="H1090" s="31">
        <f t="shared" si="114"/>
        <v>0</v>
      </c>
      <c r="I1090" s="31">
        <f t="shared" si="115"/>
        <v>0</v>
      </c>
      <c r="J1090" s="31">
        <f t="shared" si="111"/>
        <v>0</v>
      </c>
      <c r="M1090" s="33">
        <f t="shared" si="112"/>
        <v>0</v>
      </c>
      <c r="N1090" s="33"/>
    </row>
    <row r="1091" spans="7:14" ht="16.5" customHeight="1">
      <c r="G1091" s="30">
        <f t="shared" si="113"/>
        <v>0</v>
      </c>
      <c r="H1091" s="31">
        <f t="shared" si="114"/>
        <v>0</v>
      </c>
      <c r="I1091" s="31">
        <f t="shared" si="115"/>
        <v>0</v>
      </c>
      <c r="J1091" s="31">
        <f t="shared" si="111"/>
        <v>0</v>
      </c>
      <c r="M1091" s="33">
        <f t="shared" si="112"/>
        <v>0</v>
      </c>
      <c r="N1091" s="33"/>
    </row>
    <row r="1092" spans="7:14" ht="16.5" customHeight="1">
      <c r="G1092" s="30">
        <f t="shared" si="113"/>
        <v>0</v>
      </c>
      <c r="H1092" s="31">
        <f t="shared" si="114"/>
        <v>0</v>
      </c>
      <c r="I1092" s="31">
        <f t="shared" si="115"/>
        <v>0</v>
      </c>
      <c r="J1092" s="31">
        <f t="shared" ref="J1092:J1155" si="116">K1092-M1092</f>
        <v>0</v>
      </c>
      <c r="M1092" s="33">
        <f t="shared" si="112"/>
        <v>0</v>
      </c>
      <c r="N1092" s="33"/>
    </row>
    <row r="1093" spans="7:14" ht="16.5" customHeight="1">
      <c r="G1093" s="30">
        <f t="shared" si="113"/>
        <v>0</v>
      </c>
      <c r="H1093" s="31">
        <f t="shared" si="114"/>
        <v>0</v>
      </c>
      <c r="I1093" s="31">
        <f t="shared" si="115"/>
        <v>0</v>
      </c>
      <c r="J1093" s="31">
        <f t="shared" si="116"/>
        <v>0</v>
      </c>
      <c r="M1093" s="33">
        <f t="shared" si="112"/>
        <v>0</v>
      </c>
      <c r="N1093" s="33"/>
    </row>
    <row r="1094" spans="7:14" ht="16.5" customHeight="1">
      <c r="G1094" s="30">
        <f t="shared" si="113"/>
        <v>0</v>
      </c>
      <c r="H1094" s="31">
        <f t="shared" si="114"/>
        <v>0</v>
      </c>
      <c r="I1094" s="31">
        <f t="shared" si="115"/>
        <v>0</v>
      </c>
      <c r="J1094" s="31">
        <f t="shared" si="116"/>
        <v>0</v>
      </c>
      <c r="M1094" s="33">
        <f t="shared" si="112"/>
        <v>0</v>
      </c>
      <c r="N1094" s="33"/>
    </row>
    <row r="1095" spans="7:14" ht="16.5" customHeight="1">
      <c r="G1095" s="30">
        <f t="shared" si="113"/>
        <v>0</v>
      </c>
      <c r="H1095" s="31">
        <f t="shared" si="114"/>
        <v>0</v>
      </c>
      <c r="I1095" s="31">
        <f t="shared" si="115"/>
        <v>0</v>
      </c>
      <c r="J1095" s="31">
        <f t="shared" si="116"/>
        <v>0</v>
      </c>
      <c r="M1095" s="33">
        <f t="shared" si="112"/>
        <v>0</v>
      </c>
      <c r="N1095" s="33"/>
    </row>
    <row r="1096" spans="7:14" ht="16.5" customHeight="1">
      <c r="G1096" s="30">
        <f t="shared" si="113"/>
        <v>0</v>
      </c>
      <c r="H1096" s="31">
        <f t="shared" si="114"/>
        <v>0</v>
      </c>
      <c r="I1096" s="31">
        <f t="shared" si="115"/>
        <v>0</v>
      </c>
      <c r="J1096" s="31">
        <f t="shared" si="116"/>
        <v>0</v>
      </c>
      <c r="M1096" s="33">
        <f t="shared" si="112"/>
        <v>0</v>
      </c>
      <c r="N1096" s="33"/>
    </row>
    <row r="1097" spans="7:14" ht="16.5" customHeight="1">
      <c r="G1097" s="30">
        <f t="shared" si="113"/>
        <v>0</v>
      </c>
      <c r="H1097" s="31">
        <f t="shared" si="114"/>
        <v>0</v>
      </c>
      <c r="I1097" s="31">
        <f t="shared" si="115"/>
        <v>0</v>
      </c>
      <c r="J1097" s="31">
        <f t="shared" si="116"/>
        <v>0</v>
      </c>
      <c r="M1097" s="33">
        <f t="shared" si="112"/>
        <v>0</v>
      </c>
      <c r="N1097" s="33"/>
    </row>
    <row r="1098" spans="7:14" ht="16.5" customHeight="1">
      <c r="G1098" s="30">
        <f t="shared" si="113"/>
        <v>0</v>
      </c>
      <c r="H1098" s="31">
        <f t="shared" si="114"/>
        <v>0</v>
      </c>
      <c r="I1098" s="31">
        <f t="shared" si="115"/>
        <v>0</v>
      </c>
      <c r="J1098" s="31">
        <f t="shared" si="116"/>
        <v>0</v>
      </c>
      <c r="M1098" s="33">
        <f t="shared" si="112"/>
        <v>0</v>
      </c>
      <c r="N1098" s="33"/>
    </row>
    <row r="1099" spans="7:14" ht="16.5" customHeight="1">
      <c r="G1099" s="30">
        <f t="shared" si="113"/>
        <v>0</v>
      </c>
      <c r="H1099" s="31">
        <f t="shared" si="114"/>
        <v>0</v>
      </c>
      <c r="I1099" s="31">
        <f t="shared" si="115"/>
        <v>0</v>
      </c>
      <c r="J1099" s="31">
        <f t="shared" si="116"/>
        <v>0</v>
      </c>
      <c r="M1099" s="33">
        <f t="shared" si="112"/>
        <v>0</v>
      </c>
      <c r="N1099" s="33"/>
    </row>
    <row r="1100" spans="7:14" ht="16.5" customHeight="1">
      <c r="G1100" s="30">
        <f t="shared" si="113"/>
        <v>0</v>
      </c>
      <c r="H1100" s="31">
        <f t="shared" si="114"/>
        <v>0</v>
      </c>
      <c r="I1100" s="31">
        <f t="shared" si="115"/>
        <v>0</v>
      </c>
      <c r="J1100" s="31">
        <f t="shared" si="116"/>
        <v>0</v>
      </c>
      <c r="M1100" s="33">
        <f t="shared" si="112"/>
        <v>0</v>
      </c>
      <c r="N1100" s="33"/>
    </row>
    <row r="1101" spans="7:14" ht="16.5" customHeight="1">
      <c r="G1101" s="30">
        <f t="shared" si="113"/>
        <v>0</v>
      </c>
      <c r="H1101" s="31">
        <f t="shared" si="114"/>
        <v>0</v>
      </c>
      <c r="I1101" s="31">
        <f t="shared" si="115"/>
        <v>0</v>
      </c>
      <c r="J1101" s="31">
        <f t="shared" si="116"/>
        <v>0</v>
      </c>
      <c r="M1101" s="33">
        <f t="shared" si="112"/>
        <v>0</v>
      </c>
      <c r="N1101" s="33"/>
    </row>
    <row r="1102" spans="7:14" ht="16.5" customHeight="1">
      <c r="G1102" s="30">
        <f t="shared" si="113"/>
        <v>0</v>
      </c>
      <c r="H1102" s="31">
        <f t="shared" si="114"/>
        <v>0</v>
      </c>
      <c r="I1102" s="31">
        <f t="shared" si="115"/>
        <v>0</v>
      </c>
      <c r="J1102" s="31">
        <f t="shared" si="116"/>
        <v>0</v>
      </c>
      <c r="M1102" s="33">
        <f t="shared" si="112"/>
        <v>0</v>
      </c>
      <c r="N1102" s="33"/>
    </row>
    <row r="1103" spans="7:14" ht="16.5" customHeight="1">
      <c r="G1103" s="30">
        <f t="shared" si="113"/>
        <v>0</v>
      </c>
      <c r="H1103" s="31">
        <f t="shared" si="114"/>
        <v>0</v>
      </c>
      <c r="I1103" s="31">
        <f t="shared" si="115"/>
        <v>0</v>
      </c>
      <c r="J1103" s="31">
        <f t="shared" si="116"/>
        <v>0</v>
      </c>
      <c r="M1103" s="33">
        <f t="shared" si="112"/>
        <v>0</v>
      </c>
      <c r="N1103" s="33"/>
    </row>
    <row r="1104" spans="7:14" ht="16.5" customHeight="1">
      <c r="G1104" s="30">
        <f t="shared" si="113"/>
        <v>0</v>
      </c>
      <c r="H1104" s="31">
        <f t="shared" si="114"/>
        <v>0</v>
      </c>
      <c r="I1104" s="31">
        <f t="shared" si="115"/>
        <v>0</v>
      </c>
      <c r="J1104" s="31">
        <f t="shared" si="116"/>
        <v>0</v>
      </c>
      <c r="M1104" s="33">
        <f t="shared" si="112"/>
        <v>0</v>
      </c>
      <c r="N1104" s="33"/>
    </row>
    <row r="1105" spans="7:14" ht="16.5" customHeight="1">
      <c r="G1105" s="30">
        <f t="shared" si="113"/>
        <v>0</v>
      </c>
      <c r="H1105" s="31">
        <f t="shared" si="114"/>
        <v>0</v>
      </c>
      <c r="I1105" s="31">
        <f t="shared" si="115"/>
        <v>0</v>
      </c>
      <c r="J1105" s="31">
        <f t="shared" si="116"/>
        <v>0</v>
      </c>
      <c r="M1105" s="33">
        <f t="shared" si="112"/>
        <v>0</v>
      </c>
      <c r="N1105" s="33"/>
    </row>
    <row r="1106" spans="7:14" ht="16.5" customHeight="1">
      <c r="G1106" s="30">
        <f t="shared" si="113"/>
        <v>0</v>
      </c>
      <c r="H1106" s="31">
        <f t="shared" si="114"/>
        <v>0</v>
      </c>
      <c r="I1106" s="31">
        <f t="shared" si="115"/>
        <v>0</v>
      </c>
      <c r="J1106" s="31">
        <f t="shared" si="116"/>
        <v>0</v>
      </c>
      <c r="M1106" s="33">
        <f t="shared" si="112"/>
        <v>0</v>
      </c>
      <c r="N1106" s="33"/>
    </row>
    <row r="1107" spans="7:14" ht="16.5" customHeight="1">
      <c r="G1107" s="30">
        <f t="shared" si="113"/>
        <v>0</v>
      </c>
      <c r="H1107" s="31">
        <f t="shared" si="114"/>
        <v>0</v>
      </c>
      <c r="I1107" s="31">
        <f t="shared" si="115"/>
        <v>0</v>
      </c>
      <c r="J1107" s="31">
        <f t="shared" si="116"/>
        <v>0</v>
      </c>
      <c r="M1107" s="33">
        <f t="shared" si="112"/>
        <v>0</v>
      </c>
      <c r="N1107" s="33"/>
    </row>
    <row r="1108" spans="7:14" ht="16.5" customHeight="1">
      <c r="G1108" s="30">
        <f t="shared" si="113"/>
        <v>0</v>
      </c>
      <c r="H1108" s="31">
        <f t="shared" si="114"/>
        <v>0</v>
      </c>
      <c r="I1108" s="31">
        <f t="shared" si="115"/>
        <v>0</v>
      </c>
      <c r="J1108" s="31">
        <f t="shared" si="116"/>
        <v>0</v>
      </c>
      <c r="M1108" s="33">
        <f t="shared" si="112"/>
        <v>0</v>
      </c>
      <c r="N1108" s="33"/>
    </row>
    <row r="1109" spans="7:14" ht="16.5" customHeight="1">
      <c r="G1109" s="30">
        <f t="shared" si="113"/>
        <v>0</v>
      </c>
      <c r="H1109" s="31">
        <f t="shared" si="114"/>
        <v>0</v>
      </c>
      <c r="I1109" s="31">
        <f t="shared" si="115"/>
        <v>0</v>
      </c>
      <c r="J1109" s="31">
        <f t="shared" si="116"/>
        <v>0</v>
      </c>
      <c r="M1109" s="33">
        <f t="shared" si="112"/>
        <v>0</v>
      </c>
      <c r="N1109" s="33"/>
    </row>
    <row r="1110" spans="7:14" ht="16.5" customHeight="1">
      <c r="G1110" s="30">
        <f t="shared" si="113"/>
        <v>0</v>
      </c>
      <c r="H1110" s="31">
        <f t="shared" si="114"/>
        <v>0</v>
      </c>
      <c r="I1110" s="31">
        <f t="shared" si="115"/>
        <v>0</v>
      </c>
      <c r="J1110" s="31">
        <f t="shared" si="116"/>
        <v>0</v>
      </c>
      <c r="M1110" s="33">
        <f t="shared" si="112"/>
        <v>0</v>
      </c>
      <c r="N1110" s="33"/>
    </row>
    <row r="1111" spans="7:14" ht="16.5" customHeight="1">
      <c r="G1111" s="30">
        <f t="shared" si="113"/>
        <v>0</v>
      </c>
      <c r="H1111" s="31">
        <f t="shared" si="114"/>
        <v>0</v>
      </c>
      <c r="I1111" s="31">
        <f t="shared" si="115"/>
        <v>0</v>
      </c>
      <c r="J1111" s="31">
        <f t="shared" si="116"/>
        <v>0</v>
      </c>
      <c r="M1111" s="33">
        <f t="shared" si="112"/>
        <v>0</v>
      </c>
      <c r="N1111" s="33"/>
    </row>
    <row r="1112" spans="7:14" ht="16.5" customHeight="1">
      <c r="G1112" s="30">
        <f t="shared" si="113"/>
        <v>0</v>
      </c>
      <c r="H1112" s="31">
        <f t="shared" si="114"/>
        <v>0</v>
      </c>
      <c r="I1112" s="31">
        <f t="shared" si="115"/>
        <v>0</v>
      </c>
      <c r="J1112" s="31">
        <f t="shared" si="116"/>
        <v>0</v>
      </c>
      <c r="M1112" s="33">
        <f t="shared" si="112"/>
        <v>0</v>
      </c>
      <c r="N1112" s="33"/>
    </row>
    <row r="1113" spans="7:14" ht="16.5" customHeight="1">
      <c r="G1113" s="30">
        <f t="shared" si="113"/>
        <v>0</v>
      </c>
      <c r="H1113" s="31">
        <f t="shared" si="114"/>
        <v>0</v>
      </c>
      <c r="I1113" s="31">
        <f t="shared" si="115"/>
        <v>0</v>
      </c>
      <c r="J1113" s="31">
        <f t="shared" si="116"/>
        <v>0</v>
      </c>
      <c r="M1113" s="33">
        <f t="shared" si="112"/>
        <v>0</v>
      </c>
      <c r="N1113" s="33"/>
    </row>
    <row r="1114" spans="7:14" ht="16.5" customHeight="1">
      <c r="G1114" s="30">
        <f t="shared" si="113"/>
        <v>0</v>
      </c>
      <c r="H1114" s="31">
        <f t="shared" si="114"/>
        <v>0</v>
      </c>
      <c r="I1114" s="31">
        <f t="shared" si="115"/>
        <v>0</v>
      </c>
      <c r="J1114" s="31">
        <f t="shared" si="116"/>
        <v>0</v>
      </c>
      <c r="M1114" s="33">
        <f t="shared" si="112"/>
        <v>0</v>
      </c>
      <c r="N1114" s="33"/>
    </row>
    <row r="1115" spans="7:14" ht="16.5" customHeight="1">
      <c r="G1115" s="30">
        <f t="shared" si="113"/>
        <v>0</v>
      </c>
      <c r="H1115" s="31">
        <f t="shared" si="114"/>
        <v>0</v>
      </c>
      <c r="I1115" s="31">
        <f t="shared" si="115"/>
        <v>0</v>
      </c>
      <c r="J1115" s="31">
        <f t="shared" si="116"/>
        <v>0</v>
      </c>
      <c r="M1115" s="33">
        <f t="shared" si="112"/>
        <v>0</v>
      </c>
      <c r="N1115" s="33"/>
    </row>
    <row r="1116" spans="7:14" ht="16.5" customHeight="1">
      <c r="G1116" s="30">
        <f t="shared" si="113"/>
        <v>0</v>
      </c>
      <c r="H1116" s="31">
        <f t="shared" si="114"/>
        <v>0</v>
      </c>
      <c r="I1116" s="31">
        <f t="shared" si="115"/>
        <v>0</v>
      </c>
      <c r="J1116" s="31">
        <f t="shared" si="116"/>
        <v>0</v>
      </c>
      <c r="M1116" s="33">
        <f t="shared" si="112"/>
        <v>0</v>
      </c>
      <c r="N1116" s="33"/>
    </row>
    <row r="1117" spans="7:14" ht="16.5" customHeight="1">
      <c r="G1117" s="30">
        <f t="shared" si="113"/>
        <v>0</v>
      </c>
      <c r="H1117" s="31">
        <f t="shared" si="114"/>
        <v>0</v>
      </c>
      <c r="I1117" s="31">
        <f t="shared" si="115"/>
        <v>0</v>
      </c>
      <c r="J1117" s="31">
        <f t="shared" si="116"/>
        <v>0</v>
      </c>
      <c r="M1117" s="33">
        <f t="shared" si="112"/>
        <v>0</v>
      </c>
      <c r="N1117" s="33"/>
    </row>
    <row r="1118" spans="7:14" ht="16.5" customHeight="1">
      <c r="G1118" s="30">
        <f t="shared" si="113"/>
        <v>0</v>
      </c>
      <c r="H1118" s="31">
        <f t="shared" si="114"/>
        <v>0</v>
      </c>
      <c r="I1118" s="31">
        <f t="shared" si="115"/>
        <v>0</v>
      </c>
      <c r="J1118" s="31">
        <f t="shared" si="116"/>
        <v>0</v>
      </c>
      <c r="M1118" s="33">
        <f t="shared" si="112"/>
        <v>0</v>
      </c>
      <c r="N1118" s="33"/>
    </row>
    <row r="1119" spans="7:14" ht="16.5" customHeight="1">
      <c r="G1119" s="30">
        <f t="shared" si="113"/>
        <v>0</v>
      </c>
      <c r="H1119" s="31">
        <f t="shared" si="114"/>
        <v>0</v>
      </c>
      <c r="I1119" s="31">
        <f t="shared" si="115"/>
        <v>0</v>
      </c>
      <c r="J1119" s="31">
        <f t="shared" si="116"/>
        <v>0</v>
      </c>
      <c r="M1119" s="33">
        <f t="shared" si="112"/>
        <v>0</v>
      </c>
      <c r="N1119" s="33"/>
    </row>
    <row r="1120" spans="7:14" ht="16.5" customHeight="1">
      <c r="G1120" s="30">
        <f t="shared" si="113"/>
        <v>0</v>
      </c>
      <c r="H1120" s="31">
        <f t="shared" si="114"/>
        <v>0</v>
      </c>
      <c r="I1120" s="31">
        <f t="shared" si="115"/>
        <v>0</v>
      </c>
      <c r="J1120" s="31">
        <f t="shared" si="116"/>
        <v>0</v>
      </c>
      <c r="M1120" s="33">
        <f t="shared" si="112"/>
        <v>0</v>
      </c>
      <c r="N1120" s="33"/>
    </row>
    <row r="1121" spans="7:14" ht="16.5" customHeight="1">
      <c r="G1121" s="30">
        <f t="shared" si="113"/>
        <v>0</v>
      </c>
      <c r="H1121" s="31">
        <f t="shared" si="114"/>
        <v>0</v>
      </c>
      <c r="I1121" s="31">
        <f t="shared" si="115"/>
        <v>0</v>
      </c>
      <c r="J1121" s="31">
        <f t="shared" si="116"/>
        <v>0</v>
      </c>
      <c r="M1121" s="33">
        <f t="shared" si="112"/>
        <v>0</v>
      </c>
      <c r="N1121" s="33"/>
    </row>
    <row r="1122" spans="7:14" ht="16.5" customHeight="1">
      <c r="G1122" s="30">
        <f t="shared" si="113"/>
        <v>0</v>
      </c>
      <c r="H1122" s="31">
        <f t="shared" si="114"/>
        <v>0</v>
      </c>
      <c r="I1122" s="31">
        <f t="shared" si="115"/>
        <v>0</v>
      </c>
      <c r="J1122" s="31">
        <f t="shared" si="116"/>
        <v>0</v>
      </c>
      <c r="M1122" s="33">
        <f t="shared" si="112"/>
        <v>0</v>
      </c>
      <c r="N1122" s="33"/>
    </row>
    <row r="1123" spans="7:14" ht="16.5" customHeight="1">
      <c r="G1123" s="30">
        <f t="shared" si="113"/>
        <v>0</v>
      </c>
      <c r="H1123" s="31">
        <f t="shared" si="114"/>
        <v>0</v>
      </c>
      <c r="I1123" s="31">
        <f t="shared" si="115"/>
        <v>0</v>
      </c>
      <c r="J1123" s="31">
        <f t="shared" si="116"/>
        <v>0</v>
      </c>
      <c r="M1123" s="33">
        <f t="shared" si="112"/>
        <v>0</v>
      </c>
      <c r="N1123" s="33"/>
    </row>
    <row r="1124" spans="7:14" ht="16.5" customHeight="1">
      <c r="G1124" s="30">
        <f t="shared" si="113"/>
        <v>0</v>
      </c>
      <c r="H1124" s="31">
        <f t="shared" si="114"/>
        <v>0</v>
      </c>
      <c r="I1124" s="31">
        <f t="shared" si="115"/>
        <v>0</v>
      </c>
      <c r="J1124" s="31">
        <f t="shared" si="116"/>
        <v>0</v>
      </c>
      <c r="M1124" s="33">
        <f t="shared" si="112"/>
        <v>0</v>
      </c>
      <c r="N1124" s="33"/>
    </row>
    <row r="1125" spans="7:14" ht="16.5" customHeight="1">
      <c r="G1125" s="30">
        <f t="shared" si="113"/>
        <v>0</v>
      </c>
      <c r="H1125" s="31">
        <f t="shared" si="114"/>
        <v>0</v>
      </c>
      <c r="I1125" s="31">
        <f t="shared" si="115"/>
        <v>0</v>
      </c>
      <c r="J1125" s="31">
        <f t="shared" si="116"/>
        <v>0</v>
      </c>
      <c r="M1125" s="33">
        <f t="shared" si="112"/>
        <v>0</v>
      </c>
      <c r="N1125" s="33"/>
    </row>
    <row r="1126" spans="7:14" ht="16.5" customHeight="1">
      <c r="G1126" s="30">
        <f t="shared" si="113"/>
        <v>0</v>
      </c>
      <c r="H1126" s="31">
        <f t="shared" si="114"/>
        <v>0</v>
      </c>
      <c r="I1126" s="31">
        <f t="shared" si="115"/>
        <v>0</v>
      </c>
      <c r="J1126" s="31">
        <f t="shared" si="116"/>
        <v>0</v>
      </c>
      <c r="M1126" s="33">
        <f t="shared" si="112"/>
        <v>0</v>
      </c>
      <c r="N1126" s="33"/>
    </row>
    <row r="1127" spans="7:14" ht="16.5" customHeight="1">
      <c r="G1127" s="30">
        <f t="shared" si="113"/>
        <v>0</v>
      </c>
      <c r="H1127" s="31">
        <f t="shared" si="114"/>
        <v>0</v>
      </c>
      <c r="I1127" s="31">
        <f t="shared" si="115"/>
        <v>0</v>
      </c>
      <c r="J1127" s="31">
        <f t="shared" si="116"/>
        <v>0</v>
      </c>
      <c r="M1127" s="33">
        <f t="shared" si="112"/>
        <v>0</v>
      </c>
      <c r="N1127" s="33"/>
    </row>
    <row r="1128" spans="7:14" ht="16.5" customHeight="1">
      <c r="G1128" s="30">
        <f t="shared" si="113"/>
        <v>0</v>
      </c>
      <c r="H1128" s="31">
        <f t="shared" si="114"/>
        <v>0</v>
      </c>
      <c r="I1128" s="31">
        <f t="shared" si="115"/>
        <v>0</v>
      </c>
      <c r="J1128" s="31">
        <f t="shared" si="116"/>
        <v>0</v>
      </c>
      <c r="M1128" s="33">
        <f t="shared" si="112"/>
        <v>0</v>
      </c>
      <c r="N1128" s="33"/>
    </row>
    <row r="1129" spans="7:14" ht="16.5" customHeight="1">
      <c r="G1129" s="30">
        <f t="shared" si="113"/>
        <v>0</v>
      </c>
      <c r="H1129" s="31">
        <f t="shared" si="114"/>
        <v>0</v>
      </c>
      <c r="I1129" s="31">
        <f t="shared" si="115"/>
        <v>0</v>
      </c>
      <c r="J1129" s="31">
        <f t="shared" si="116"/>
        <v>0</v>
      </c>
      <c r="M1129" s="33">
        <f t="shared" si="112"/>
        <v>0</v>
      </c>
      <c r="N1129" s="33"/>
    </row>
    <row r="1130" spans="7:14" ht="16.5" customHeight="1">
      <c r="G1130" s="30">
        <f t="shared" si="113"/>
        <v>0</v>
      </c>
      <c r="H1130" s="31">
        <f t="shared" si="114"/>
        <v>0</v>
      </c>
      <c r="I1130" s="31">
        <f t="shared" si="115"/>
        <v>0</v>
      </c>
      <c r="J1130" s="31">
        <f t="shared" si="116"/>
        <v>0</v>
      </c>
      <c r="M1130" s="33">
        <f t="shared" si="112"/>
        <v>0</v>
      </c>
      <c r="N1130" s="33"/>
    </row>
    <row r="1131" spans="7:14" ht="16.5" customHeight="1">
      <c r="G1131" s="30">
        <f t="shared" si="113"/>
        <v>0</v>
      </c>
      <c r="H1131" s="31">
        <f t="shared" si="114"/>
        <v>0</v>
      </c>
      <c r="I1131" s="31">
        <f t="shared" si="115"/>
        <v>0</v>
      </c>
      <c r="J1131" s="31">
        <f t="shared" si="116"/>
        <v>0</v>
      </c>
      <c r="M1131" s="33">
        <f t="shared" si="112"/>
        <v>0</v>
      </c>
      <c r="N1131" s="33"/>
    </row>
    <row r="1132" spans="7:14" ht="16.5" customHeight="1">
      <c r="G1132" s="30">
        <f t="shared" si="113"/>
        <v>0</v>
      </c>
      <c r="H1132" s="31">
        <f t="shared" si="114"/>
        <v>0</v>
      </c>
      <c r="I1132" s="31">
        <f t="shared" si="115"/>
        <v>0</v>
      </c>
      <c r="J1132" s="31">
        <f t="shared" si="116"/>
        <v>0</v>
      </c>
      <c r="M1132" s="33">
        <f t="shared" si="112"/>
        <v>0</v>
      </c>
      <c r="N1132" s="33"/>
    </row>
    <row r="1133" spans="7:14" ht="16.5" customHeight="1">
      <c r="G1133" s="30">
        <f t="shared" si="113"/>
        <v>0</v>
      </c>
      <c r="H1133" s="31">
        <f t="shared" si="114"/>
        <v>0</v>
      </c>
      <c r="I1133" s="31">
        <f t="shared" si="115"/>
        <v>0</v>
      </c>
      <c r="J1133" s="31">
        <f t="shared" si="116"/>
        <v>0</v>
      </c>
      <c r="M1133" s="33">
        <f t="shared" si="112"/>
        <v>0</v>
      </c>
      <c r="N1133" s="33"/>
    </row>
    <row r="1134" spans="7:14" ht="16.5" customHeight="1">
      <c r="G1134" s="30">
        <f t="shared" si="113"/>
        <v>0</v>
      </c>
      <c r="H1134" s="31">
        <f t="shared" si="114"/>
        <v>0</v>
      </c>
      <c r="I1134" s="31">
        <f t="shared" si="115"/>
        <v>0</v>
      </c>
      <c r="J1134" s="31">
        <f t="shared" si="116"/>
        <v>0</v>
      </c>
      <c r="M1134" s="33">
        <f t="shared" si="112"/>
        <v>0</v>
      </c>
      <c r="N1134" s="33"/>
    </row>
    <row r="1135" spans="7:14" ht="16.5" customHeight="1">
      <c r="G1135" s="30">
        <f t="shared" si="113"/>
        <v>0</v>
      </c>
      <c r="H1135" s="31">
        <f t="shared" si="114"/>
        <v>0</v>
      </c>
      <c r="I1135" s="31">
        <f t="shared" si="115"/>
        <v>0</v>
      </c>
      <c r="J1135" s="31">
        <f t="shared" si="116"/>
        <v>0</v>
      </c>
      <c r="M1135" s="33">
        <f t="shared" si="112"/>
        <v>0</v>
      </c>
      <c r="N1135" s="33"/>
    </row>
    <row r="1136" spans="7:14" ht="16.5" customHeight="1">
      <c r="G1136" s="30">
        <f t="shared" si="113"/>
        <v>0</v>
      </c>
      <c r="H1136" s="31">
        <f t="shared" si="114"/>
        <v>0</v>
      </c>
      <c r="I1136" s="31">
        <f t="shared" si="115"/>
        <v>0</v>
      </c>
      <c r="J1136" s="31">
        <f t="shared" si="116"/>
        <v>0</v>
      </c>
      <c r="M1136" s="33">
        <f t="shared" si="112"/>
        <v>0</v>
      </c>
      <c r="N1136" s="33"/>
    </row>
    <row r="1137" spans="7:14" ht="16.5" customHeight="1">
      <c r="G1137" s="30">
        <f t="shared" si="113"/>
        <v>0</v>
      </c>
      <c r="H1137" s="31">
        <f t="shared" si="114"/>
        <v>0</v>
      </c>
      <c r="I1137" s="31">
        <f t="shared" si="115"/>
        <v>0</v>
      </c>
      <c r="J1137" s="31">
        <f t="shared" si="116"/>
        <v>0</v>
      </c>
      <c r="M1137" s="33">
        <f t="shared" si="112"/>
        <v>0</v>
      </c>
      <c r="N1137" s="33"/>
    </row>
    <row r="1138" spans="7:14" ht="16.5" customHeight="1">
      <c r="G1138" s="30">
        <f t="shared" si="113"/>
        <v>0</v>
      </c>
      <c r="H1138" s="31">
        <f t="shared" si="114"/>
        <v>0</v>
      </c>
      <c r="I1138" s="31">
        <f t="shared" si="115"/>
        <v>0</v>
      </c>
      <c r="J1138" s="31">
        <f t="shared" si="116"/>
        <v>0</v>
      </c>
      <c r="M1138" s="33">
        <f t="shared" si="112"/>
        <v>0</v>
      </c>
      <c r="N1138" s="33"/>
    </row>
    <row r="1139" spans="7:14" ht="16.5" customHeight="1">
      <c r="G1139" s="30">
        <f t="shared" si="113"/>
        <v>0</v>
      </c>
      <c r="H1139" s="31">
        <f t="shared" si="114"/>
        <v>0</v>
      </c>
      <c r="I1139" s="31">
        <f t="shared" si="115"/>
        <v>0</v>
      </c>
      <c r="J1139" s="31">
        <f t="shared" si="116"/>
        <v>0</v>
      </c>
      <c r="M1139" s="33">
        <f t="shared" si="112"/>
        <v>0</v>
      </c>
      <c r="N1139" s="33"/>
    </row>
    <row r="1140" spans="7:14" ht="16.5" customHeight="1">
      <c r="G1140" s="30">
        <f t="shared" si="113"/>
        <v>0</v>
      </c>
      <c r="H1140" s="31">
        <f t="shared" si="114"/>
        <v>0</v>
      </c>
      <c r="I1140" s="31">
        <f t="shared" si="115"/>
        <v>0</v>
      </c>
      <c r="J1140" s="31">
        <f t="shared" si="116"/>
        <v>0</v>
      </c>
      <c r="M1140" s="33">
        <f t="shared" si="112"/>
        <v>0</v>
      </c>
      <c r="N1140" s="33"/>
    </row>
    <row r="1141" spans="7:14" ht="16.5" customHeight="1">
      <c r="G1141" s="30">
        <f t="shared" si="113"/>
        <v>0</v>
      </c>
      <c r="H1141" s="31">
        <f t="shared" si="114"/>
        <v>0</v>
      </c>
      <c r="I1141" s="31">
        <f t="shared" si="115"/>
        <v>0</v>
      </c>
      <c r="J1141" s="31">
        <f t="shared" si="116"/>
        <v>0</v>
      </c>
      <c r="M1141" s="33">
        <f t="shared" si="112"/>
        <v>0</v>
      </c>
      <c r="N1141" s="33"/>
    </row>
    <row r="1142" spans="7:14" ht="16.5" customHeight="1">
      <c r="G1142" s="30">
        <f t="shared" si="113"/>
        <v>0</v>
      </c>
      <c r="H1142" s="31">
        <f t="shared" si="114"/>
        <v>0</v>
      </c>
      <c r="I1142" s="31">
        <f t="shared" si="115"/>
        <v>0</v>
      </c>
      <c r="J1142" s="31">
        <f t="shared" si="116"/>
        <v>0</v>
      </c>
      <c r="M1142" s="33">
        <f t="shared" si="112"/>
        <v>0</v>
      </c>
      <c r="N1142" s="33"/>
    </row>
    <row r="1143" spans="7:14" ht="16.5" customHeight="1">
      <c r="G1143" s="30">
        <f t="shared" si="113"/>
        <v>0</v>
      </c>
      <c r="H1143" s="31">
        <f t="shared" si="114"/>
        <v>0</v>
      </c>
      <c r="I1143" s="31">
        <f t="shared" si="115"/>
        <v>0</v>
      </c>
      <c r="J1143" s="31">
        <f t="shared" si="116"/>
        <v>0</v>
      </c>
      <c r="M1143" s="33">
        <f t="shared" si="112"/>
        <v>0</v>
      </c>
      <c r="N1143" s="33"/>
    </row>
    <row r="1144" spans="7:14" ht="16.5" customHeight="1">
      <c r="G1144" s="30">
        <f t="shared" si="113"/>
        <v>0</v>
      </c>
      <c r="H1144" s="31">
        <f t="shared" si="114"/>
        <v>0</v>
      </c>
      <c r="I1144" s="31">
        <f t="shared" si="115"/>
        <v>0</v>
      </c>
      <c r="J1144" s="31">
        <f t="shared" si="116"/>
        <v>0</v>
      </c>
      <c r="M1144" s="33">
        <f t="shared" si="112"/>
        <v>0</v>
      </c>
      <c r="N1144" s="33"/>
    </row>
    <row r="1145" spans="7:14" ht="16.5" customHeight="1">
      <c r="G1145" s="30">
        <f t="shared" si="113"/>
        <v>0</v>
      </c>
      <c r="H1145" s="31">
        <f t="shared" si="114"/>
        <v>0</v>
      </c>
      <c r="I1145" s="31">
        <f t="shared" si="115"/>
        <v>0</v>
      </c>
      <c r="J1145" s="31">
        <f t="shared" si="116"/>
        <v>0</v>
      </c>
      <c r="M1145" s="33">
        <f t="shared" si="112"/>
        <v>0</v>
      </c>
      <c r="N1145" s="33"/>
    </row>
    <row r="1146" spans="7:14" ht="16.5" customHeight="1">
      <c r="G1146" s="30">
        <f t="shared" si="113"/>
        <v>0</v>
      </c>
      <c r="H1146" s="31">
        <f t="shared" si="114"/>
        <v>0</v>
      </c>
      <c r="I1146" s="31">
        <f t="shared" si="115"/>
        <v>0</v>
      </c>
      <c r="J1146" s="31">
        <f t="shared" si="116"/>
        <v>0</v>
      </c>
      <c r="M1146" s="33">
        <f t="shared" si="112"/>
        <v>0</v>
      </c>
      <c r="N1146" s="33"/>
    </row>
    <row r="1147" spans="7:14" ht="16.5" customHeight="1">
      <c r="G1147" s="30">
        <f t="shared" si="113"/>
        <v>0</v>
      </c>
      <c r="H1147" s="31">
        <f t="shared" si="114"/>
        <v>0</v>
      </c>
      <c r="I1147" s="31">
        <f t="shared" si="115"/>
        <v>0</v>
      </c>
      <c r="J1147" s="31">
        <f t="shared" si="116"/>
        <v>0</v>
      </c>
      <c r="M1147" s="33">
        <f t="shared" si="112"/>
        <v>0</v>
      </c>
      <c r="N1147" s="33"/>
    </row>
    <row r="1148" spans="7:14" ht="16.5" customHeight="1">
      <c r="G1148" s="30">
        <f t="shared" si="113"/>
        <v>0</v>
      </c>
      <c r="H1148" s="31">
        <f t="shared" si="114"/>
        <v>0</v>
      </c>
      <c r="I1148" s="31">
        <f t="shared" si="115"/>
        <v>0</v>
      </c>
      <c r="J1148" s="31">
        <f t="shared" si="116"/>
        <v>0</v>
      </c>
      <c r="M1148" s="33">
        <f t="shared" si="112"/>
        <v>0</v>
      </c>
      <c r="N1148" s="33"/>
    </row>
    <row r="1149" spans="7:14" ht="16.5" customHeight="1">
      <c r="G1149" s="30">
        <f t="shared" si="113"/>
        <v>0</v>
      </c>
      <c r="H1149" s="31">
        <f t="shared" si="114"/>
        <v>0</v>
      </c>
      <c r="I1149" s="31">
        <f t="shared" si="115"/>
        <v>0</v>
      </c>
      <c r="J1149" s="31">
        <f t="shared" si="116"/>
        <v>0</v>
      </c>
      <c r="M1149" s="33">
        <f t="shared" si="112"/>
        <v>0</v>
      </c>
      <c r="N1149" s="33"/>
    </row>
    <row r="1150" spans="7:14" ht="16.5" customHeight="1">
      <c r="G1150" s="30">
        <f t="shared" si="113"/>
        <v>0</v>
      </c>
      <c r="H1150" s="31">
        <f t="shared" si="114"/>
        <v>0</v>
      </c>
      <c r="I1150" s="31">
        <f t="shared" si="115"/>
        <v>0</v>
      </c>
      <c r="J1150" s="31">
        <f t="shared" si="116"/>
        <v>0</v>
      </c>
      <c r="M1150" s="33">
        <f t="shared" ref="M1150:M1213" si="117">IF(P1150="TL tuyệt đối",0, IF(K1150&lt;5,0,IF(K1150&lt;50,K1150*9%,IF(K1150&lt;100,4.5,IF(K1150&lt;200,4.5%*K1150,IF(K1150&lt;300,9,IF(K1150&lt;500,K1150*3%,IF(K1150&lt;1000,15,))))))))</f>
        <v>0</v>
      </c>
      <c r="N1150" s="33"/>
    </row>
    <row r="1151" spans="7:14" ht="16.5" customHeight="1">
      <c r="G1151" s="30">
        <f t="shared" si="113"/>
        <v>0</v>
      </c>
      <c r="H1151" s="31">
        <f t="shared" si="114"/>
        <v>0</v>
      </c>
      <c r="I1151" s="31">
        <f t="shared" si="115"/>
        <v>0</v>
      </c>
      <c r="J1151" s="31">
        <f t="shared" si="116"/>
        <v>0</v>
      </c>
      <c r="M1151" s="33">
        <f t="shared" si="117"/>
        <v>0</v>
      </c>
      <c r="N1151" s="33"/>
    </row>
    <row r="1152" spans="7:14" ht="16.5" customHeight="1">
      <c r="G1152" s="30">
        <f t="shared" ref="G1152:G1215" si="118">IF(P1152="TL tuyệt đối",K1152*103%,K1152+1/3*M1152)</f>
        <v>0</v>
      </c>
      <c r="H1152" s="31">
        <f t="shared" ref="H1152:H1215" si="119">IF(P1152="TL tuyệt đối",K1152*101%,K1152-1/3*M1152)</f>
        <v>0</v>
      </c>
      <c r="I1152" s="31">
        <f t="shared" ref="I1152:I1215" si="120">IF(P1152="TL tuyệt đối", K1152*105%,K1152+M1152)</f>
        <v>0</v>
      </c>
      <c r="J1152" s="31">
        <f t="shared" si="116"/>
        <v>0</v>
      </c>
      <c r="M1152" s="33">
        <f t="shared" si="117"/>
        <v>0</v>
      </c>
      <c r="N1152" s="33"/>
    </row>
    <row r="1153" spans="7:14" ht="16.5" customHeight="1">
      <c r="G1153" s="30">
        <f t="shared" si="118"/>
        <v>0</v>
      </c>
      <c r="H1153" s="31">
        <f t="shared" si="119"/>
        <v>0</v>
      </c>
      <c r="I1153" s="31">
        <f t="shared" si="120"/>
        <v>0</v>
      </c>
      <c r="J1153" s="31">
        <f t="shared" si="116"/>
        <v>0</v>
      </c>
      <c r="M1153" s="33">
        <f t="shared" si="117"/>
        <v>0</v>
      </c>
      <c r="N1153" s="33"/>
    </row>
    <row r="1154" spans="7:14" ht="16.5" customHeight="1">
      <c r="G1154" s="30">
        <f t="shared" si="118"/>
        <v>0</v>
      </c>
      <c r="H1154" s="31">
        <f t="shared" si="119"/>
        <v>0</v>
      </c>
      <c r="I1154" s="31">
        <f t="shared" si="120"/>
        <v>0</v>
      </c>
      <c r="J1154" s="31">
        <f t="shared" si="116"/>
        <v>0</v>
      </c>
      <c r="M1154" s="33">
        <f t="shared" si="117"/>
        <v>0</v>
      </c>
      <c r="N1154" s="33"/>
    </row>
    <row r="1155" spans="7:14" ht="16.5" customHeight="1">
      <c r="G1155" s="30">
        <f t="shared" si="118"/>
        <v>0</v>
      </c>
      <c r="H1155" s="31">
        <f t="shared" si="119"/>
        <v>0</v>
      </c>
      <c r="I1155" s="31">
        <f t="shared" si="120"/>
        <v>0</v>
      </c>
      <c r="J1155" s="31">
        <f t="shared" si="116"/>
        <v>0</v>
      </c>
      <c r="M1155" s="33">
        <f t="shared" si="117"/>
        <v>0</v>
      </c>
      <c r="N1155" s="33"/>
    </row>
    <row r="1156" spans="7:14" ht="16.5" customHeight="1">
      <c r="G1156" s="30">
        <f t="shared" si="118"/>
        <v>0</v>
      </c>
      <c r="H1156" s="31">
        <f t="shared" si="119"/>
        <v>0</v>
      </c>
      <c r="I1156" s="31">
        <f t="shared" si="120"/>
        <v>0</v>
      </c>
      <c r="J1156" s="31">
        <f t="shared" ref="J1156:J1219" si="121">K1156-M1156</f>
        <v>0</v>
      </c>
      <c r="M1156" s="33">
        <f t="shared" si="117"/>
        <v>0</v>
      </c>
      <c r="N1156" s="33"/>
    </row>
    <row r="1157" spans="7:14" ht="16.5" customHeight="1">
      <c r="G1157" s="30">
        <f t="shared" si="118"/>
        <v>0</v>
      </c>
      <c r="H1157" s="31">
        <f t="shared" si="119"/>
        <v>0</v>
      </c>
      <c r="I1157" s="31">
        <f t="shared" si="120"/>
        <v>0</v>
      </c>
      <c r="J1157" s="31">
        <f t="shared" si="121"/>
        <v>0</v>
      </c>
      <c r="M1157" s="33">
        <f t="shared" si="117"/>
        <v>0</v>
      </c>
      <c r="N1157" s="33"/>
    </row>
    <row r="1158" spans="7:14" ht="16.5" customHeight="1">
      <c r="G1158" s="30">
        <f t="shared" si="118"/>
        <v>0</v>
      </c>
      <c r="H1158" s="31">
        <f t="shared" si="119"/>
        <v>0</v>
      </c>
      <c r="I1158" s="31">
        <f t="shared" si="120"/>
        <v>0</v>
      </c>
      <c r="J1158" s="31">
        <f t="shared" si="121"/>
        <v>0</v>
      </c>
      <c r="M1158" s="33">
        <f t="shared" si="117"/>
        <v>0</v>
      </c>
      <c r="N1158" s="33"/>
    </row>
    <row r="1159" spans="7:14" ht="16.5" customHeight="1">
      <c r="G1159" s="30">
        <f t="shared" si="118"/>
        <v>0</v>
      </c>
      <c r="H1159" s="31">
        <f t="shared" si="119"/>
        <v>0</v>
      </c>
      <c r="I1159" s="31">
        <f t="shared" si="120"/>
        <v>0</v>
      </c>
      <c r="J1159" s="31">
        <f t="shared" si="121"/>
        <v>0</v>
      </c>
      <c r="M1159" s="33">
        <f t="shared" si="117"/>
        <v>0</v>
      </c>
      <c r="N1159" s="33"/>
    </row>
    <row r="1160" spans="7:14" ht="16.5" customHeight="1">
      <c r="G1160" s="30">
        <f t="shared" si="118"/>
        <v>0</v>
      </c>
      <c r="H1160" s="31">
        <f t="shared" si="119"/>
        <v>0</v>
      </c>
      <c r="I1160" s="31">
        <f t="shared" si="120"/>
        <v>0</v>
      </c>
      <c r="J1160" s="31">
        <f t="shared" si="121"/>
        <v>0</v>
      </c>
      <c r="M1160" s="33">
        <f t="shared" si="117"/>
        <v>0</v>
      </c>
      <c r="N1160" s="33"/>
    </row>
    <row r="1161" spans="7:14" ht="16.5" customHeight="1">
      <c r="G1161" s="30">
        <f t="shared" si="118"/>
        <v>0</v>
      </c>
      <c r="H1161" s="31">
        <f t="shared" si="119"/>
        <v>0</v>
      </c>
      <c r="I1161" s="31">
        <f t="shared" si="120"/>
        <v>0</v>
      </c>
      <c r="J1161" s="31">
        <f t="shared" si="121"/>
        <v>0</v>
      </c>
      <c r="M1161" s="33">
        <f t="shared" si="117"/>
        <v>0</v>
      </c>
      <c r="N1161" s="33"/>
    </row>
    <row r="1162" spans="7:14" ht="16.5" customHeight="1">
      <c r="G1162" s="30">
        <f t="shared" si="118"/>
        <v>0</v>
      </c>
      <c r="H1162" s="31">
        <f t="shared" si="119"/>
        <v>0</v>
      </c>
      <c r="I1162" s="31">
        <f t="shared" si="120"/>
        <v>0</v>
      </c>
      <c r="J1162" s="31">
        <f t="shared" si="121"/>
        <v>0</v>
      </c>
      <c r="M1162" s="33">
        <f t="shared" si="117"/>
        <v>0</v>
      </c>
      <c r="N1162" s="33"/>
    </row>
    <row r="1163" spans="7:14" ht="16.5" customHeight="1">
      <c r="G1163" s="30">
        <f t="shared" si="118"/>
        <v>0</v>
      </c>
      <c r="H1163" s="31">
        <f t="shared" si="119"/>
        <v>0</v>
      </c>
      <c r="I1163" s="31">
        <f t="shared" si="120"/>
        <v>0</v>
      </c>
      <c r="J1163" s="31">
        <f t="shared" si="121"/>
        <v>0</v>
      </c>
      <c r="M1163" s="33">
        <f t="shared" si="117"/>
        <v>0</v>
      </c>
      <c r="N1163" s="33"/>
    </row>
    <row r="1164" spans="7:14" ht="16.5" customHeight="1">
      <c r="G1164" s="30">
        <f t="shared" si="118"/>
        <v>0</v>
      </c>
      <c r="H1164" s="31">
        <f t="shared" si="119"/>
        <v>0</v>
      </c>
      <c r="I1164" s="31">
        <f t="shared" si="120"/>
        <v>0</v>
      </c>
      <c r="J1164" s="31">
        <f t="shared" si="121"/>
        <v>0</v>
      </c>
      <c r="M1164" s="33">
        <f t="shared" si="117"/>
        <v>0</v>
      </c>
      <c r="N1164" s="33"/>
    </row>
    <row r="1165" spans="7:14" ht="16.5" customHeight="1">
      <c r="G1165" s="30">
        <f t="shared" si="118"/>
        <v>0</v>
      </c>
      <c r="H1165" s="31">
        <f t="shared" si="119"/>
        <v>0</v>
      </c>
      <c r="I1165" s="31">
        <f t="shared" si="120"/>
        <v>0</v>
      </c>
      <c r="J1165" s="31">
        <f t="shared" si="121"/>
        <v>0</v>
      </c>
      <c r="M1165" s="33">
        <f t="shared" si="117"/>
        <v>0</v>
      </c>
      <c r="N1165" s="33"/>
    </row>
    <row r="1166" spans="7:14" ht="16.5" customHeight="1">
      <c r="G1166" s="30">
        <f t="shared" si="118"/>
        <v>0</v>
      </c>
      <c r="H1166" s="31">
        <f t="shared" si="119"/>
        <v>0</v>
      </c>
      <c r="I1166" s="31">
        <f t="shared" si="120"/>
        <v>0</v>
      </c>
      <c r="J1166" s="31">
        <f t="shared" si="121"/>
        <v>0</v>
      </c>
      <c r="M1166" s="33">
        <f t="shared" si="117"/>
        <v>0</v>
      </c>
      <c r="N1166" s="33"/>
    </row>
    <row r="1167" spans="7:14" ht="16.5" customHeight="1">
      <c r="G1167" s="30">
        <f t="shared" si="118"/>
        <v>0</v>
      </c>
      <c r="H1167" s="31">
        <f t="shared" si="119"/>
        <v>0</v>
      </c>
      <c r="I1167" s="31">
        <f t="shared" si="120"/>
        <v>0</v>
      </c>
      <c r="J1167" s="31">
        <f t="shared" si="121"/>
        <v>0</v>
      </c>
      <c r="M1167" s="33">
        <f t="shared" si="117"/>
        <v>0</v>
      </c>
      <c r="N1167" s="33"/>
    </row>
    <row r="1168" spans="7:14" ht="16.5" customHeight="1">
      <c r="G1168" s="30">
        <f t="shared" si="118"/>
        <v>0</v>
      </c>
      <c r="H1168" s="31">
        <f t="shared" si="119"/>
        <v>0</v>
      </c>
      <c r="I1168" s="31">
        <f t="shared" si="120"/>
        <v>0</v>
      </c>
      <c r="J1168" s="31">
        <f t="shared" si="121"/>
        <v>0</v>
      </c>
      <c r="M1168" s="33">
        <f t="shared" si="117"/>
        <v>0</v>
      </c>
      <c r="N1168" s="33"/>
    </row>
    <row r="1169" spans="7:14" ht="16.5" customHeight="1">
      <c r="G1169" s="30">
        <f t="shared" si="118"/>
        <v>0</v>
      </c>
      <c r="H1169" s="31">
        <f t="shared" si="119"/>
        <v>0</v>
      </c>
      <c r="I1169" s="31">
        <f t="shared" si="120"/>
        <v>0</v>
      </c>
      <c r="J1169" s="31">
        <f t="shared" si="121"/>
        <v>0</v>
      </c>
      <c r="M1169" s="33">
        <f t="shared" si="117"/>
        <v>0</v>
      </c>
      <c r="N1169" s="33"/>
    </row>
    <row r="1170" spans="7:14" ht="16.5" customHeight="1">
      <c r="G1170" s="30">
        <f t="shared" si="118"/>
        <v>0</v>
      </c>
      <c r="H1170" s="31">
        <f t="shared" si="119"/>
        <v>0</v>
      </c>
      <c r="I1170" s="31">
        <f t="shared" si="120"/>
        <v>0</v>
      </c>
      <c r="J1170" s="31">
        <f t="shared" si="121"/>
        <v>0</v>
      </c>
      <c r="M1170" s="33">
        <f t="shared" si="117"/>
        <v>0</v>
      </c>
      <c r="N1170" s="33"/>
    </row>
    <row r="1171" spans="7:14" ht="16.5" customHeight="1">
      <c r="G1171" s="30">
        <f t="shared" si="118"/>
        <v>0</v>
      </c>
      <c r="H1171" s="31">
        <f t="shared" si="119"/>
        <v>0</v>
      </c>
      <c r="I1171" s="31">
        <f t="shared" si="120"/>
        <v>0</v>
      </c>
      <c r="J1171" s="31">
        <f t="shared" si="121"/>
        <v>0</v>
      </c>
      <c r="M1171" s="33">
        <f t="shared" si="117"/>
        <v>0</v>
      </c>
      <c r="N1171" s="33"/>
    </row>
    <row r="1172" spans="7:14" ht="16.5" customHeight="1">
      <c r="G1172" s="30">
        <f t="shared" si="118"/>
        <v>0</v>
      </c>
      <c r="H1172" s="31">
        <f t="shared" si="119"/>
        <v>0</v>
      </c>
      <c r="I1172" s="31">
        <f t="shared" si="120"/>
        <v>0</v>
      </c>
      <c r="J1172" s="31">
        <f t="shared" si="121"/>
        <v>0</v>
      </c>
      <c r="M1172" s="33">
        <f t="shared" si="117"/>
        <v>0</v>
      </c>
      <c r="N1172" s="33"/>
    </row>
    <row r="1173" spans="7:14" ht="16.5" customHeight="1">
      <c r="G1173" s="30">
        <f t="shared" si="118"/>
        <v>0</v>
      </c>
      <c r="H1173" s="31">
        <f t="shared" si="119"/>
        <v>0</v>
      </c>
      <c r="I1173" s="31">
        <f t="shared" si="120"/>
        <v>0</v>
      </c>
      <c r="J1173" s="31">
        <f t="shared" si="121"/>
        <v>0</v>
      </c>
      <c r="M1173" s="33">
        <f t="shared" si="117"/>
        <v>0</v>
      </c>
      <c r="N1173" s="33"/>
    </row>
    <row r="1174" spans="7:14" ht="16.5" customHeight="1">
      <c r="G1174" s="30">
        <f t="shared" si="118"/>
        <v>0</v>
      </c>
      <c r="H1174" s="31">
        <f t="shared" si="119"/>
        <v>0</v>
      </c>
      <c r="I1174" s="31">
        <f t="shared" si="120"/>
        <v>0</v>
      </c>
      <c r="J1174" s="31">
        <f t="shared" si="121"/>
        <v>0</v>
      </c>
      <c r="M1174" s="33">
        <f t="shared" si="117"/>
        <v>0</v>
      </c>
      <c r="N1174" s="33"/>
    </row>
    <row r="1175" spans="7:14" ht="16.5" customHeight="1">
      <c r="G1175" s="30">
        <f t="shared" si="118"/>
        <v>0</v>
      </c>
      <c r="H1175" s="31">
        <f t="shared" si="119"/>
        <v>0</v>
      </c>
      <c r="I1175" s="31">
        <f t="shared" si="120"/>
        <v>0</v>
      </c>
      <c r="J1175" s="31">
        <f t="shared" si="121"/>
        <v>0</v>
      </c>
      <c r="M1175" s="33">
        <f t="shared" si="117"/>
        <v>0</v>
      </c>
      <c r="N1175" s="33"/>
    </row>
    <row r="1176" spans="7:14" ht="16.5" customHeight="1">
      <c r="G1176" s="30">
        <f t="shared" si="118"/>
        <v>0</v>
      </c>
      <c r="H1176" s="31">
        <f t="shared" si="119"/>
        <v>0</v>
      </c>
      <c r="I1176" s="31">
        <f t="shared" si="120"/>
        <v>0</v>
      </c>
      <c r="J1176" s="31">
        <f t="shared" si="121"/>
        <v>0</v>
      </c>
      <c r="M1176" s="33">
        <f t="shared" si="117"/>
        <v>0</v>
      </c>
      <c r="N1176" s="33"/>
    </row>
    <row r="1177" spans="7:14" ht="16.5" customHeight="1">
      <c r="G1177" s="30">
        <f t="shared" si="118"/>
        <v>0</v>
      </c>
      <c r="H1177" s="31">
        <f t="shared" si="119"/>
        <v>0</v>
      </c>
      <c r="I1177" s="31">
        <f t="shared" si="120"/>
        <v>0</v>
      </c>
      <c r="J1177" s="31">
        <f t="shared" si="121"/>
        <v>0</v>
      </c>
      <c r="M1177" s="33">
        <f t="shared" si="117"/>
        <v>0</v>
      </c>
      <c r="N1177" s="33"/>
    </row>
    <row r="1178" spans="7:14" ht="16.5" customHeight="1">
      <c r="G1178" s="30">
        <f t="shared" si="118"/>
        <v>0</v>
      </c>
      <c r="H1178" s="31">
        <f t="shared" si="119"/>
        <v>0</v>
      </c>
      <c r="I1178" s="31">
        <f t="shared" si="120"/>
        <v>0</v>
      </c>
      <c r="J1178" s="31">
        <f t="shared" si="121"/>
        <v>0</v>
      </c>
      <c r="M1178" s="33">
        <f t="shared" si="117"/>
        <v>0</v>
      </c>
      <c r="N1178" s="33"/>
    </row>
    <row r="1179" spans="7:14" ht="16.5" customHeight="1">
      <c r="G1179" s="30">
        <f t="shared" si="118"/>
        <v>0</v>
      </c>
      <c r="H1179" s="31">
        <f t="shared" si="119"/>
        <v>0</v>
      </c>
      <c r="I1179" s="31">
        <f t="shared" si="120"/>
        <v>0</v>
      </c>
      <c r="J1179" s="31">
        <f t="shared" si="121"/>
        <v>0</v>
      </c>
      <c r="M1179" s="33">
        <f t="shared" si="117"/>
        <v>0</v>
      </c>
      <c r="N1179" s="33"/>
    </row>
    <row r="1180" spans="7:14" ht="16.5" customHeight="1">
      <c r="G1180" s="30">
        <f t="shared" si="118"/>
        <v>0</v>
      </c>
      <c r="H1180" s="31">
        <f t="shared" si="119"/>
        <v>0</v>
      </c>
      <c r="I1180" s="31">
        <f t="shared" si="120"/>
        <v>0</v>
      </c>
      <c r="J1180" s="31">
        <f t="shared" si="121"/>
        <v>0</v>
      </c>
      <c r="M1180" s="33">
        <f t="shared" si="117"/>
        <v>0</v>
      </c>
      <c r="N1180" s="33"/>
    </row>
    <row r="1181" spans="7:14" ht="16.5" customHeight="1">
      <c r="G1181" s="30">
        <f t="shared" si="118"/>
        <v>0</v>
      </c>
      <c r="H1181" s="31">
        <f t="shared" si="119"/>
        <v>0</v>
      </c>
      <c r="I1181" s="31">
        <f t="shared" si="120"/>
        <v>0</v>
      </c>
      <c r="J1181" s="31">
        <f t="shared" si="121"/>
        <v>0</v>
      </c>
      <c r="M1181" s="33">
        <f t="shared" si="117"/>
        <v>0</v>
      </c>
      <c r="N1181" s="33"/>
    </row>
    <row r="1182" spans="7:14" ht="16.5" customHeight="1">
      <c r="G1182" s="30">
        <f t="shared" si="118"/>
        <v>0</v>
      </c>
      <c r="H1182" s="31">
        <f t="shared" si="119"/>
        <v>0</v>
      </c>
      <c r="I1182" s="31">
        <f t="shared" si="120"/>
        <v>0</v>
      </c>
      <c r="J1182" s="31">
        <f t="shared" si="121"/>
        <v>0</v>
      </c>
      <c r="M1182" s="33">
        <f t="shared" si="117"/>
        <v>0</v>
      </c>
      <c r="N1182" s="33"/>
    </row>
    <row r="1183" spans="7:14" ht="16.5" customHeight="1">
      <c r="G1183" s="30">
        <f t="shared" si="118"/>
        <v>0</v>
      </c>
      <c r="H1183" s="31">
        <f t="shared" si="119"/>
        <v>0</v>
      </c>
      <c r="I1183" s="31">
        <f t="shared" si="120"/>
        <v>0</v>
      </c>
      <c r="J1183" s="31">
        <f t="shared" si="121"/>
        <v>0</v>
      </c>
      <c r="M1183" s="33">
        <f t="shared" si="117"/>
        <v>0</v>
      </c>
      <c r="N1183" s="33"/>
    </row>
    <row r="1184" spans="7:14" ht="16.5" customHeight="1">
      <c r="G1184" s="30">
        <f t="shared" si="118"/>
        <v>0</v>
      </c>
      <c r="H1184" s="31">
        <f t="shared" si="119"/>
        <v>0</v>
      </c>
      <c r="I1184" s="31">
        <f t="shared" si="120"/>
        <v>0</v>
      </c>
      <c r="J1184" s="31">
        <f t="shared" si="121"/>
        <v>0</v>
      </c>
      <c r="M1184" s="33">
        <f t="shared" si="117"/>
        <v>0</v>
      </c>
      <c r="N1184" s="33"/>
    </row>
    <row r="1185" spans="7:14" ht="16.5" customHeight="1">
      <c r="G1185" s="30">
        <f t="shared" si="118"/>
        <v>0</v>
      </c>
      <c r="H1185" s="31">
        <f t="shared" si="119"/>
        <v>0</v>
      </c>
      <c r="I1185" s="31">
        <f t="shared" si="120"/>
        <v>0</v>
      </c>
      <c r="J1185" s="31">
        <f t="shared" si="121"/>
        <v>0</v>
      </c>
      <c r="M1185" s="33">
        <f t="shared" si="117"/>
        <v>0</v>
      </c>
      <c r="N1185" s="33"/>
    </row>
    <row r="1186" spans="7:14" ht="16.5" customHeight="1">
      <c r="G1186" s="30">
        <f t="shared" si="118"/>
        <v>0</v>
      </c>
      <c r="H1186" s="31">
        <f t="shared" si="119"/>
        <v>0</v>
      </c>
      <c r="I1186" s="31">
        <f t="shared" si="120"/>
        <v>0</v>
      </c>
      <c r="J1186" s="31">
        <f t="shared" si="121"/>
        <v>0</v>
      </c>
      <c r="M1186" s="33">
        <f t="shared" si="117"/>
        <v>0</v>
      </c>
      <c r="N1186" s="33"/>
    </row>
    <row r="1187" spans="7:14" ht="16.5" customHeight="1">
      <c r="G1187" s="30">
        <f t="shared" si="118"/>
        <v>0</v>
      </c>
      <c r="H1187" s="31">
        <f t="shared" si="119"/>
        <v>0</v>
      </c>
      <c r="I1187" s="31">
        <f t="shared" si="120"/>
        <v>0</v>
      </c>
      <c r="J1187" s="31">
        <f t="shared" si="121"/>
        <v>0</v>
      </c>
      <c r="M1187" s="33">
        <f t="shared" si="117"/>
        <v>0</v>
      </c>
      <c r="N1187" s="33"/>
    </row>
    <row r="1188" spans="7:14" ht="16.5" customHeight="1">
      <c r="G1188" s="30">
        <f t="shared" si="118"/>
        <v>0</v>
      </c>
      <c r="H1188" s="31">
        <f t="shared" si="119"/>
        <v>0</v>
      </c>
      <c r="I1188" s="31">
        <f t="shared" si="120"/>
        <v>0</v>
      </c>
      <c r="J1188" s="31">
        <f t="shared" si="121"/>
        <v>0</v>
      </c>
      <c r="M1188" s="33">
        <f t="shared" si="117"/>
        <v>0</v>
      </c>
      <c r="N1188" s="33"/>
    </row>
    <row r="1189" spans="7:14" ht="16.5" customHeight="1">
      <c r="G1189" s="30">
        <f t="shared" si="118"/>
        <v>0</v>
      </c>
      <c r="H1189" s="31">
        <f t="shared" si="119"/>
        <v>0</v>
      </c>
      <c r="I1189" s="31">
        <f t="shared" si="120"/>
        <v>0</v>
      </c>
      <c r="J1189" s="31">
        <f t="shared" si="121"/>
        <v>0</v>
      </c>
      <c r="M1189" s="33">
        <f t="shared" si="117"/>
        <v>0</v>
      </c>
      <c r="N1189" s="33"/>
    </row>
    <row r="1190" spans="7:14" ht="16.5" customHeight="1">
      <c r="G1190" s="30">
        <f t="shared" si="118"/>
        <v>0</v>
      </c>
      <c r="H1190" s="31">
        <f t="shared" si="119"/>
        <v>0</v>
      </c>
      <c r="I1190" s="31">
        <f t="shared" si="120"/>
        <v>0</v>
      </c>
      <c r="J1190" s="31">
        <f t="shared" si="121"/>
        <v>0</v>
      </c>
      <c r="M1190" s="33">
        <f t="shared" si="117"/>
        <v>0</v>
      </c>
      <c r="N1190" s="33"/>
    </row>
    <row r="1191" spans="7:14" ht="16.5" customHeight="1">
      <c r="G1191" s="30">
        <f t="shared" si="118"/>
        <v>0</v>
      </c>
      <c r="H1191" s="31">
        <f t="shared" si="119"/>
        <v>0</v>
      </c>
      <c r="I1191" s="31">
        <f t="shared" si="120"/>
        <v>0</v>
      </c>
      <c r="J1191" s="31">
        <f t="shared" si="121"/>
        <v>0</v>
      </c>
      <c r="M1191" s="33">
        <f t="shared" si="117"/>
        <v>0</v>
      </c>
      <c r="N1191" s="33"/>
    </row>
    <row r="1192" spans="7:14" ht="16.5" customHeight="1">
      <c r="G1192" s="30">
        <f t="shared" si="118"/>
        <v>0</v>
      </c>
      <c r="H1192" s="31">
        <f t="shared" si="119"/>
        <v>0</v>
      </c>
      <c r="I1192" s="31">
        <f t="shared" si="120"/>
        <v>0</v>
      </c>
      <c r="J1192" s="31">
        <f t="shared" si="121"/>
        <v>0</v>
      </c>
      <c r="M1192" s="33">
        <f t="shared" si="117"/>
        <v>0</v>
      </c>
      <c r="N1192" s="33"/>
    </row>
    <row r="1193" spans="7:14" ht="16.5" customHeight="1">
      <c r="G1193" s="30">
        <f t="shared" si="118"/>
        <v>0</v>
      </c>
      <c r="H1193" s="31">
        <f t="shared" si="119"/>
        <v>0</v>
      </c>
      <c r="I1193" s="31">
        <f t="shared" si="120"/>
        <v>0</v>
      </c>
      <c r="J1193" s="31">
        <f t="shared" si="121"/>
        <v>0</v>
      </c>
      <c r="M1193" s="33">
        <f t="shared" si="117"/>
        <v>0</v>
      </c>
      <c r="N1193" s="33"/>
    </row>
    <row r="1194" spans="7:14" ht="16.5" customHeight="1">
      <c r="G1194" s="30">
        <f t="shared" si="118"/>
        <v>0</v>
      </c>
      <c r="H1194" s="31">
        <f t="shared" si="119"/>
        <v>0</v>
      </c>
      <c r="I1194" s="31">
        <f t="shared" si="120"/>
        <v>0</v>
      </c>
      <c r="J1194" s="31">
        <f t="shared" si="121"/>
        <v>0</v>
      </c>
      <c r="M1194" s="33">
        <f t="shared" si="117"/>
        <v>0</v>
      </c>
      <c r="N1194" s="33"/>
    </row>
    <row r="1195" spans="7:14" ht="16.5" customHeight="1">
      <c r="G1195" s="30">
        <f t="shared" si="118"/>
        <v>0</v>
      </c>
      <c r="H1195" s="31">
        <f t="shared" si="119"/>
        <v>0</v>
      </c>
      <c r="I1195" s="31">
        <f t="shared" si="120"/>
        <v>0</v>
      </c>
      <c r="J1195" s="31">
        <f t="shared" si="121"/>
        <v>0</v>
      </c>
      <c r="M1195" s="33">
        <f t="shared" si="117"/>
        <v>0</v>
      </c>
      <c r="N1195" s="33"/>
    </row>
    <row r="1196" spans="7:14" ht="16.5" customHeight="1">
      <c r="G1196" s="30">
        <f t="shared" si="118"/>
        <v>0</v>
      </c>
      <c r="H1196" s="31">
        <f t="shared" si="119"/>
        <v>0</v>
      </c>
      <c r="I1196" s="31">
        <f t="shared" si="120"/>
        <v>0</v>
      </c>
      <c r="J1196" s="31">
        <f t="shared" si="121"/>
        <v>0</v>
      </c>
      <c r="M1196" s="33">
        <f t="shared" si="117"/>
        <v>0</v>
      </c>
      <c r="N1196" s="33"/>
    </row>
    <row r="1197" spans="7:14" ht="16.5" customHeight="1">
      <c r="G1197" s="30">
        <f t="shared" si="118"/>
        <v>0</v>
      </c>
      <c r="H1197" s="31">
        <f t="shared" si="119"/>
        <v>0</v>
      </c>
      <c r="I1197" s="31">
        <f t="shared" si="120"/>
        <v>0</v>
      </c>
      <c r="J1197" s="31">
        <f t="shared" si="121"/>
        <v>0</v>
      </c>
      <c r="M1197" s="33">
        <f t="shared" si="117"/>
        <v>0</v>
      </c>
      <c r="N1197" s="33"/>
    </row>
    <row r="1198" spans="7:14" ht="16.5" customHeight="1">
      <c r="G1198" s="30">
        <f t="shared" si="118"/>
        <v>0</v>
      </c>
      <c r="H1198" s="31">
        <f t="shared" si="119"/>
        <v>0</v>
      </c>
      <c r="I1198" s="31">
        <f t="shared" si="120"/>
        <v>0</v>
      </c>
      <c r="J1198" s="31">
        <f t="shared" si="121"/>
        <v>0</v>
      </c>
      <c r="M1198" s="33">
        <f t="shared" si="117"/>
        <v>0</v>
      </c>
      <c r="N1198" s="33"/>
    </row>
    <row r="1199" spans="7:14" ht="16.5" customHeight="1">
      <c r="G1199" s="30">
        <f t="shared" si="118"/>
        <v>0</v>
      </c>
      <c r="H1199" s="31">
        <f t="shared" si="119"/>
        <v>0</v>
      </c>
      <c r="I1199" s="31">
        <f t="shared" si="120"/>
        <v>0</v>
      </c>
      <c r="J1199" s="31">
        <f t="shared" si="121"/>
        <v>0</v>
      </c>
      <c r="M1199" s="33">
        <f t="shared" si="117"/>
        <v>0</v>
      </c>
      <c r="N1199" s="33"/>
    </row>
    <row r="1200" spans="7:14" ht="16.5" customHeight="1">
      <c r="G1200" s="30">
        <f t="shared" si="118"/>
        <v>0</v>
      </c>
      <c r="H1200" s="31">
        <f t="shared" si="119"/>
        <v>0</v>
      </c>
      <c r="I1200" s="31">
        <f t="shared" si="120"/>
        <v>0</v>
      </c>
      <c r="J1200" s="31">
        <f t="shared" si="121"/>
        <v>0</v>
      </c>
      <c r="M1200" s="33">
        <f t="shared" si="117"/>
        <v>0</v>
      </c>
      <c r="N1200" s="33"/>
    </row>
    <row r="1201" spans="7:14" ht="16.5" customHeight="1">
      <c r="G1201" s="30">
        <f t="shared" si="118"/>
        <v>0</v>
      </c>
      <c r="H1201" s="31">
        <f t="shared" si="119"/>
        <v>0</v>
      </c>
      <c r="I1201" s="31">
        <f t="shared" si="120"/>
        <v>0</v>
      </c>
      <c r="J1201" s="31">
        <f t="shared" si="121"/>
        <v>0</v>
      </c>
      <c r="M1201" s="33">
        <f t="shared" si="117"/>
        <v>0</v>
      </c>
      <c r="N1201" s="33"/>
    </row>
    <row r="1202" spans="7:14" ht="16.5" customHeight="1">
      <c r="G1202" s="30">
        <f t="shared" si="118"/>
        <v>0</v>
      </c>
      <c r="H1202" s="31">
        <f t="shared" si="119"/>
        <v>0</v>
      </c>
      <c r="I1202" s="31">
        <f t="shared" si="120"/>
        <v>0</v>
      </c>
      <c r="J1202" s="31">
        <f t="shared" si="121"/>
        <v>0</v>
      </c>
      <c r="M1202" s="33">
        <f t="shared" si="117"/>
        <v>0</v>
      </c>
      <c r="N1202" s="33"/>
    </row>
    <row r="1203" spans="7:14" ht="16.5" customHeight="1">
      <c r="G1203" s="30">
        <f t="shared" si="118"/>
        <v>0</v>
      </c>
      <c r="H1203" s="31">
        <f t="shared" si="119"/>
        <v>0</v>
      </c>
      <c r="I1203" s="31">
        <f t="shared" si="120"/>
        <v>0</v>
      </c>
      <c r="J1203" s="31">
        <f t="shared" si="121"/>
        <v>0</v>
      </c>
      <c r="M1203" s="33">
        <f t="shared" si="117"/>
        <v>0</v>
      </c>
      <c r="N1203" s="33"/>
    </row>
    <row r="1204" spans="7:14" ht="16.5" customHeight="1">
      <c r="G1204" s="30">
        <f t="shared" si="118"/>
        <v>0</v>
      </c>
      <c r="H1204" s="31">
        <f t="shared" si="119"/>
        <v>0</v>
      </c>
      <c r="I1204" s="31">
        <f t="shared" si="120"/>
        <v>0</v>
      </c>
      <c r="J1204" s="31">
        <f t="shared" si="121"/>
        <v>0</v>
      </c>
      <c r="M1204" s="33">
        <f t="shared" si="117"/>
        <v>0</v>
      </c>
      <c r="N1204" s="33"/>
    </row>
    <row r="1205" spans="7:14" ht="16.5" customHeight="1">
      <c r="G1205" s="30">
        <f t="shared" si="118"/>
        <v>0</v>
      </c>
      <c r="H1205" s="31">
        <f t="shared" si="119"/>
        <v>0</v>
      </c>
      <c r="I1205" s="31">
        <f t="shared" si="120"/>
        <v>0</v>
      </c>
      <c r="J1205" s="31">
        <f t="shared" si="121"/>
        <v>0</v>
      </c>
      <c r="M1205" s="33">
        <f t="shared" si="117"/>
        <v>0</v>
      </c>
      <c r="N1205" s="33"/>
    </row>
    <row r="1206" spans="7:14" ht="16.5" customHeight="1">
      <c r="G1206" s="30">
        <f t="shared" si="118"/>
        <v>0</v>
      </c>
      <c r="H1206" s="31">
        <f t="shared" si="119"/>
        <v>0</v>
      </c>
      <c r="I1206" s="31">
        <f t="shared" si="120"/>
        <v>0</v>
      </c>
      <c r="J1206" s="31">
        <f t="shared" si="121"/>
        <v>0</v>
      </c>
      <c r="M1206" s="33">
        <f t="shared" si="117"/>
        <v>0</v>
      </c>
      <c r="N1206" s="33"/>
    </row>
    <row r="1207" spans="7:14" ht="16.5" customHeight="1">
      <c r="G1207" s="30">
        <f t="shared" si="118"/>
        <v>0</v>
      </c>
      <c r="H1207" s="31">
        <f t="shared" si="119"/>
        <v>0</v>
      </c>
      <c r="I1207" s="31">
        <f t="shared" si="120"/>
        <v>0</v>
      </c>
      <c r="J1207" s="31">
        <f t="shared" si="121"/>
        <v>0</v>
      </c>
      <c r="M1207" s="33">
        <f t="shared" si="117"/>
        <v>0</v>
      </c>
      <c r="N1207" s="33"/>
    </row>
    <row r="1208" spans="7:14" ht="16.5" customHeight="1">
      <c r="G1208" s="30">
        <f t="shared" si="118"/>
        <v>0</v>
      </c>
      <c r="H1208" s="31">
        <f t="shared" si="119"/>
        <v>0</v>
      </c>
      <c r="I1208" s="31">
        <f t="shared" si="120"/>
        <v>0</v>
      </c>
      <c r="J1208" s="31">
        <f t="shared" si="121"/>
        <v>0</v>
      </c>
      <c r="M1208" s="33">
        <f t="shared" si="117"/>
        <v>0</v>
      </c>
      <c r="N1208" s="33"/>
    </row>
    <row r="1209" spans="7:14" ht="16.5" customHeight="1">
      <c r="G1209" s="30">
        <f t="shared" si="118"/>
        <v>0</v>
      </c>
      <c r="H1209" s="31">
        <f t="shared" si="119"/>
        <v>0</v>
      </c>
      <c r="I1209" s="31">
        <f t="shared" si="120"/>
        <v>0</v>
      </c>
      <c r="J1209" s="31">
        <f t="shared" si="121"/>
        <v>0</v>
      </c>
      <c r="M1209" s="33">
        <f t="shared" si="117"/>
        <v>0</v>
      </c>
      <c r="N1209" s="33"/>
    </row>
    <row r="1210" spans="7:14" ht="16.5" customHeight="1">
      <c r="G1210" s="30">
        <f t="shared" si="118"/>
        <v>0</v>
      </c>
      <c r="H1210" s="31">
        <f t="shared" si="119"/>
        <v>0</v>
      </c>
      <c r="I1210" s="31">
        <f t="shared" si="120"/>
        <v>0</v>
      </c>
      <c r="J1210" s="31">
        <f t="shared" si="121"/>
        <v>0</v>
      </c>
      <c r="M1210" s="33">
        <f t="shared" si="117"/>
        <v>0</v>
      </c>
      <c r="N1210" s="33"/>
    </row>
    <row r="1211" spans="7:14" ht="16.5" customHeight="1">
      <c r="G1211" s="30">
        <f t="shared" si="118"/>
        <v>0</v>
      </c>
      <c r="H1211" s="31">
        <f t="shared" si="119"/>
        <v>0</v>
      </c>
      <c r="I1211" s="31">
        <f t="shared" si="120"/>
        <v>0</v>
      </c>
      <c r="J1211" s="31">
        <f t="shared" si="121"/>
        <v>0</v>
      </c>
      <c r="M1211" s="33">
        <f t="shared" si="117"/>
        <v>0</v>
      </c>
      <c r="N1211" s="33"/>
    </row>
    <row r="1212" spans="7:14" ht="16.5" customHeight="1">
      <c r="G1212" s="30">
        <f t="shared" si="118"/>
        <v>0</v>
      </c>
      <c r="H1212" s="31">
        <f t="shared" si="119"/>
        <v>0</v>
      </c>
      <c r="I1212" s="31">
        <f t="shared" si="120"/>
        <v>0</v>
      </c>
      <c r="J1212" s="31">
        <f t="shared" si="121"/>
        <v>0</v>
      </c>
      <c r="M1212" s="33">
        <f t="shared" si="117"/>
        <v>0</v>
      </c>
      <c r="N1212" s="33"/>
    </row>
    <row r="1213" spans="7:14" ht="16.5" customHeight="1">
      <c r="G1213" s="30">
        <f t="shared" si="118"/>
        <v>0</v>
      </c>
      <c r="H1213" s="31">
        <f t="shared" si="119"/>
        <v>0</v>
      </c>
      <c r="I1213" s="31">
        <f t="shared" si="120"/>
        <v>0</v>
      </c>
      <c r="J1213" s="31">
        <f t="shared" si="121"/>
        <v>0</v>
      </c>
      <c r="M1213" s="33">
        <f t="shared" si="117"/>
        <v>0</v>
      </c>
      <c r="N1213" s="33"/>
    </row>
    <row r="1214" spans="7:14" ht="16.5" customHeight="1">
      <c r="G1214" s="30">
        <f t="shared" si="118"/>
        <v>0</v>
      </c>
      <c r="H1214" s="31">
        <f t="shared" si="119"/>
        <v>0</v>
      </c>
      <c r="I1214" s="31">
        <f t="shared" si="120"/>
        <v>0</v>
      </c>
      <c r="J1214" s="31">
        <f t="shared" si="121"/>
        <v>0</v>
      </c>
      <c r="M1214" s="33">
        <f t="shared" ref="M1214:M1277" si="122">IF(P1214="TL tuyệt đối",0, IF(K1214&lt;5,0,IF(K1214&lt;50,K1214*9%,IF(K1214&lt;100,4.5,IF(K1214&lt;200,4.5%*K1214,IF(K1214&lt;300,9,IF(K1214&lt;500,K1214*3%,IF(K1214&lt;1000,15,))))))))</f>
        <v>0</v>
      </c>
      <c r="N1214" s="33"/>
    </row>
    <row r="1215" spans="7:14" ht="16.5" customHeight="1">
      <c r="G1215" s="30">
        <f t="shared" si="118"/>
        <v>0</v>
      </c>
      <c r="H1215" s="31">
        <f t="shared" si="119"/>
        <v>0</v>
      </c>
      <c r="I1215" s="31">
        <f t="shared" si="120"/>
        <v>0</v>
      </c>
      <c r="J1215" s="31">
        <f t="shared" si="121"/>
        <v>0</v>
      </c>
      <c r="M1215" s="33">
        <f t="shared" si="122"/>
        <v>0</v>
      </c>
      <c r="N1215" s="33"/>
    </row>
    <row r="1216" spans="7:14" ht="16.5" customHeight="1">
      <c r="G1216" s="30">
        <f t="shared" ref="G1216:G1279" si="123">IF(P1216="TL tuyệt đối",K1216*103%,K1216+1/3*M1216)</f>
        <v>0</v>
      </c>
      <c r="H1216" s="31">
        <f t="shared" ref="H1216:H1279" si="124">IF(P1216="TL tuyệt đối",K1216*101%,K1216-1/3*M1216)</f>
        <v>0</v>
      </c>
      <c r="I1216" s="31">
        <f t="shared" ref="I1216:I1279" si="125">IF(P1216="TL tuyệt đối", K1216*105%,K1216+M1216)</f>
        <v>0</v>
      </c>
      <c r="J1216" s="31">
        <f t="shared" si="121"/>
        <v>0</v>
      </c>
      <c r="M1216" s="33">
        <f t="shared" si="122"/>
        <v>0</v>
      </c>
      <c r="N1216" s="33"/>
    </row>
    <row r="1217" spans="7:14" ht="16.5" customHeight="1">
      <c r="G1217" s="30">
        <f t="shared" si="123"/>
        <v>0</v>
      </c>
      <c r="H1217" s="31">
        <f t="shared" si="124"/>
        <v>0</v>
      </c>
      <c r="I1217" s="31">
        <f t="shared" si="125"/>
        <v>0</v>
      </c>
      <c r="J1217" s="31">
        <f t="shared" si="121"/>
        <v>0</v>
      </c>
      <c r="M1217" s="33">
        <f t="shared" si="122"/>
        <v>0</v>
      </c>
      <c r="N1217" s="33"/>
    </row>
    <row r="1218" spans="7:14" ht="16.5" customHeight="1">
      <c r="G1218" s="30">
        <f t="shared" si="123"/>
        <v>0</v>
      </c>
      <c r="H1218" s="31">
        <f t="shared" si="124"/>
        <v>0</v>
      </c>
      <c r="I1218" s="31">
        <f t="shared" si="125"/>
        <v>0</v>
      </c>
      <c r="J1218" s="31">
        <f t="shared" si="121"/>
        <v>0</v>
      </c>
      <c r="M1218" s="33">
        <f t="shared" si="122"/>
        <v>0</v>
      </c>
      <c r="N1218" s="33"/>
    </row>
    <row r="1219" spans="7:14" ht="16.5" customHeight="1">
      <c r="G1219" s="30">
        <f t="shared" si="123"/>
        <v>0</v>
      </c>
      <c r="H1219" s="31">
        <f t="shared" si="124"/>
        <v>0</v>
      </c>
      <c r="I1219" s="31">
        <f t="shared" si="125"/>
        <v>0</v>
      </c>
      <c r="J1219" s="31">
        <f t="shared" si="121"/>
        <v>0</v>
      </c>
      <c r="M1219" s="33">
        <f t="shared" si="122"/>
        <v>0</v>
      </c>
      <c r="N1219" s="33"/>
    </row>
    <row r="1220" spans="7:14" ht="16.5" customHeight="1">
      <c r="G1220" s="30">
        <f t="shared" si="123"/>
        <v>0</v>
      </c>
      <c r="H1220" s="31">
        <f t="shared" si="124"/>
        <v>0</v>
      </c>
      <c r="I1220" s="31">
        <f t="shared" si="125"/>
        <v>0</v>
      </c>
      <c r="J1220" s="31">
        <f t="shared" ref="J1220:J1283" si="126">K1220-M1220</f>
        <v>0</v>
      </c>
      <c r="M1220" s="33">
        <f t="shared" si="122"/>
        <v>0</v>
      </c>
      <c r="N1220" s="33"/>
    </row>
    <row r="1221" spans="7:14" ht="16.5" customHeight="1">
      <c r="G1221" s="30">
        <f t="shared" si="123"/>
        <v>0</v>
      </c>
      <c r="H1221" s="31">
        <f t="shared" si="124"/>
        <v>0</v>
      </c>
      <c r="I1221" s="31">
        <f t="shared" si="125"/>
        <v>0</v>
      </c>
      <c r="J1221" s="31">
        <f t="shared" si="126"/>
        <v>0</v>
      </c>
      <c r="M1221" s="33">
        <f t="shared" si="122"/>
        <v>0</v>
      </c>
      <c r="N1221" s="33"/>
    </row>
    <row r="1222" spans="7:14" ht="16.5" customHeight="1">
      <c r="G1222" s="30">
        <f t="shared" si="123"/>
        <v>0</v>
      </c>
      <c r="H1222" s="31">
        <f t="shared" si="124"/>
        <v>0</v>
      </c>
      <c r="I1222" s="31">
        <f t="shared" si="125"/>
        <v>0</v>
      </c>
      <c r="J1222" s="31">
        <f t="shared" si="126"/>
        <v>0</v>
      </c>
      <c r="M1222" s="33">
        <f t="shared" si="122"/>
        <v>0</v>
      </c>
      <c r="N1222" s="33"/>
    </row>
    <row r="1223" spans="7:14" ht="16.5" customHeight="1">
      <c r="G1223" s="30">
        <f t="shared" si="123"/>
        <v>0</v>
      </c>
      <c r="H1223" s="31">
        <f t="shared" si="124"/>
        <v>0</v>
      </c>
      <c r="I1223" s="31">
        <f t="shared" si="125"/>
        <v>0</v>
      </c>
      <c r="J1223" s="31">
        <f t="shared" si="126"/>
        <v>0</v>
      </c>
      <c r="M1223" s="33">
        <f t="shared" si="122"/>
        <v>0</v>
      </c>
      <c r="N1223" s="33"/>
    </row>
    <row r="1224" spans="7:14" ht="16.5" customHeight="1">
      <c r="G1224" s="30">
        <f t="shared" si="123"/>
        <v>0</v>
      </c>
      <c r="H1224" s="31">
        <f t="shared" si="124"/>
        <v>0</v>
      </c>
      <c r="I1224" s="31">
        <f t="shared" si="125"/>
        <v>0</v>
      </c>
      <c r="J1224" s="31">
        <f t="shared" si="126"/>
        <v>0</v>
      </c>
      <c r="M1224" s="33">
        <f t="shared" si="122"/>
        <v>0</v>
      </c>
      <c r="N1224" s="33"/>
    </row>
    <row r="1225" spans="7:14" ht="16.5" customHeight="1">
      <c r="G1225" s="30">
        <f t="shared" si="123"/>
        <v>0</v>
      </c>
      <c r="H1225" s="31">
        <f t="shared" si="124"/>
        <v>0</v>
      </c>
      <c r="I1225" s="31">
        <f t="shared" si="125"/>
        <v>0</v>
      </c>
      <c r="J1225" s="31">
        <f t="shared" si="126"/>
        <v>0</v>
      </c>
      <c r="M1225" s="33">
        <f t="shared" si="122"/>
        <v>0</v>
      </c>
      <c r="N1225" s="33"/>
    </row>
    <row r="1226" spans="7:14" ht="16.5" customHeight="1">
      <c r="G1226" s="30">
        <f t="shared" si="123"/>
        <v>0</v>
      </c>
      <c r="H1226" s="31">
        <f t="shared" si="124"/>
        <v>0</v>
      </c>
      <c r="I1226" s="31">
        <f t="shared" si="125"/>
        <v>0</v>
      </c>
      <c r="J1226" s="31">
        <f t="shared" si="126"/>
        <v>0</v>
      </c>
      <c r="M1226" s="33">
        <f t="shared" si="122"/>
        <v>0</v>
      </c>
      <c r="N1226" s="33"/>
    </row>
    <row r="1227" spans="7:14" ht="16.5" customHeight="1">
      <c r="G1227" s="30">
        <f t="shared" si="123"/>
        <v>0</v>
      </c>
      <c r="H1227" s="31">
        <f t="shared" si="124"/>
        <v>0</v>
      </c>
      <c r="I1227" s="31">
        <f t="shared" si="125"/>
        <v>0</v>
      </c>
      <c r="J1227" s="31">
        <f t="shared" si="126"/>
        <v>0</v>
      </c>
      <c r="M1227" s="33">
        <f t="shared" si="122"/>
        <v>0</v>
      </c>
      <c r="N1227" s="33"/>
    </row>
    <row r="1228" spans="7:14" ht="16.5" customHeight="1">
      <c r="G1228" s="30">
        <f t="shared" si="123"/>
        <v>0</v>
      </c>
      <c r="H1228" s="31">
        <f t="shared" si="124"/>
        <v>0</v>
      </c>
      <c r="I1228" s="31">
        <f t="shared" si="125"/>
        <v>0</v>
      </c>
      <c r="J1228" s="31">
        <f t="shared" si="126"/>
        <v>0</v>
      </c>
      <c r="M1228" s="33">
        <f t="shared" si="122"/>
        <v>0</v>
      </c>
      <c r="N1228" s="33"/>
    </row>
    <row r="1229" spans="7:14" ht="16.5" customHeight="1">
      <c r="G1229" s="30">
        <f t="shared" si="123"/>
        <v>0</v>
      </c>
      <c r="H1229" s="31">
        <f t="shared" si="124"/>
        <v>0</v>
      </c>
      <c r="I1229" s="31">
        <f t="shared" si="125"/>
        <v>0</v>
      </c>
      <c r="J1229" s="31">
        <f t="shared" si="126"/>
        <v>0</v>
      </c>
      <c r="M1229" s="33">
        <f t="shared" si="122"/>
        <v>0</v>
      </c>
      <c r="N1229" s="33"/>
    </row>
    <row r="1230" spans="7:14" ht="16.5" customHeight="1">
      <c r="G1230" s="30">
        <f t="shared" si="123"/>
        <v>0</v>
      </c>
      <c r="H1230" s="31">
        <f t="shared" si="124"/>
        <v>0</v>
      </c>
      <c r="I1230" s="31">
        <f t="shared" si="125"/>
        <v>0</v>
      </c>
      <c r="J1230" s="31">
        <f t="shared" si="126"/>
        <v>0</v>
      </c>
      <c r="M1230" s="33">
        <f t="shared" si="122"/>
        <v>0</v>
      </c>
      <c r="N1230" s="33"/>
    </row>
    <row r="1231" spans="7:14" ht="16.5" customHeight="1">
      <c r="G1231" s="30">
        <f t="shared" si="123"/>
        <v>0</v>
      </c>
      <c r="H1231" s="31">
        <f t="shared" si="124"/>
        <v>0</v>
      </c>
      <c r="I1231" s="31">
        <f t="shared" si="125"/>
        <v>0</v>
      </c>
      <c r="J1231" s="31">
        <f t="shared" si="126"/>
        <v>0</v>
      </c>
      <c r="M1231" s="33">
        <f t="shared" si="122"/>
        <v>0</v>
      </c>
      <c r="N1231" s="33"/>
    </row>
    <row r="1232" spans="7:14" ht="16.5" customHeight="1">
      <c r="G1232" s="30">
        <f t="shared" si="123"/>
        <v>0</v>
      </c>
      <c r="H1232" s="31">
        <f t="shared" si="124"/>
        <v>0</v>
      </c>
      <c r="I1232" s="31">
        <f t="shared" si="125"/>
        <v>0</v>
      </c>
      <c r="J1232" s="31">
        <f t="shared" si="126"/>
        <v>0</v>
      </c>
      <c r="M1232" s="33">
        <f t="shared" si="122"/>
        <v>0</v>
      </c>
      <c r="N1232" s="33"/>
    </row>
    <row r="1233" spans="7:14" ht="16.5" customHeight="1">
      <c r="G1233" s="30">
        <f t="shared" si="123"/>
        <v>0</v>
      </c>
      <c r="H1233" s="31">
        <f t="shared" si="124"/>
        <v>0</v>
      </c>
      <c r="I1233" s="31">
        <f t="shared" si="125"/>
        <v>0</v>
      </c>
      <c r="J1233" s="31">
        <f t="shared" si="126"/>
        <v>0</v>
      </c>
      <c r="M1233" s="33">
        <f t="shared" si="122"/>
        <v>0</v>
      </c>
      <c r="N1233" s="33"/>
    </row>
    <row r="1234" spans="7:14" ht="16.5" customHeight="1">
      <c r="G1234" s="30">
        <f t="shared" si="123"/>
        <v>0</v>
      </c>
      <c r="H1234" s="31">
        <f t="shared" si="124"/>
        <v>0</v>
      </c>
      <c r="I1234" s="31">
        <f t="shared" si="125"/>
        <v>0</v>
      </c>
      <c r="J1234" s="31">
        <f t="shared" si="126"/>
        <v>0</v>
      </c>
      <c r="M1234" s="33">
        <f t="shared" si="122"/>
        <v>0</v>
      </c>
      <c r="N1234" s="33"/>
    </row>
    <row r="1235" spans="7:14" ht="16.5" customHeight="1">
      <c r="G1235" s="30">
        <f t="shared" si="123"/>
        <v>0</v>
      </c>
      <c r="H1235" s="31">
        <f t="shared" si="124"/>
        <v>0</v>
      </c>
      <c r="I1235" s="31">
        <f t="shared" si="125"/>
        <v>0</v>
      </c>
      <c r="J1235" s="31">
        <f t="shared" si="126"/>
        <v>0</v>
      </c>
      <c r="M1235" s="33">
        <f t="shared" si="122"/>
        <v>0</v>
      </c>
      <c r="N1235" s="33"/>
    </row>
    <row r="1236" spans="7:14" ht="16.5" customHeight="1">
      <c r="G1236" s="30">
        <f t="shared" si="123"/>
        <v>0</v>
      </c>
      <c r="H1236" s="31">
        <f t="shared" si="124"/>
        <v>0</v>
      </c>
      <c r="I1236" s="31">
        <f t="shared" si="125"/>
        <v>0</v>
      </c>
      <c r="J1236" s="31">
        <f t="shared" si="126"/>
        <v>0</v>
      </c>
      <c r="M1236" s="33">
        <f t="shared" si="122"/>
        <v>0</v>
      </c>
      <c r="N1236" s="33"/>
    </row>
    <row r="1237" spans="7:14" ht="16.5" customHeight="1">
      <c r="G1237" s="30">
        <f t="shared" si="123"/>
        <v>0</v>
      </c>
      <c r="H1237" s="31">
        <f t="shared" si="124"/>
        <v>0</v>
      </c>
      <c r="I1237" s="31">
        <f t="shared" si="125"/>
        <v>0</v>
      </c>
      <c r="J1237" s="31">
        <f t="shared" si="126"/>
        <v>0</v>
      </c>
      <c r="M1237" s="33">
        <f t="shared" si="122"/>
        <v>0</v>
      </c>
      <c r="N1237" s="33"/>
    </row>
    <row r="1238" spans="7:14" ht="16.5" customHeight="1">
      <c r="G1238" s="30">
        <f t="shared" si="123"/>
        <v>0</v>
      </c>
      <c r="H1238" s="31">
        <f t="shared" si="124"/>
        <v>0</v>
      </c>
      <c r="I1238" s="31">
        <f t="shared" si="125"/>
        <v>0</v>
      </c>
      <c r="J1238" s="31">
        <f t="shared" si="126"/>
        <v>0</v>
      </c>
      <c r="M1238" s="33">
        <f t="shared" si="122"/>
        <v>0</v>
      </c>
      <c r="N1238" s="33"/>
    </row>
    <row r="1239" spans="7:14" ht="16.5" customHeight="1">
      <c r="G1239" s="30">
        <f t="shared" si="123"/>
        <v>0</v>
      </c>
      <c r="H1239" s="31">
        <f t="shared" si="124"/>
        <v>0</v>
      </c>
      <c r="I1239" s="31">
        <f t="shared" si="125"/>
        <v>0</v>
      </c>
      <c r="J1239" s="31">
        <f t="shared" si="126"/>
        <v>0</v>
      </c>
      <c r="M1239" s="33">
        <f t="shared" si="122"/>
        <v>0</v>
      </c>
      <c r="N1239" s="33"/>
    </row>
    <row r="1240" spans="7:14" ht="16.5" customHeight="1">
      <c r="G1240" s="30">
        <f t="shared" si="123"/>
        <v>0</v>
      </c>
      <c r="H1240" s="31">
        <f t="shared" si="124"/>
        <v>0</v>
      </c>
      <c r="I1240" s="31">
        <f t="shared" si="125"/>
        <v>0</v>
      </c>
      <c r="J1240" s="31">
        <f t="shared" si="126"/>
        <v>0</v>
      </c>
      <c r="M1240" s="33">
        <f t="shared" si="122"/>
        <v>0</v>
      </c>
      <c r="N1240" s="33"/>
    </row>
    <row r="1241" spans="7:14" ht="16.5" customHeight="1">
      <c r="G1241" s="30">
        <f t="shared" si="123"/>
        <v>0</v>
      </c>
      <c r="H1241" s="31">
        <f t="shared" si="124"/>
        <v>0</v>
      </c>
      <c r="I1241" s="31">
        <f t="shared" si="125"/>
        <v>0</v>
      </c>
      <c r="J1241" s="31">
        <f t="shared" si="126"/>
        <v>0</v>
      </c>
      <c r="M1241" s="33">
        <f t="shared" si="122"/>
        <v>0</v>
      </c>
      <c r="N1241" s="33"/>
    </row>
    <row r="1242" spans="7:14" ht="16.5" customHeight="1">
      <c r="G1242" s="30">
        <f t="shared" si="123"/>
        <v>0</v>
      </c>
      <c r="H1242" s="31">
        <f t="shared" si="124"/>
        <v>0</v>
      </c>
      <c r="I1242" s="31">
        <f t="shared" si="125"/>
        <v>0</v>
      </c>
      <c r="J1242" s="31">
        <f t="shared" si="126"/>
        <v>0</v>
      </c>
      <c r="M1242" s="33">
        <f t="shared" si="122"/>
        <v>0</v>
      </c>
      <c r="N1242" s="33"/>
    </row>
    <row r="1243" spans="7:14" ht="16.5" customHeight="1">
      <c r="G1243" s="30">
        <f t="shared" si="123"/>
        <v>0</v>
      </c>
      <c r="H1243" s="31">
        <f t="shared" si="124"/>
        <v>0</v>
      </c>
      <c r="I1243" s="31">
        <f t="shared" si="125"/>
        <v>0</v>
      </c>
      <c r="J1243" s="31">
        <f t="shared" si="126"/>
        <v>0</v>
      </c>
      <c r="M1243" s="33">
        <f t="shared" si="122"/>
        <v>0</v>
      </c>
      <c r="N1243" s="33"/>
    </row>
    <row r="1244" spans="7:14" ht="16.5" customHeight="1">
      <c r="G1244" s="30">
        <f t="shared" si="123"/>
        <v>0</v>
      </c>
      <c r="H1244" s="31">
        <f t="shared" si="124"/>
        <v>0</v>
      </c>
      <c r="I1244" s="31">
        <f t="shared" si="125"/>
        <v>0</v>
      </c>
      <c r="J1244" s="31">
        <f t="shared" si="126"/>
        <v>0</v>
      </c>
      <c r="M1244" s="33">
        <f t="shared" si="122"/>
        <v>0</v>
      </c>
      <c r="N1244" s="33"/>
    </row>
    <row r="1245" spans="7:14" ht="16.5" customHeight="1">
      <c r="G1245" s="30">
        <f t="shared" si="123"/>
        <v>0</v>
      </c>
      <c r="H1245" s="31">
        <f t="shared" si="124"/>
        <v>0</v>
      </c>
      <c r="I1245" s="31">
        <f t="shared" si="125"/>
        <v>0</v>
      </c>
      <c r="J1245" s="31">
        <f t="shared" si="126"/>
        <v>0</v>
      </c>
      <c r="M1245" s="33">
        <f t="shared" si="122"/>
        <v>0</v>
      </c>
      <c r="N1245" s="33"/>
    </row>
    <row r="1246" spans="7:14" ht="16.5" customHeight="1">
      <c r="G1246" s="30">
        <f t="shared" si="123"/>
        <v>0</v>
      </c>
      <c r="H1246" s="31">
        <f t="shared" si="124"/>
        <v>0</v>
      </c>
      <c r="I1246" s="31">
        <f t="shared" si="125"/>
        <v>0</v>
      </c>
      <c r="J1246" s="31">
        <f t="shared" si="126"/>
        <v>0</v>
      </c>
      <c r="M1246" s="33">
        <f t="shared" si="122"/>
        <v>0</v>
      </c>
      <c r="N1246" s="33"/>
    </row>
    <row r="1247" spans="7:14" ht="16.5" customHeight="1">
      <c r="G1247" s="30">
        <f t="shared" si="123"/>
        <v>0</v>
      </c>
      <c r="H1247" s="31">
        <f t="shared" si="124"/>
        <v>0</v>
      </c>
      <c r="I1247" s="31">
        <f t="shared" si="125"/>
        <v>0</v>
      </c>
      <c r="J1247" s="31">
        <f t="shared" si="126"/>
        <v>0</v>
      </c>
      <c r="M1247" s="33">
        <f t="shared" si="122"/>
        <v>0</v>
      </c>
      <c r="N1247" s="33"/>
    </row>
    <row r="1248" spans="7:14" ht="16.5" customHeight="1">
      <c r="G1248" s="30">
        <f t="shared" si="123"/>
        <v>0</v>
      </c>
      <c r="H1248" s="31">
        <f t="shared" si="124"/>
        <v>0</v>
      </c>
      <c r="I1248" s="31">
        <f t="shared" si="125"/>
        <v>0</v>
      </c>
      <c r="J1248" s="31">
        <f t="shared" si="126"/>
        <v>0</v>
      </c>
      <c r="M1248" s="33">
        <f t="shared" si="122"/>
        <v>0</v>
      </c>
      <c r="N1248" s="33"/>
    </row>
    <row r="1249" spans="7:14" ht="16.5" customHeight="1">
      <c r="G1249" s="30">
        <f t="shared" si="123"/>
        <v>0</v>
      </c>
      <c r="H1249" s="31">
        <f t="shared" si="124"/>
        <v>0</v>
      </c>
      <c r="I1249" s="31">
        <f t="shared" si="125"/>
        <v>0</v>
      </c>
      <c r="J1249" s="31">
        <f t="shared" si="126"/>
        <v>0</v>
      </c>
      <c r="M1249" s="33">
        <f t="shared" si="122"/>
        <v>0</v>
      </c>
      <c r="N1249" s="33"/>
    </row>
    <row r="1250" spans="7:14" ht="16.5" customHeight="1">
      <c r="G1250" s="30">
        <f t="shared" si="123"/>
        <v>0</v>
      </c>
      <c r="H1250" s="31">
        <f t="shared" si="124"/>
        <v>0</v>
      </c>
      <c r="I1250" s="31">
        <f t="shared" si="125"/>
        <v>0</v>
      </c>
      <c r="J1250" s="31">
        <f t="shared" si="126"/>
        <v>0</v>
      </c>
      <c r="M1250" s="33">
        <f t="shared" si="122"/>
        <v>0</v>
      </c>
      <c r="N1250" s="33"/>
    </row>
    <row r="1251" spans="7:14" ht="16.5" customHeight="1">
      <c r="G1251" s="30">
        <f t="shared" si="123"/>
        <v>0</v>
      </c>
      <c r="H1251" s="31">
        <f t="shared" si="124"/>
        <v>0</v>
      </c>
      <c r="I1251" s="31">
        <f t="shared" si="125"/>
        <v>0</v>
      </c>
      <c r="J1251" s="31">
        <f t="shared" si="126"/>
        <v>0</v>
      </c>
      <c r="M1251" s="33">
        <f t="shared" si="122"/>
        <v>0</v>
      </c>
      <c r="N1251" s="33"/>
    </row>
    <row r="1252" spans="7:14" ht="16.5" customHeight="1">
      <c r="G1252" s="30">
        <f t="shared" si="123"/>
        <v>0</v>
      </c>
      <c r="H1252" s="31">
        <f t="shared" si="124"/>
        <v>0</v>
      </c>
      <c r="I1252" s="31">
        <f t="shared" si="125"/>
        <v>0</v>
      </c>
      <c r="J1252" s="31">
        <f t="shared" si="126"/>
        <v>0</v>
      </c>
      <c r="M1252" s="33">
        <f t="shared" si="122"/>
        <v>0</v>
      </c>
      <c r="N1252" s="33"/>
    </row>
    <row r="1253" spans="7:14" ht="16.5" customHeight="1">
      <c r="G1253" s="30">
        <f t="shared" si="123"/>
        <v>0</v>
      </c>
      <c r="H1253" s="31">
        <f t="shared" si="124"/>
        <v>0</v>
      </c>
      <c r="I1253" s="31">
        <f t="shared" si="125"/>
        <v>0</v>
      </c>
      <c r="J1253" s="31">
        <f t="shared" si="126"/>
        <v>0</v>
      </c>
      <c r="M1253" s="33">
        <f t="shared" si="122"/>
        <v>0</v>
      </c>
      <c r="N1253" s="33"/>
    </row>
    <row r="1254" spans="7:14" ht="16.5" customHeight="1">
      <c r="G1254" s="30">
        <f t="shared" si="123"/>
        <v>0</v>
      </c>
      <c r="H1254" s="31">
        <f t="shared" si="124"/>
        <v>0</v>
      </c>
      <c r="I1254" s="31">
        <f t="shared" si="125"/>
        <v>0</v>
      </c>
      <c r="J1254" s="31">
        <f t="shared" si="126"/>
        <v>0</v>
      </c>
      <c r="M1254" s="33">
        <f t="shared" si="122"/>
        <v>0</v>
      </c>
      <c r="N1254" s="33"/>
    </row>
    <row r="1255" spans="7:14" ht="16.5" customHeight="1">
      <c r="G1255" s="30">
        <f t="shared" si="123"/>
        <v>0</v>
      </c>
      <c r="H1255" s="31">
        <f t="shared" si="124"/>
        <v>0</v>
      </c>
      <c r="I1255" s="31">
        <f t="shared" si="125"/>
        <v>0</v>
      </c>
      <c r="J1255" s="31">
        <f t="shared" si="126"/>
        <v>0</v>
      </c>
      <c r="M1255" s="33">
        <f t="shared" si="122"/>
        <v>0</v>
      </c>
      <c r="N1255" s="33"/>
    </row>
    <row r="1256" spans="7:14" ht="16.5" customHeight="1">
      <c r="G1256" s="30">
        <f t="shared" si="123"/>
        <v>0</v>
      </c>
      <c r="H1256" s="31">
        <f t="shared" si="124"/>
        <v>0</v>
      </c>
      <c r="I1256" s="31">
        <f t="shared" si="125"/>
        <v>0</v>
      </c>
      <c r="J1256" s="31">
        <f t="shared" si="126"/>
        <v>0</v>
      </c>
      <c r="M1256" s="33">
        <f t="shared" si="122"/>
        <v>0</v>
      </c>
      <c r="N1256" s="33"/>
    </row>
    <row r="1257" spans="7:14" ht="16.5" customHeight="1">
      <c r="G1257" s="30">
        <f t="shared" si="123"/>
        <v>0</v>
      </c>
      <c r="H1257" s="31">
        <f t="shared" si="124"/>
        <v>0</v>
      </c>
      <c r="I1257" s="31">
        <f t="shared" si="125"/>
        <v>0</v>
      </c>
      <c r="J1257" s="31">
        <f t="shared" si="126"/>
        <v>0</v>
      </c>
      <c r="M1257" s="33">
        <f t="shared" si="122"/>
        <v>0</v>
      </c>
      <c r="N1257" s="33"/>
    </row>
    <row r="1258" spans="7:14" ht="16.5" customHeight="1">
      <c r="G1258" s="30">
        <f t="shared" si="123"/>
        <v>0</v>
      </c>
      <c r="H1258" s="31">
        <f t="shared" si="124"/>
        <v>0</v>
      </c>
      <c r="I1258" s="31">
        <f t="shared" si="125"/>
        <v>0</v>
      </c>
      <c r="J1258" s="31">
        <f t="shared" si="126"/>
        <v>0</v>
      </c>
      <c r="M1258" s="33">
        <f t="shared" si="122"/>
        <v>0</v>
      </c>
      <c r="N1258" s="33"/>
    </row>
    <row r="1259" spans="7:14" ht="16.5" customHeight="1">
      <c r="G1259" s="30">
        <f t="shared" si="123"/>
        <v>0</v>
      </c>
      <c r="H1259" s="31">
        <f t="shared" si="124"/>
        <v>0</v>
      </c>
      <c r="I1259" s="31">
        <f t="shared" si="125"/>
        <v>0</v>
      </c>
      <c r="J1259" s="31">
        <f t="shared" si="126"/>
        <v>0</v>
      </c>
      <c r="M1259" s="33">
        <f t="shared" si="122"/>
        <v>0</v>
      </c>
      <c r="N1259" s="33"/>
    </row>
    <row r="1260" spans="7:14" ht="16.5" customHeight="1">
      <c r="G1260" s="30">
        <f t="shared" si="123"/>
        <v>0</v>
      </c>
      <c r="H1260" s="31">
        <f t="shared" si="124"/>
        <v>0</v>
      </c>
      <c r="I1260" s="31">
        <f t="shared" si="125"/>
        <v>0</v>
      </c>
      <c r="J1260" s="31">
        <f t="shared" si="126"/>
        <v>0</v>
      </c>
      <c r="M1260" s="33">
        <f t="shared" si="122"/>
        <v>0</v>
      </c>
      <c r="N1260" s="33"/>
    </row>
    <row r="1261" spans="7:14" ht="16.5" customHeight="1">
      <c r="G1261" s="30">
        <f t="shared" si="123"/>
        <v>0</v>
      </c>
      <c r="H1261" s="31">
        <f t="shared" si="124"/>
        <v>0</v>
      </c>
      <c r="I1261" s="31">
        <f t="shared" si="125"/>
        <v>0</v>
      </c>
      <c r="J1261" s="31">
        <f t="shared" si="126"/>
        <v>0</v>
      </c>
      <c r="M1261" s="33">
        <f t="shared" si="122"/>
        <v>0</v>
      </c>
      <c r="N1261" s="33"/>
    </row>
    <row r="1262" spans="7:14" ht="16.5" customHeight="1">
      <c r="G1262" s="30">
        <f t="shared" si="123"/>
        <v>0</v>
      </c>
      <c r="H1262" s="31">
        <f t="shared" si="124"/>
        <v>0</v>
      </c>
      <c r="I1262" s="31">
        <f t="shared" si="125"/>
        <v>0</v>
      </c>
      <c r="J1262" s="31">
        <f t="shared" si="126"/>
        <v>0</v>
      </c>
      <c r="M1262" s="33">
        <f t="shared" si="122"/>
        <v>0</v>
      </c>
      <c r="N1262" s="33"/>
    </row>
    <row r="1263" spans="7:14" ht="16.5" customHeight="1">
      <c r="G1263" s="30">
        <f t="shared" si="123"/>
        <v>0</v>
      </c>
      <c r="H1263" s="31">
        <f t="shared" si="124"/>
        <v>0</v>
      </c>
      <c r="I1263" s="31">
        <f t="shared" si="125"/>
        <v>0</v>
      </c>
      <c r="J1263" s="31">
        <f t="shared" si="126"/>
        <v>0</v>
      </c>
      <c r="M1263" s="33">
        <f t="shared" si="122"/>
        <v>0</v>
      </c>
      <c r="N1263" s="33"/>
    </row>
    <row r="1264" spans="7:14" ht="16.5" customHeight="1">
      <c r="G1264" s="30">
        <f t="shared" si="123"/>
        <v>0</v>
      </c>
      <c r="H1264" s="31">
        <f t="shared" si="124"/>
        <v>0</v>
      </c>
      <c r="I1264" s="31">
        <f t="shared" si="125"/>
        <v>0</v>
      </c>
      <c r="J1264" s="31">
        <f t="shared" si="126"/>
        <v>0</v>
      </c>
      <c r="M1264" s="33">
        <f t="shared" si="122"/>
        <v>0</v>
      </c>
      <c r="N1264" s="33"/>
    </row>
    <row r="1265" spans="7:14" ht="16.5" customHeight="1">
      <c r="G1265" s="30">
        <f t="shared" si="123"/>
        <v>0</v>
      </c>
      <c r="H1265" s="31">
        <f t="shared" si="124"/>
        <v>0</v>
      </c>
      <c r="I1265" s="31">
        <f t="shared" si="125"/>
        <v>0</v>
      </c>
      <c r="J1265" s="31">
        <f t="shared" si="126"/>
        <v>0</v>
      </c>
      <c r="M1265" s="33">
        <f t="shared" si="122"/>
        <v>0</v>
      </c>
      <c r="N1265" s="33"/>
    </row>
    <row r="1266" spans="7:14" ht="16.5" customHeight="1">
      <c r="G1266" s="30">
        <f t="shared" si="123"/>
        <v>0</v>
      </c>
      <c r="H1266" s="31">
        <f t="shared" si="124"/>
        <v>0</v>
      </c>
      <c r="I1266" s="31">
        <f t="shared" si="125"/>
        <v>0</v>
      </c>
      <c r="J1266" s="31">
        <f t="shared" si="126"/>
        <v>0</v>
      </c>
      <c r="M1266" s="33">
        <f t="shared" si="122"/>
        <v>0</v>
      </c>
      <c r="N1266" s="33"/>
    </row>
    <row r="1267" spans="7:14" ht="16.5" customHeight="1">
      <c r="G1267" s="30">
        <f t="shared" si="123"/>
        <v>0</v>
      </c>
      <c r="H1267" s="31">
        <f t="shared" si="124"/>
        <v>0</v>
      </c>
      <c r="I1267" s="31">
        <f t="shared" si="125"/>
        <v>0</v>
      </c>
      <c r="J1267" s="31">
        <f t="shared" si="126"/>
        <v>0</v>
      </c>
      <c r="M1267" s="33">
        <f t="shared" si="122"/>
        <v>0</v>
      </c>
      <c r="N1267" s="33"/>
    </row>
    <row r="1268" spans="7:14" ht="16.5" customHeight="1">
      <c r="G1268" s="30">
        <f t="shared" si="123"/>
        <v>0</v>
      </c>
      <c r="H1268" s="31">
        <f t="shared" si="124"/>
        <v>0</v>
      </c>
      <c r="I1268" s="31">
        <f t="shared" si="125"/>
        <v>0</v>
      </c>
      <c r="J1268" s="31">
        <f t="shared" si="126"/>
        <v>0</v>
      </c>
      <c r="M1268" s="33">
        <f t="shared" si="122"/>
        <v>0</v>
      </c>
      <c r="N1268" s="33"/>
    </row>
    <row r="1269" spans="7:14" ht="16.5" customHeight="1">
      <c r="G1269" s="30">
        <f t="shared" si="123"/>
        <v>0</v>
      </c>
      <c r="H1269" s="31">
        <f t="shared" si="124"/>
        <v>0</v>
      </c>
      <c r="I1269" s="31">
        <f t="shared" si="125"/>
        <v>0</v>
      </c>
      <c r="J1269" s="31">
        <f t="shared" si="126"/>
        <v>0</v>
      </c>
      <c r="M1269" s="33">
        <f t="shared" si="122"/>
        <v>0</v>
      </c>
      <c r="N1269" s="33"/>
    </row>
    <row r="1270" spans="7:14" ht="16.5" customHeight="1">
      <c r="G1270" s="30">
        <f t="shared" si="123"/>
        <v>0</v>
      </c>
      <c r="H1270" s="31">
        <f t="shared" si="124"/>
        <v>0</v>
      </c>
      <c r="I1270" s="31">
        <f t="shared" si="125"/>
        <v>0</v>
      </c>
      <c r="J1270" s="31">
        <f t="shared" si="126"/>
        <v>0</v>
      </c>
      <c r="M1270" s="33">
        <f t="shared" si="122"/>
        <v>0</v>
      </c>
      <c r="N1270" s="33"/>
    </row>
    <row r="1271" spans="7:14" ht="16.5" customHeight="1">
      <c r="G1271" s="30">
        <f t="shared" si="123"/>
        <v>0</v>
      </c>
      <c r="H1271" s="31">
        <f t="shared" si="124"/>
        <v>0</v>
      </c>
      <c r="I1271" s="31">
        <f t="shared" si="125"/>
        <v>0</v>
      </c>
      <c r="J1271" s="31">
        <f t="shared" si="126"/>
        <v>0</v>
      </c>
      <c r="M1271" s="33">
        <f t="shared" si="122"/>
        <v>0</v>
      </c>
      <c r="N1271" s="33"/>
    </row>
    <row r="1272" spans="7:14" ht="16.5" customHeight="1">
      <c r="G1272" s="30">
        <f t="shared" si="123"/>
        <v>0</v>
      </c>
      <c r="H1272" s="31">
        <f t="shared" si="124"/>
        <v>0</v>
      </c>
      <c r="I1272" s="31">
        <f t="shared" si="125"/>
        <v>0</v>
      </c>
      <c r="J1272" s="31">
        <f t="shared" si="126"/>
        <v>0</v>
      </c>
      <c r="M1272" s="33">
        <f t="shared" si="122"/>
        <v>0</v>
      </c>
      <c r="N1272" s="33"/>
    </row>
    <row r="1273" spans="7:14" ht="16.5" customHeight="1">
      <c r="G1273" s="30">
        <f t="shared" si="123"/>
        <v>0</v>
      </c>
      <c r="H1273" s="31">
        <f t="shared" si="124"/>
        <v>0</v>
      </c>
      <c r="I1273" s="31">
        <f t="shared" si="125"/>
        <v>0</v>
      </c>
      <c r="J1273" s="31">
        <f t="shared" si="126"/>
        <v>0</v>
      </c>
      <c r="M1273" s="33">
        <f t="shared" si="122"/>
        <v>0</v>
      </c>
      <c r="N1273" s="33"/>
    </row>
    <row r="1274" spans="7:14" ht="16.5" customHeight="1">
      <c r="G1274" s="30">
        <f t="shared" si="123"/>
        <v>0</v>
      </c>
      <c r="H1274" s="31">
        <f t="shared" si="124"/>
        <v>0</v>
      </c>
      <c r="I1274" s="31">
        <f t="shared" si="125"/>
        <v>0</v>
      </c>
      <c r="J1274" s="31">
        <f t="shared" si="126"/>
        <v>0</v>
      </c>
      <c r="M1274" s="33">
        <f t="shared" si="122"/>
        <v>0</v>
      </c>
      <c r="N1274" s="33"/>
    </row>
    <row r="1275" spans="7:14" ht="16.5" customHeight="1">
      <c r="G1275" s="30">
        <f t="shared" si="123"/>
        <v>0</v>
      </c>
      <c r="H1275" s="31">
        <f t="shared" si="124"/>
        <v>0</v>
      </c>
      <c r="I1275" s="31">
        <f t="shared" si="125"/>
        <v>0</v>
      </c>
      <c r="J1275" s="31">
        <f t="shared" si="126"/>
        <v>0</v>
      </c>
      <c r="M1275" s="33">
        <f t="shared" si="122"/>
        <v>0</v>
      </c>
      <c r="N1275" s="33"/>
    </row>
    <row r="1276" spans="7:14" ht="16.5" customHeight="1">
      <c r="G1276" s="30">
        <f t="shared" si="123"/>
        <v>0</v>
      </c>
      <c r="H1276" s="31">
        <f t="shared" si="124"/>
        <v>0</v>
      </c>
      <c r="I1276" s="31">
        <f t="shared" si="125"/>
        <v>0</v>
      </c>
      <c r="J1276" s="31">
        <f t="shared" si="126"/>
        <v>0</v>
      </c>
      <c r="M1276" s="33">
        <f t="shared" si="122"/>
        <v>0</v>
      </c>
      <c r="N1276" s="33"/>
    </row>
    <row r="1277" spans="7:14" ht="16.5" customHeight="1">
      <c r="G1277" s="30">
        <f t="shared" si="123"/>
        <v>0</v>
      </c>
      <c r="H1277" s="31">
        <f t="shared" si="124"/>
        <v>0</v>
      </c>
      <c r="I1277" s="31">
        <f t="shared" si="125"/>
        <v>0</v>
      </c>
      <c r="J1277" s="31">
        <f t="shared" si="126"/>
        <v>0</v>
      </c>
      <c r="M1277" s="33">
        <f t="shared" si="122"/>
        <v>0</v>
      </c>
      <c r="N1277" s="33"/>
    </row>
    <row r="1278" spans="7:14" ht="16.5" customHeight="1">
      <c r="G1278" s="30">
        <f t="shared" si="123"/>
        <v>0</v>
      </c>
      <c r="H1278" s="31">
        <f t="shared" si="124"/>
        <v>0</v>
      </c>
      <c r="I1278" s="31">
        <f t="shared" si="125"/>
        <v>0</v>
      </c>
      <c r="J1278" s="31">
        <f t="shared" si="126"/>
        <v>0</v>
      </c>
      <c r="M1278" s="33">
        <f t="shared" ref="M1278:M1341" si="127">IF(P1278="TL tuyệt đối",0, IF(K1278&lt;5,0,IF(K1278&lt;50,K1278*9%,IF(K1278&lt;100,4.5,IF(K1278&lt;200,4.5%*K1278,IF(K1278&lt;300,9,IF(K1278&lt;500,K1278*3%,IF(K1278&lt;1000,15,))))))))</f>
        <v>0</v>
      </c>
      <c r="N1278" s="33"/>
    </row>
    <row r="1279" spans="7:14" ht="16.5" customHeight="1">
      <c r="G1279" s="30">
        <f t="shared" si="123"/>
        <v>0</v>
      </c>
      <c r="H1279" s="31">
        <f t="shared" si="124"/>
        <v>0</v>
      </c>
      <c r="I1279" s="31">
        <f t="shared" si="125"/>
        <v>0</v>
      </c>
      <c r="J1279" s="31">
        <f t="shared" si="126"/>
        <v>0</v>
      </c>
      <c r="M1279" s="33">
        <f t="shared" si="127"/>
        <v>0</v>
      </c>
      <c r="N1279" s="33"/>
    </row>
    <row r="1280" spans="7:14" ht="16.5" customHeight="1">
      <c r="G1280" s="30">
        <f t="shared" ref="G1280:G1343" si="128">IF(P1280="TL tuyệt đối",K1280*103%,K1280+1/3*M1280)</f>
        <v>0</v>
      </c>
      <c r="H1280" s="31">
        <f t="shared" ref="H1280:H1343" si="129">IF(P1280="TL tuyệt đối",K1280*101%,K1280-1/3*M1280)</f>
        <v>0</v>
      </c>
      <c r="I1280" s="31">
        <f t="shared" ref="I1280:I1343" si="130">IF(P1280="TL tuyệt đối", K1280*105%,K1280+M1280)</f>
        <v>0</v>
      </c>
      <c r="J1280" s="31">
        <f t="shared" si="126"/>
        <v>0</v>
      </c>
      <c r="M1280" s="33">
        <f t="shared" si="127"/>
        <v>0</v>
      </c>
      <c r="N1280" s="33"/>
    </row>
    <row r="1281" spans="7:14" ht="16.5" customHeight="1">
      <c r="G1281" s="30">
        <f t="shared" si="128"/>
        <v>0</v>
      </c>
      <c r="H1281" s="31">
        <f t="shared" si="129"/>
        <v>0</v>
      </c>
      <c r="I1281" s="31">
        <f t="shared" si="130"/>
        <v>0</v>
      </c>
      <c r="J1281" s="31">
        <f t="shared" si="126"/>
        <v>0</v>
      </c>
      <c r="M1281" s="33">
        <f t="shared" si="127"/>
        <v>0</v>
      </c>
      <c r="N1281" s="33"/>
    </row>
    <row r="1282" spans="7:14" ht="16.5" customHeight="1">
      <c r="G1282" s="30">
        <f t="shared" si="128"/>
        <v>0</v>
      </c>
      <c r="H1282" s="31">
        <f t="shared" si="129"/>
        <v>0</v>
      </c>
      <c r="I1282" s="31">
        <f t="shared" si="130"/>
        <v>0</v>
      </c>
      <c r="J1282" s="31">
        <f t="shared" si="126"/>
        <v>0</v>
      </c>
      <c r="M1282" s="33">
        <f t="shared" si="127"/>
        <v>0</v>
      </c>
      <c r="N1282" s="33"/>
    </row>
    <row r="1283" spans="7:14" ht="16.5" customHeight="1">
      <c r="G1283" s="30">
        <f t="shared" si="128"/>
        <v>0</v>
      </c>
      <c r="H1283" s="31">
        <f t="shared" si="129"/>
        <v>0</v>
      </c>
      <c r="I1283" s="31">
        <f t="shared" si="130"/>
        <v>0</v>
      </c>
      <c r="J1283" s="31">
        <f t="shared" si="126"/>
        <v>0</v>
      </c>
      <c r="M1283" s="33">
        <f t="shared" si="127"/>
        <v>0</v>
      </c>
      <c r="N1283" s="33"/>
    </row>
    <row r="1284" spans="7:14" ht="16.5" customHeight="1">
      <c r="G1284" s="30">
        <f t="shared" si="128"/>
        <v>0</v>
      </c>
      <c r="H1284" s="31">
        <f t="shared" si="129"/>
        <v>0</v>
      </c>
      <c r="I1284" s="31">
        <f t="shared" si="130"/>
        <v>0</v>
      </c>
      <c r="J1284" s="31">
        <f t="shared" ref="J1284:J1347" si="131">K1284-M1284</f>
        <v>0</v>
      </c>
      <c r="M1284" s="33">
        <f t="shared" si="127"/>
        <v>0</v>
      </c>
      <c r="N1284" s="33"/>
    </row>
    <row r="1285" spans="7:14" ht="16.5" customHeight="1">
      <c r="G1285" s="30">
        <f t="shared" si="128"/>
        <v>0</v>
      </c>
      <c r="H1285" s="31">
        <f t="shared" si="129"/>
        <v>0</v>
      </c>
      <c r="I1285" s="31">
        <f t="shared" si="130"/>
        <v>0</v>
      </c>
      <c r="J1285" s="31">
        <f t="shared" si="131"/>
        <v>0</v>
      </c>
      <c r="M1285" s="33">
        <f t="shared" si="127"/>
        <v>0</v>
      </c>
      <c r="N1285" s="33"/>
    </row>
    <row r="1286" spans="7:14" ht="16.5" customHeight="1">
      <c r="G1286" s="30">
        <f t="shared" si="128"/>
        <v>0</v>
      </c>
      <c r="H1286" s="31">
        <f t="shared" si="129"/>
        <v>0</v>
      </c>
      <c r="I1286" s="31">
        <f t="shared" si="130"/>
        <v>0</v>
      </c>
      <c r="J1286" s="31">
        <f t="shared" si="131"/>
        <v>0</v>
      </c>
      <c r="M1286" s="33">
        <f t="shared" si="127"/>
        <v>0</v>
      </c>
      <c r="N1286" s="33"/>
    </row>
    <row r="1287" spans="7:14" ht="16.5" customHeight="1">
      <c r="G1287" s="30">
        <f t="shared" si="128"/>
        <v>0</v>
      </c>
      <c r="H1287" s="31">
        <f t="shared" si="129"/>
        <v>0</v>
      </c>
      <c r="I1287" s="31">
        <f t="shared" si="130"/>
        <v>0</v>
      </c>
      <c r="J1287" s="31">
        <f t="shared" si="131"/>
        <v>0</v>
      </c>
      <c r="M1287" s="33">
        <f t="shared" si="127"/>
        <v>0</v>
      </c>
      <c r="N1287" s="33"/>
    </row>
    <row r="1288" spans="7:14" ht="16.5" customHeight="1">
      <c r="G1288" s="30">
        <f t="shared" si="128"/>
        <v>0</v>
      </c>
      <c r="H1288" s="31">
        <f t="shared" si="129"/>
        <v>0</v>
      </c>
      <c r="I1288" s="31">
        <f t="shared" si="130"/>
        <v>0</v>
      </c>
      <c r="J1288" s="31">
        <f t="shared" si="131"/>
        <v>0</v>
      </c>
      <c r="M1288" s="33">
        <f t="shared" si="127"/>
        <v>0</v>
      </c>
      <c r="N1288" s="33"/>
    </row>
    <row r="1289" spans="7:14" ht="16.5" customHeight="1">
      <c r="G1289" s="30">
        <f t="shared" si="128"/>
        <v>0</v>
      </c>
      <c r="H1289" s="31">
        <f t="shared" si="129"/>
        <v>0</v>
      </c>
      <c r="I1289" s="31">
        <f t="shared" si="130"/>
        <v>0</v>
      </c>
      <c r="J1289" s="31">
        <f t="shared" si="131"/>
        <v>0</v>
      </c>
      <c r="M1289" s="33">
        <f t="shared" si="127"/>
        <v>0</v>
      </c>
      <c r="N1289" s="33"/>
    </row>
    <row r="1290" spans="7:14" ht="16.5" customHeight="1">
      <c r="G1290" s="30">
        <f t="shared" si="128"/>
        <v>0</v>
      </c>
      <c r="H1290" s="31">
        <f t="shared" si="129"/>
        <v>0</v>
      </c>
      <c r="I1290" s="31">
        <f t="shared" si="130"/>
        <v>0</v>
      </c>
      <c r="J1290" s="31">
        <f t="shared" si="131"/>
        <v>0</v>
      </c>
      <c r="M1290" s="33">
        <f t="shared" si="127"/>
        <v>0</v>
      </c>
      <c r="N1290" s="33"/>
    </row>
    <row r="1291" spans="7:14" ht="16.5" customHeight="1">
      <c r="G1291" s="30">
        <f t="shared" si="128"/>
        <v>0</v>
      </c>
      <c r="H1291" s="31">
        <f t="shared" si="129"/>
        <v>0</v>
      </c>
      <c r="I1291" s="31">
        <f t="shared" si="130"/>
        <v>0</v>
      </c>
      <c r="J1291" s="31">
        <f t="shared" si="131"/>
        <v>0</v>
      </c>
      <c r="M1291" s="33">
        <f t="shared" si="127"/>
        <v>0</v>
      </c>
      <c r="N1291" s="33"/>
    </row>
    <row r="1292" spans="7:14" ht="16.5" customHeight="1">
      <c r="G1292" s="30">
        <f t="shared" si="128"/>
        <v>0</v>
      </c>
      <c r="H1292" s="31">
        <f t="shared" si="129"/>
        <v>0</v>
      </c>
      <c r="I1292" s="31">
        <f t="shared" si="130"/>
        <v>0</v>
      </c>
      <c r="J1292" s="31">
        <f t="shared" si="131"/>
        <v>0</v>
      </c>
      <c r="M1292" s="33">
        <f t="shared" si="127"/>
        <v>0</v>
      </c>
      <c r="N1292" s="33"/>
    </row>
    <row r="1293" spans="7:14" ht="16.5" customHeight="1">
      <c r="G1293" s="30">
        <f t="shared" si="128"/>
        <v>0</v>
      </c>
      <c r="H1293" s="31">
        <f t="shared" si="129"/>
        <v>0</v>
      </c>
      <c r="I1293" s="31">
        <f t="shared" si="130"/>
        <v>0</v>
      </c>
      <c r="J1293" s="31">
        <f t="shared" si="131"/>
        <v>0</v>
      </c>
      <c r="M1293" s="33">
        <f t="shared" si="127"/>
        <v>0</v>
      </c>
      <c r="N1293" s="33"/>
    </row>
    <row r="1294" spans="7:14" ht="16.5" customHeight="1">
      <c r="G1294" s="30">
        <f t="shared" si="128"/>
        <v>0</v>
      </c>
      <c r="H1294" s="31">
        <f t="shared" si="129"/>
        <v>0</v>
      </c>
      <c r="I1294" s="31">
        <f t="shared" si="130"/>
        <v>0</v>
      </c>
      <c r="J1294" s="31">
        <f t="shared" si="131"/>
        <v>0</v>
      </c>
      <c r="M1294" s="33">
        <f t="shared" si="127"/>
        <v>0</v>
      </c>
      <c r="N1294" s="33"/>
    </row>
    <row r="1295" spans="7:14" ht="16.5" customHeight="1">
      <c r="G1295" s="30">
        <f t="shared" si="128"/>
        <v>0</v>
      </c>
      <c r="H1295" s="31">
        <f t="shared" si="129"/>
        <v>0</v>
      </c>
      <c r="I1295" s="31">
        <f t="shared" si="130"/>
        <v>0</v>
      </c>
      <c r="J1295" s="31">
        <f t="shared" si="131"/>
        <v>0</v>
      </c>
      <c r="M1295" s="33">
        <f t="shared" si="127"/>
        <v>0</v>
      </c>
      <c r="N1295" s="33"/>
    </row>
    <row r="1296" spans="7:14" ht="16.5" customHeight="1">
      <c r="G1296" s="30">
        <f t="shared" si="128"/>
        <v>0</v>
      </c>
      <c r="H1296" s="31">
        <f t="shared" si="129"/>
        <v>0</v>
      </c>
      <c r="I1296" s="31">
        <f t="shared" si="130"/>
        <v>0</v>
      </c>
      <c r="J1296" s="31">
        <f t="shared" si="131"/>
        <v>0</v>
      </c>
      <c r="M1296" s="33">
        <f t="shared" si="127"/>
        <v>0</v>
      </c>
      <c r="N1296" s="33"/>
    </row>
    <row r="1297" spans="7:14" ht="16.5" customHeight="1">
      <c r="G1297" s="30">
        <f t="shared" si="128"/>
        <v>0</v>
      </c>
      <c r="H1297" s="31">
        <f t="shared" si="129"/>
        <v>0</v>
      </c>
      <c r="I1297" s="31">
        <f t="shared" si="130"/>
        <v>0</v>
      </c>
      <c r="J1297" s="31">
        <f t="shared" si="131"/>
        <v>0</v>
      </c>
      <c r="M1297" s="33">
        <f t="shared" si="127"/>
        <v>0</v>
      </c>
      <c r="N1297" s="33"/>
    </row>
    <row r="1298" spans="7:14" ht="16.5" customHeight="1">
      <c r="G1298" s="30">
        <f t="shared" si="128"/>
        <v>0</v>
      </c>
      <c r="H1298" s="31">
        <f t="shared" si="129"/>
        <v>0</v>
      </c>
      <c r="I1298" s="31">
        <f t="shared" si="130"/>
        <v>0</v>
      </c>
      <c r="J1298" s="31">
        <f t="shared" si="131"/>
        <v>0</v>
      </c>
      <c r="M1298" s="33">
        <f t="shared" si="127"/>
        <v>0</v>
      </c>
      <c r="N1298" s="33"/>
    </row>
    <row r="1299" spans="7:14" ht="16.5" customHeight="1">
      <c r="G1299" s="30">
        <f t="shared" si="128"/>
        <v>0</v>
      </c>
      <c r="H1299" s="31">
        <f t="shared" si="129"/>
        <v>0</v>
      </c>
      <c r="I1299" s="31">
        <f t="shared" si="130"/>
        <v>0</v>
      </c>
      <c r="J1299" s="31">
        <f t="shared" si="131"/>
        <v>0</v>
      </c>
      <c r="M1299" s="33">
        <f t="shared" si="127"/>
        <v>0</v>
      </c>
      <c r="N1299" s="33"/>
    </row>
    <row r="1300" spans="7:14" ht="16.5" customHeight="1">
      <c r="G1300" s="30">
        <f t="shared" si="128"/>
        <v>0</v>
      </c>
      <c r="H1300" s="31">
        <f t="shared" si="129"/>
        <v>0</v>
      </c>
      <c r="I1300" s="31">
        <f t="shared" si="130"/>
        <v>0</v>
      </c>
      <c r="J1300" s="31">
        <f t="shared" si="131"/>
        <v>0</v>
      </c>
      <c r="M1300" s="33">
        <f t="shared" si="127"/>
        <v>0</v>
      </c>
      <c r="N1300" s="33"/>
    </row>
    <row r="1301" spans="7:14" ht="16.5" customHeight="1">
      <c r="G1301" s="30">
        <f t="shared" si="128"/>
        <v>0</v>
      </c>
      <c r="H1301" s="31">
        <f t="shared" si="129"/>
        <v>0</v>
      </c>
      <c r="I1301" s="31">
        <f t="shared" si="130"/>
        <v>0</v>
      </c>
      <c r="J1301" s="31">
        <f t="shared" si="131"/>
        <v>0</v>
      </c>
      <c r="M1301" s="33">
        <f t="shared" si="127"/>
        <v>0</v>
      </c>
      <c r="N1301" s="33"/>
    </row>
    <row r="1302" spans="7:14" ht="16.5" customHeight="1">
      <c r="G1302" s="30">
        <f t="shared" si="128"/>
        <v>0</v>
      </c>
      <c r="H1302" s="31">
        <f t="shared" si="129"/>
        <v>0</v>
      </c>
      <c r="I1302" s="31">
        <f t="shared" si="130"/>
        <v>0</v>
      </c>
      <c r="J1302" s="31">
        <f t="shared" si="131"/>
        <v>0</v>
      </c>
      <c r="M1302" s="33">
        <f t="shared" si="127"/>
        <v>0</v>
      </c>
      <c r="N1302" s="33"/>
    </row>
    <row r="1303" spans="7:14" ht="16.5" customHeight="1">
      <c r="G1303" s="30">
        <f t="shared" si="128"/>
        <v>0</v>
      </c>
      <c r="H1303" s="31">
        <f t="shared" si="129"/>
        <v>0</v>
      </c>
      <c r="I1303" s="31">
        <f t="shared" si="130"/>
        <v>0</v>
      </c>
      <c r="J1303" s="31">
        <f t="shared" si="131"/>
        <v>0</v>
      </c>
      <c r="M1303" s="33">
        <f t="shared" si="127"/>
        <v>0</v>
      </c>
      <c r="N1303" s="33"/>
    </row>
    <row r="1304" spans="7:14" ht="16.5" customHeight="1">
      <c r="G1304" s="30">
        <f t="shared" si="128"/>
        <v>0</v>
      </c>
      <c r="H1304" s="31">
        <f t="shared" si="129"/>
        <v>0</v>
      </c>
      <c r="I1304" s="31">
        <f t="shared" si="130"/>
        <v>0</v>
      </c>
      <c r="J1304" s="31">
        <f t="shared" si="131"/>
        <v>0</v>
      </c>
      <c r="M1304" s="33">
        <f t="shared" si="127"/>
        <v>0</v>
      </c>
      <c r="N1304" s="33"/>
    </row>
    <row r="1305" spans="7:14" ht="16.5" customHeight="1">
      <c r="G1305" s="30">
        <f t="shared" si="128"/>
        <v>0</v>
      </c>
      <c r="H1305" s="31">
        <f t="shared" si="129"/>
        <v>0</v>
      </c>
      <c r="I1305" s="31">
        <f t="shared" si="130"/>
        <v>0</v>
      </c>
      <c r="J1305" s="31">
        <f t="shared" si="131"/>
        <v>0</v>
      </c>
      <c r="M1305" s="33">
        <f t="shared" si="127"/>
        <v>0</v>
      </c>
      <c r="N1305" s="33"/>
    </row>
    <row r="1306" spans="7:14" ht="16.5" customHeight="1">
      <c r="G1306" s="30">
        <f t="shared" si="128"/>
        <v>0</v>
      </c>
      <c r="H1306" s="31">
        <f t="shared" si="129"/>
        <v>0</v>
      </c>
      <c r="I1306" s="31">
        <f t="shared" si="130"/>
        <v>0</v>
      </c>
      <c r="J1306" s="31">
        <f t="shared" si="131"/>
        <v>0</v>
      </c>
      <c r="M1306" s="33">
        <f t="shared" si="127"/>
        <v>0</v>
      </c>
      <c r="N1306" s="33"/>
    </row>
    <row r="1307" spans="7:14" ht="16.5" customHeight="1">
      <c r="G1307" s="30">
        <f t="shared" si="128"/>
        <v>0</v>
      </c>
      <c r="H1307" s="31">
        <f t="shared" si="129"/>
        <v>0</v>
      </c>
      <c r="I1307" s="31">
        <f t="shared" si="130"/>
        <v>0</v>
      </c>
      <c r="J1307" s="31">
        <f t="shared" si="131"/>
        <v>0</v>
      </c>
      <c r="M1307" s="33">
        <f t="shared" si="127"/>
        <v>0</v>
      </c>
      <c r="N1307" s="33"/>
    </row>
    <row r="1308" spans="7:14" ht="16.5" customHeight="1">
      <c r="G1308" s="30">
        <f t="shared" si="128"/>
        <v>0</v>
      </c>
      <c r="H1308" s="31">
        <f t="shared" si="129"/>
        <v>0</v>
      </c>
      <c r="I1308" s="31">
        <f t="shared" si="130"/>
        <v>0</v>
      </c>
      <c r="J1308" s="31">
        <f t="shared" si="131"/>
        <v>0</v>
      </c>
      <c r="M1308" s="33">
        <f t="shared" si="127"/>
        <v>0</v>
      </c>
      <c r="N1308" s="33"/>
    </row>
    <row r="1309" spans="7:14" ht="16.5" customHeight="1">
      <c r="G1309" s="30">
        <f t="shared" si="128"/>
        <v>0</v>
      </c>
      <c r="H1309" s="31">
        <f t="shared" si="129"/>
        <v>0</v>
      </c>
      <c r="I1309" s="31">
        <f t="shared" si="130"/>
        <v>0</v>
      </c>
      <c r="J1309" s="31">
        <f t="shared" si="131"/>
        <v>0</v>
      </c>
      <c r="M1309" s="33">
        <f t="shared" si="127"/>
        <v>0</v>
      </c>
      <c r="N1309" s="33"/>
    </row>
    <row r="1310" spans="7:14" ht="16.5" customHeight="1">
      <c r="G1310" s="30">
        <f t="shared" si="128"/>
        <v>0</v>
      </c>
      <c r="H1310" s="31">
        <f t="shared" si="129"/>
        <v>0</v>
      </c>
      <c r="I1310" s="31">
        <f t="shared" si="130"/>
        <v>0</v>
      </c>
      <c r="J1310" s="31">
        <f t="shared" si="131"/>
        <v>0</v>
      </c>
      <c r="M1310" s="33">
        <f t="shared" si="127"/>
        <v>0</v>
      </c>
      <c r="N1310" s="33"/>
    </row>
    <row r="1311" spans="7:14" ht="16.5" customHeight="1">
      <c r="G1311" s="30">
        <f t="shared" si="128"/>
        <v>0</v>
      </c>
      <c r="H1311" s="31">
        <f t="shared" si="129"/>
        <v>0</v>
      </c>
      <c r="I1311" s="31">
        <f t="shared" si="130"/>
        <v>0</v>
      </c>
      <c r="J1311" s="31">
        <f t="shared" si="131"/>
        <v>0</v>
      </c>
      <c r="M1311" s="33">
        <f t="shared" si="127"/>
        <v>0</v>
      </c>
      <c r="N1311" s="33"/>
    </row>
    <row r="1312" spans="7:14" ht="16.5" customHeight="1">
      <c r="G1312" s="30">
        <f t="shared" si="128"/>
        <v>0</v>
      </c>
      <c r="H1312" s="31">
        <f t="shared" si="129"/>
        <v>0</v>
      </c>
      <c r="I1312" s="31">
        <f t="shared" si="130"/>
        <v>0</v>
      </c>
      <c r="J1312" s="31">
        <f t="shared" si="131"/>
        <v>0</v>
      </c>
      <c r="M1312" s="33">
        <f t="shared" si="127"/>
        <v>0</v>
      </c>
      <c r="N1312" s="33"/>
    </row>
    <row r="1313" spans="7:14" ht="16.5" customHeight="1">
      <c r="G1313" s="30">
        <f t="shared" si="128"/>
        <v>0</v>
      </c>
      <c r="H1313" s="31">
        <f t="shared" si="129"/>
        <v>0</v>
      </c>
      <c r="I1313" s="31">
        <f t="shared" si="130"/>
        <v>0</v>
      </c>
      <c r="J1313" s="31">
        <f t="shared" si="131"/>
        <v>0</v>
      </c>
      <c r="M1313" s="33">
        <f t="shared" si="127"/>
        <v>0</v>
      </c>
      <c r="N1313" s="33"/>
    </row>
    <row r="1314" spans="7:14" ht="16.5" customHeight="1">
      <c r="G1314" s="30">
        <f t="shared" si="128"/>
        <v>0</v>
      </c>
      <c r="H1314" s="31">
        <f t="shared" si="129"/>
        <v>0</v>
      </c>
      <c r="I1314" s="31">
        <f t="shared" si="130"/>
        <v>0</v>
      </c>
      <c r="J1314" s="31">
        <f t="shared" si="131"/>
        <v>0</v>
      </c>
      <c r="M1314" s="33">
        <f t="shared" si="127"/>
        <v>0</v>
      </c>
      <c r="N1314" s="33"/>
    </row>
    <row r="1315" spans="7:14" ht="16.5" customHeight="1">
      <c r="G1315" s="30">
        <f t="shared" si="128"/>
        <v>0</v>
      </c>
      <c r="H1315" s="31">
        <f t="shared" si="129"/>
        <v>0</v>
      </c>
      <c r="I1315" s="31">
        <f t="shared" si="130"/>
        <v>0</v>
      </c>
      <c r="J1315" s="31">
        <f t="shared" si="131"/>
        <v>0</v>
      </c>
      <c r="M1315" s="33">
        <f t="shared" si="127"/>
        <v>0</v>
      </c>
      <c r="N1315" s="33"/>
    </row>
    <row r="1316" spans="7:14" ht="16.5" customHeight="1">
      <c r="G1316" s="30">
        <f t="shared" si="128"/>
        <v>0</v>
      </c>
      <c r="H1316" s="31">
        <f t="shared" si="129"/>
        <v>0</v>
      </c>
      <c r="I1316" s="31">
        <f t="shared" si="130"/>
        <v>0</v>
      </c>
      <c r="J1316" s="31">
        <f t="shared" si="131"/>
        <v>0</v>
      </c>
      <c r="M1316" s="33">
        <f t="shared" si="127"/>
        <v>0</v>
      </c>
      <c r="N1316" s="33"/>
    </row>
    <row r="1317" spans="7:14" ht="16.5" customHeight="1">
      <c r="G1317" s="30">
        <f t="shared" si="128"/>
        <v>0</v>
      </c>
      <c r="H1317" s="31">
        <f t="shared" si="129"/>
        <v>0</v>
      </c>
      <c r="I1317" s="31">
        <f t="shared" si="130"/>
        <v>0</v>
      </c>
      <c r="J1317" s="31">
        <f t="shared" si="131"/>
        <v>0</v>
      </c>
      <c r="M1317" s="33">
        <f t="shared" si="127"/>
        <v>0</v>
      </c>
      <c r="N1317" s="33"/>
    </row>
    <row r="1318" spans="7:14" ht="16.5" customHeight="1">
      <c r="G1318" s="30">
        <f t="shared" si="128"/>
        <v>0</v>
      </c>
      <c r="H1318" s="31">
        <f t="shared" si="129"/>
        <v>0</v>
      </c>
      <c r="I1318" s="31">
        <f t="shared" si="130"/>
        <v>0</v>
      </c>
      <c r="J1318" s="31">
        <f t="shared" si="131"/>
        <v>0</v>
      </c>
      <c r="M1318" s="33">
        <f t="shared" si="127"/>
        <v>0</v>
      </c>
      <c r="N1318" s="33"/>
    </row>
    <row r="1319" spans="7:14" ht="16.5" customHeight="1">
      <c r="G1319" s="30">
        <f t="shared" si="128"/>
        <v>0</v>
      </c>
      <c r="H1319" s="31">
        <f t="shared" si="129"/>
        <v>0</v>
      </c>
      <c r="I1319" s="31">
        <f t="shared" si="130"/>
        <v>0</v>
      </c>
      <c r="J1319" s="31">
        <f t="shared" si="131"/>
        <v>0</v>
      </c>
      <c r="M1319" s="33">
        <f t="shared" si="127"/>
        <v>0</v>
      </c>
      <c r="N1319" s="33"/>
    </row>
    <row r="1320" spans="7:14" ht="16.5" customHeight="1">
      <c r="G1320" s="30">
        <f t="shared" si="128"/>
        <v>0</v>
      </c>
      <c r="H1320" s="31">
        <f t="shared" si="129"/>
        <v>0</v>
      </c>
      <c r="I1320" s="31">
        <f t="shared" si="130"/>
        <v>0</v>
      </c>
      <c r="J1320" s="31">
        <f t="shared" si="131"/>
        <v>0</v>
      </c>
      <c r="M1320" s="33">
        <f t="shared" si="127"/>
        <v>0</v>
      </c>
      <c r="N1320" s="33"/>
    </row>
    <row r="1321" spans="7:14" ht="16.5" customHeight="1">
      <c r="G1321" s="30">
        <f t="shared" si="128"/>
        <v>0</v>
      </c>
      <c r="H1321" s="31">
        <f t="shared" si="129"/>
        <v>0</v>
      </c>
      <c r="I1321" s="31">
        <f t="shared" si="130"/>
        <v>0</v>
      </c>
      <c r="J1321" s="31">
        <f t="shared" si="131"/>
        <v>0</v>
      </c>
      <c r="M1321" s="33">
        <f t="shared" si="127"/>
        <v>0</v>
      </c>
      <c r="N1321" s="33"/>
    </row>
    <row r="1322" spans="7:14" ht="16.5" customHeight="1">
      <c r="G1322" s="30">
        <f t="shared" si="128"/>
        <v>0</v>
      </c>
      <c r="H1322" s="31">
        <f t="shared" si="129"/>
        <v>0</v>
      </c>
      <c r="I1322" s="31">
        <f t="shared" si="130"/>
        <v>0</v>
      </c>
      <c r="J1322" s="31">
        <f t="shared" si="131"/>
        <v>0</v>
      </c>
      <c r="M1322" s="33">
        <f t="shared" si="127"/>
        <v>0</v>
      </c>
      <c r="N1322" s="33"/>
    </row>
    <row r="1323" spans="7:14" ht="16.5" customHeight="1">
      <c r="G1323" s="30">
        <f t="shared" si="128"/>
        <v>0</v>
      </c>
      <c r="H1323" s="31">
        <f t="shared" si="129"/>
        <v>0</v>
      </c>
      <c r="I1323" s="31">
        <f t="shared" si="130"/>
        <v>0</v>
      </c>
      <c r="J1323" s="31">
        <f t="shared" si="131"/>
        <v>0</v>
      </c>
      <c r="M1323" s="33">
        <f t="shared" si="127"/>
        <v>0</v>
      </c>
      <c r="N1323" s="33"/>
    </row>
    <row r="1324" spans="7:14" ht="16.5" customHeight="1">
      <c r="G1324" s="30">
        <f t="shared" si="128"/>
        <v>0</v>
      </c>
      <c r="H1324" s="31">
        <f t="shared" si="129"/>
        <v>0</v>
      </c>
      <c r="I1324" s="31">
        <f t="shared" si="130"/>
        <v>0</v>
      </c>
      <c r="J1324" s="31">
        <f t="shared" si="131"/>
        <v>0</v>
      </c>
      <c r="M1324" s="33">
        <f t="shared" si="127"/>
        <v>0</v>
      </c>
      <c r="N1324" s="33"/>
    </row>
    <row r="1325" spans="7:14" ht="16.5" customHeight="1">
      <c r="G1325" s="30">
        <f t="shared" si="128"/>
        <v>0</v>
      </c>
      <c r="H1325" s="31">
        <f t="shared" si="129"/>
        <v>0</v>
      </c>
      <c r="I1325" s="31">
        <f t="shared" si="130"/>
        <v>0</v>
      </c>
      <c r="J1325" s="31">
        <f t="shared" si="131"/>
        <v>0</v>
      </c>
      <c r="M1325" s="33">
        <f t="shared" si="127"/>
        <v>0</v>
      </c>
      <c r="N1325" s="33"/>
    </row>
    <row r="1326" spans="7:14" ht="16.5" customHeight="1">
      <c r="G1326" s="30">
        <f t="shared" si="128"/>
        <v>0</v>
      </c>
      <c r="H1326" s="31">
        <f t="shared" si="129"/>
        <v>0</v>
      </c>
      <c r="I1326" s="31">
        <f t="shared" si="130"/>
        <v>0</v>
      </c>
      <c r="J1326" s="31">
        <f t="shared" si="131"/>
        <v>0</v>
      </c>
      <c r="M1326" s="33">
        <f t="shared" si="127"/>
        <v>0</v>
      </c>
      <c r="N1326" s="33"/>
    </row>
    <row r="1327" spans="7:14" ht="16.5" customHeight="1">
      <c r="G1327" s="30">
        <f t="shared" si="128"/>
        <v>0</v>
      </c>
      <c r="H1327" s="31">
        <f t="shared" si="129"/>
        <v>0</v>
      </c>
      <c r="I1327" s="31">
        <f t="shared" si="130"/>
        <v>0</v>
      </c>
      <c r="J1327" s="31">
        <f t="shared" si="131"/>
        <v>0</v>
      </c>
      <c r="M1327" s="33">
        <f t="shared" si="127"/>
        <v>0</v>
      </c>
      <c r="N1327" s="33"/>
    </row>
    <row r="1328" spans="7:14" ht="16.5" customHeight="1">
      <c r="G1328" s="30">
        <f t="shared" si="128"/>
        <v>0</v>
      </c>
      <c r="H1328" s="31">
        <f t="shared" si="129"/>
        <v>0</v>
      </c>
      <c r="I1328" s="31">
        <f t="shared" si="130"/>
        <v>0</v>
      </c>
      <c r="J1328" s="31">
        <f t="shared" si="131"/>
        <v>0</v>
      </c>
      <c r="M1328" s="33">
        <f t="shared" si="127"/>
        <v>0</v>
      </c>
      <c r="N1328" s="33"/>
    </row>
    <row r="1329" spans="7:14" ht="16.5" customHeight="1">
      <c r="G1329" s="30">
        <f t="shared" si="128"/>
        <v>0</v>
      </c>
      <c r="H1329" s="31">
        <f t="shared" si="129"/>
        <v>0</v>
      </c>
      <c r="I1329" s="31">
        <f t="shared" si="130"/>
        <v>0</v>
      </c>
      <c r="J1329" s="31">
        <f t="shared" si="131"/>
        <v>0</v>
      </c>
      <c r="M1329" s="33">
        <f t="shared" si="127"/>
        <v>0</v>
      </c>
      <c r="N1329" s="33"/>
    </row>
    <row r="1330" spans="7:14" ht="16.5" customHeight="1">
      <c r="G1330" s="30">
        <f t="shared" si="128"/>
        <v>0</v>
      </c>
      <c r="H1330" s="31">
        <f t="shared" si="129"/>
        <v>0</v>
      </c>
      <c r="I1330" s="31">
        <f t="shared" si="130"/>
        <v>0</v>
      </c>
      <c r="J1330" s="31">
        <f t="shared" si="131"/>
        <v>0</v>
      </c>
      <c r="M1330" s="33">
        <f t="shared" si="127"/>
        <v>0</v>
      </c>
      <c r="N1330" s="33"/>
    </row>
    <row r="1331" spans="7:14" ht="16.5" customHeight="1">
      <c r="G1331" s="30">
        <f t="shared" si="128"/>
        <v>0</v>
      </c>
      <c r="H1331" s="31">
        <f t="shared" si="129"/>
        <v>0</v>
      </c>
      <c r="I1331" s="31">
        <f t="shared" si="130"/>
        <v>0</v>
      </c>
      <c r="J1331" s="31">
        <f t="shared" si="131"/>
        <v>0</v>
      </c>
      <c r="M1331" s="33">
        <f t="shared" si="127"/>
        <v>0</v>
      </c>
      <c r="N1331" s="33"/>
    </row>
    <row r="1332" spans="7:14" ht="16.5" customHeight="1">
      <c r="G1332" s="30">
        <f t="shared" si="128"/>
        <v>0</v>
      </c>
      <c r="H1332" s="31">
        <f t="shared" si="129"/>
        <v>0</v>
      </c>
      <c r="I1332" s="31">
        <f t="shared" si="130"/>
        <v>0</v>
      </c>
      <c r="J1332" s="31">
        <f t="shared" si="131"/>
        <v>0</v>
      </c>
      <c r="M1332" s="33">
        <f t="shared" si="127"/>
        <v>0</v>
      </c>
      <c r="N1332" s="33"/>
    </row>
    <row r="1333" spans="7:14" ht="16.5" customHeight="1">
      <c r="G1333" s="30">
        <f t="shared" si="128"/>
        <v>0</v>
      </c>
      <c r="H1333" s="31">
        <f t="shared" si="129"/>
        <v>0</v>
      </c>
      <c r="I1333" s="31">
        <f t="shared" si="130"/>
        <v>0</v>
      </c>
      <c r="J1333" s="31">
        <f t="shared" si="131"/>
        <v>0</v>
      </c>
      <c r="M1333" s="33">
        <f t="shared" si="127"/>
        <v>0</v>
      </c>
      <c r="N1333" s="33"/>
    </row>
    <row r="1334" spans="7:14" ht="16.5" customHeight="1">
      <c r="G1334" s="30">
        <f t="shared" si="128"/>
        <v>0</v>
      </c>
      <c r="H1334" s="31">
        <f t="shared" si="129"/>
        <v>0</v>
      </c>
      <c r="I1334" s="31">
        <f t="shared" si="130"/>
        <v>0</v>
      </c>
      <c r="J1334" s="31">
        <f t="shared" si="131"/>
        <v>0</v>
      </c>
      <c r="M1334" s="33">
        <f t="shared" si="127"/>
        <v>0</v>
      </c>
      <c r="N1334" s="33"/>
    </row>
    <row r="1335" spans="7:14" ht="16.5" customHeight="1">
      <c r="G1335" s="30">
        <f t="shared" si="128"/>
        <v>0</v>
      </c>
      <c r="H1335" s="31">
        <f t="shared" si="129"/>
        <v>0</v>
      </c>
      <c r="I1335" s="31">
        <f t="shared" si="130"/>
        <v>0</v>
      </c>
      <c r="J1335" s="31">
        <f t="shared" si="131"/>
        <v>0</v>
      </c>
      <c r="M1335" s="33">
        <f t="shared" si="127"/>
        <v>0</v>
      </c>
      <c r="N1335" s="33"/>
    </row>
    <row r="1336" spans="7:14" ht="16.5" customHeight="1">
      <c r="G1336" s="30">
        <f t="shared" si="128"/>
        <v>0</v>
      </c>
      <c r="H1336" s="31">
        <f t="shared" si="129"/>
        <v>0</v>
      </c>
      <c r="I1336" s="31">
        <f t="shared" si="130"/>
        <v>0</v>
      </c>
      <c r="J1336" s="31">
        <f t="shared" si="131"/>
        <v>0</v>
      </c>
      <c r="M1336" s="33">
        <f t="shared" si="127"/>
        <v>0</v>
      </c>
      <c r="N1336" s="33"/>
    </row>
    <row r="1337" spans="7:14" ht="16.5" customHeight="1">
      <c r="G1337" s="30">
        <f t="shared" si="128"/>
        <v>0</v>
      </c>
      <c r="H1337" s="31">
        <f t="shared" si="129"/>
        <v>0</v>
      </c>
      <c r="I1337" s="31">
        <f t="shared" si="130"/>
        <v>0</v>
      </c>
      <c r="J1337" s="31">
        <f t="shared" si="131"/>
        <v>0</v>
      </c>
      <c r="M1337" s="33">
        <f t="shared" si="127"/>
        <v>0</v>
      </c>
      <c r="N1337" s="33"/>
    </row>
    <row r="1338" spans="7:14" ht="16.5" customHeight="1">
      <c r="G1338" s="30">
        <f t="shared" si="128"/>
        <v>0</v>
      </c>
      <c r="H1338" s="31">
        <f t="shared" si="129"/>
        <v>0</v>
      </c>
      <c r="I1338" s="31">
        <f t="shared" si="130"/>
        <v>0</v>
      </c>
      <c r="J1338" s="31">
        <f t="shared" si="131"/>
        <v>0</v>
      </c>
      <c r="M1338" s="33">
        <f t="shared" si="127"/>
        <v>0</v>
      </c>
      <c r="N1338" s="33"/>
    </row>
    <row r="1339" spans="7:14" ht="16.5" customHeight="1">
      <c r="G1339" s="30">
        <f t="shared" si="128"/>
        <v>0</v>
      </c>
      <c r="H1339" s="31">
        <f t="shared" si="129"/>
        <v>0</v>
      </c>
      <c r="I1339" s="31">
        <f t="shared" si="130"/>
        <v>0</v>
      </c>
      <c r="J1339" s="31">
        <f t="shared" si="131"/>
        <v>0</v>
      </c>
      <c r="M1339" s="33">
        <f t="shared" si="127"/>
        <v>0</v>
      </c>
      <c r="N1339" s="33"/>
    </row>
    <row r="1340" spans="7:14" ht="16.5" customHeight="1">
      <c r="G1340" s="30">
        <f t="shared" si="128"/>
        <v>0</v>
      </c>
      <c r="H1340" s="31">
        <f t="shared" si="129"/>
        <v>0</v>
      </c>
      <c r="I1340" s="31">
        <f t="shared" si="130"/>
        <v>0</v>
      </c>
      <c r="J1340" s="31">
        <f t="shared" si="131"/>
        <v>0</v>
      </c>
      <c r="M1340" s="33">
        <f t="shared" si="127"/>
        <v>0</v>
      </c>
      <c r="N1340" s="33"/>
    </row>
    <row r="1341" spans="7:14" ht="16.5" customHeight="1">
      <c r="G1341" s="30">
        <f t="shared" si="128"/>
        <v>0</v>
      </c>
      <c r="H1341" s="31">
        <f t="shared" si="129"/>
        <v>0</v>
      </c>
      <c r="I1341" s="31">
        <f t="shared" si="130"/>
        <v>0</v>
      </c>
      <c r="J1341" s="31">
        <f t="shared" si="131"/>
        <v>0</v>
      </c>
      <c r="M1341" s="33">
        <f t="shared" si="127"/>
        <v>0</v>
      </c>
      <c r="N1341" s="33"/>
    </row>
    <row r="1342" spans="7:14" ht="16.5" customHeight="1">
      <c r="G1342" s="30">
        <f t="shared" si="128"/>
        <v>0</v>
      </c>
      <c r="H1342" s="31">
        <f t="shared" si="129"/>
        <v>0</v>
      </c>
      <c r="I1342" s="31">
        <f t="shared" si="130"/>
        <v>0</v>
      </c>
      <c r="J1342" s="31">
        <f t="shared" si="131"/>
        <v>0</v>
      </c>
      <c r="M1342" s="33">
        <f t="shared" ref="M1342:M1405" si="132">IF(P1342="TL tuyệt đối",0, IF(K1342&lt;5,0,IF(K1342&lt;50,K1342*9%,IF(K1342&lt;100,4.5,IF(K1342&lt;200,4.5%*K1342,IF(K1342&lt;300,9,IF(K1342&lt;500,K1342*3%,IF(K1342&lt;1000,15,))))))))</f>
        <v>0</v>
      </c>
      <c r="N1342" s="33"/>
    </row>
    <row r="1343" spans="7:14" ht="16.5" customHeight="1">
      <c r="G1343" s="30">
        <f t="shared" si="128"/>
        <v>0</v>
      </c>
      <c r="H1343" s="31">
        <f t="shared" si="129"/>
        <v>0</v>
      </c>
      <c r="I1343" s="31">
        <f t="shared" si="130"/>
        <v>0</v>
      </c>
      <c r="J1343" s="31">
        <f t="shared" si="131"/>
        <v>0</v>
      </c>
      <c r="M1343" s="33">
        <f t="shared" si="132"/>
        <v>0</v>
      </c>
      <c r="N1343" s="33"/>
    </row>
    <row r="1344" spans="7:14" ht="16.5" customHeight="1">
      <c r="G1344" s="30">
        <f t="shared" ref="G1344:G1407" si="133">IF(P1344="TL tuyệt đối",K1344*103%,K1344+1/3*M1344)</f>
        <v>0</v>
      </c>
      <c r="H1344" s="31">
        <f t="shared" ref="H1344:H1407" si="134">IF(P1344="TL tuyệt đối",K1344*101%,K1344-1/3*M1344)</f>
        <v>0</v>
      </c>
      <c r="I1344" s="31">
        <f t="shared" ref="I1344:I1407" si="135">IF(P1344="TL tuyệt đối", K1344*105%,K1344+M1344)</f>
        <v>0</v>
      </c>
      <c r="J1344" s="31">
        <f t="shared" si="131"/>
        <v>0</v>
      </c>
      <c r="M1344" s="33">
        <f t="shared" si="132"/>
        <v>0</v>
      </c>
      <c r="N1344" s="33"/>
    </row>
    <row r="1345" spans="7:14" ht="16.5" customHeight="1">
      <c r="G1345" s="30">
        <f t="shared" si="133"/>
        <v>0</v>
      </c>
      <c r="H1345" s="31">
        <f t="shared" si="134"/>
        <v>0</v>
      </c>
      <c r="I1345" s="31">
        <f t="shared" si="135"/>
        <v>0</v>
      </c>
      <c r="J1345" s="31">
        <f t="shared" si="131"/>
        <v>0</v>
      </c>
      <c r="M1345" s="33">
        <f t="shared" si="132"/>
        <v>0</v>
      </c>
      <c r="N1345" s="33"/>
    </row>
    <row r="1346" spans="7:14" ht="16.5" customHeight="1">
      <c r="G1346" s="30">
        <f t="shared" si="133"/>
        <v>0</v>
      </c>
      <c r="H1346" s="31">
        <f t="shared" si="134"/>
        <v>0</v>
      </c>
      <c r="I1346" s="31">
        <f t="shared" si="135"/>
        <v>0</v>
      </c>
      <c r="J1346" s="31">
        <f t="shared" si="131"/>
        <v>0</v>
      </c>
      <c r="M1346" s="33">
        <f t="shared" si="132"/>
        <v>0</v>
      </c>
      <c r="N1346" s="33"/>
    </row>
    <row r="1347" spans="7:14" ht="16.5" customHeight="1">
      <c r="G1347" s="30">
        <f t="shared" si="133"/>
        <v>0</v>
      </c>
      <c r="H1347" s="31">
        <f t="shared" si="134"/>
        <v>0</v>
      </c>
      <c r="I1347" s="31">
        <f t="shared" si="135"/>
        <v>0</v>
      </c>
      <c r="J1347" s="31">
        <f t="shared" si="131"/>
        <v>0</v>
      </c>
      <c r="M1347" s="33">
        <f t="shared" si="132"/>
        <v>0</v>
      </c>
      <c r="N1347" s="33"/>
    </row>
    <row r="1348" spans="7:14" ht="16.5" customHeight="1">
      <c r="G1348" s="30">
        <f t="shared" si="133"/>
        <v>0</v>
      </c>
      <c r="H1348" s="31">
        <f t="shared" si="134"/>
        <v>0</v>
      </c>
      <c r="I1348" s="31">
        <f t="shared" si="135"/>
        <v>0</v>
      </c>
      <c r="J1348" s="31">
        <f t="shared" ref="J1348:J1411" si="136">K1348-M1348</f>
        <v>0</v>
      </c>
      <c r="M1348" s="33">
        <f t="shared" si="132"/>
        <v>0</v>
      </c>
      <c r="N1348" s="33"/>
    </row>
    <row r="1349" spans="7:14" ht="16.5" customHeight="1">
      <c r="G1349" s="30">
        <f t="shared" si="133"/>
        <v>0</v>
      </c>
      <c r="H1349" s="31">
        <f t="shared" si="134"/>
        <v>0</v>
      </c>
      <c r="I1349" s="31">
        <f t="shared" si="135"/>
        <v>0</v>
      </c>
      <c r="J1349" s="31">
        <f t="shared" si="136"/>
        <v>0</v>
      </c>
      <c r="M1349" s="33">
        <f t="shared" si="132"/>
        <v>0</v>
      </c>
      <c r="N1349" s="33"/>
    </row>
    <row r="1350" spans="7:14" ht="16.5" customHeight="1">
      <c r="G1350" s="30">
        <f t="shared" si="133"/>
        <v>0</v>
      </c>
      <c r="H1350" s="31">
        <f t="shared" si="134"/>
        <v>0</v>
      </c>
      <c r="I1350" s="31">
        <f t="shared" si="135"/>
        <v>0</v>
      </c>
      <c r="J1350" s="31">
        <f t="shared" si="136"/>
        <v>0</v>
      </c>
      <c r="M1350" s="33">
        <f t="shared" si="132"/>
        <v>0</v>
      </c>
      <c r="N1350" s="33"/>
    </row>
    <row r="1351" spans="7:14" ht="16.5" customHeight="1">
      <c r="G1351" s="30">
        <f t="shared" si="133"/>
        <v>0</v>
      </c>
      <c r="H1351" s="31">
        <f t="shared" si="134"/>
        <v>0</v>
      </c>
      <c r="I1351" s="31">
        <f t="shared" si="135"/>
        <v>0</v>
      </c>
      <c r="J1351" s="31">
        <f t="shared" si="136"/>
        <v>0</v>
      </c>
      <c r="M1351" s="33">
        <f t="shared" si="132"/>
        <v>0</v>
      </c>
      <c r="N1351" s="33"/>
    </row>
    <row r="1352" spans="7:14" ht="16.5" customHeight="1">
      <c r="G1352" s="30">
        <f t="shared" si="133"/>
        <v>0</v>
      </c>
      <c r="H1352" s="31">
        <f t="shared" si="134"/>
        <v>0</v>
      </c>
      <c r="I1352" s="31">
        <f t="shared" si="135"/>
        <v>0</v>
      </c>
      <c r="J1352" s="31">
        <f t="shared" si="136"/>
        <v>0</v>
      </c>
      <c r="M1352" s="33">
        <f t="shared" si="132"/>
        <v>0</v>
      </c>
      <c r="N1352" s="33"/>
    </row>
    <row r="1353" spans="7:14" ht="16.5" customHeight="1">
      <c r="G1353" s="30">
        <f t="shared" si="133"/>
        <v>0</v>
      </c>
      <c r="H1353" s="31">
        <f t="shared" si="134"/>
        <v>0</v>
      </c>
      <c r="I1353" s="31">
        <f t="shared" si="135"/>
        <v>0</v>
      </c>
      <c r="J1353" s="31">
        <f t="shared" si="136"/>
        <v>0</v>
      </c>
      <c r="M1353" s="33">
        <f t="shared" si="132"/>
        <v>0</v>
      </c>
      <c r="N1353" s="33"/>
    </row>
    <row r="1354" spans="7:14" ht="16.5" customHeight="1">
      <c r="G1354" s="30">
        <f t="shared" si="133"/>
        <v>0</v>
      </c>
      <c r="H1354" s="31">
        <f t="shared" si="134"/>
        <v>0</v>
      </c>
      <c r="I1354" s="31">
        <f t="shared" si="135"/>
        <v>0</v>
      </c>
      <c r="J1354" s="31">
        <f t="shared" si="136"/>
        <v>0</v>
      </c>
      <c r="M1354" s="33">
        <f t="shared" si="132"/>
        <v>0</v>
      </c>
      <c r="N1354" s="33"/>
    </row>
    <row r="1355" spans="7:14" ht="16.5" customHeight="1">
      <c r="G1355" s="30">
        <f t="shared" si="133"/>
        <v>0</v>
      </c>
      <c r="H1355" s="31">
        <f t="shared" si="134"/>
        <v>0</v>
      </c>
      <c r="I1355" s="31">
        <f t="shared" si="135"/>
        <v>0</v>
      </c>
      <c r="J1355" s="31">
        <f t="shared" si="136"/>
        <v>0</v>
      </c>
      <c r="M1355" s="33">
        <f t="shared" si="132"/>
        <v>0</v>
      </c>
      <c r="N1355" s="33"/>
    </row>
    <row r="1356" spans="7:14" ht="16.5" customHeight="1">
      <c r="G1356" s="30">
        <f t="shared" si="133"/>
        <v>0</v>
      </c>
      <c r="H1356" s="31">
        <f t="shared" si="134"/>
        <v>0</v>
      </c>
      <c r="I1356" s="31">
        <f t="shared" si="135"/>
        <v>0</v>
      </c>
      <c r="J1356" s="31">
        <f t="shared" si="136"/>
        <v>0</v>
      </c>
      <c r="M1356" s="33">
        <f t="shared" si="132"/>
        <v>0</v>
      </c>
      <c r="N1356" s="33"/>
    </row>
    <row r="1357" spans="7:14" ht="16.5" customHeight="1">
      <c r="G1357" s="30">
        <f t="shared" si="133"/>
        <v>0</v>
      </c>
      <c r="H1357" s="31">
        <f t="shared" si="134"/>
        <v>0</v>
      </c>
      <c r="I1357" s="31">
        <f t="shared" si="135"/>
        <v>0</v>
      </c>
      <c r="J1357" s="31">
        <f t="shared" si="136"/>
        <v>0</v>
      </c>
      <c r="M1357" s="33">
        <f t="shared" si="132"/>
        <v>0</v>
      </c>
      <c r="N1357" s="33"/>
    </row>
    <row r="1358" spans="7:14" ht="16.5" customHeight="1">
      <c r="G1358" s="30">
        <f t="shared" si="133"/>
        <v>0</v>
      </c>
      <c r="H1358" s="31">
        <f t="shared" si="134"/>
        <v>0</v>
      </c>
      <c r="I1358" s="31">
        <f t="shared" si="135"/>
        <v>0</v>
      </c>
      <c r="J1358" s="31">
        <f t="shared" si="136"/>
        <v>0</v>
      </c>
      <c r="M1358" s="33">
        <f t="shared" si="132"/>
        <v>0</v>
      </c>
      <c r="N1358" s="33"/>
    </row>
    <row r="1359" spans="7:14" ht="16.5" customHeight="1">
      <c r="G1359" s="30">
        <f t="shared" si="133"/>
        <v>0</v>
      </c>
      <c r="H1359" s="31">
        <f t="shared" si="134"/>
        <v>0</v>
      </c>
      <c r="I1359" s="31">
        <f t="shared" si="135"/>
        <v>0</v>
      </c>
      <c r="J1359" s="31">
        <f t="shared" si="136"/>
        <v>0</v>
      </c>
      <c r="M1359" s="33">
        <f t="shared" si="132"/>
        <v>0</v>
      </c>
      <c r="N1359" s="33"/>
    </row>
    <row r="1360" spans="7:14" ht="16.5" customHeight="1">
      <c r="G1360" s="30">
        <f t="shared" si="133"/>
        <v>0</v>
      </c>
      <c r="H1360" s="31">
        <f t="shared" si="134"/>
        <v>0</v>
      </c>
      <c r="I1360" s="31">
        <f t="shared" si="135"/>
        <v>0</v>
      </c>
      <c r="J1360" s="31">
        <f t="shared" si="136"/>
        <v>0</v>
      </c>
      <c r="M1360" s="33">
        <f t="shared" si="132"/>
        <v>0</v>
      </c>
      <c r="N1360" s="33"/>
    </row>
    <row r="1361" spans="7:14" ht="16.5" customHeight="1">
      <c r="G1361" s="30">
        <f t="shared" si="133"/>
        <v>0</v>
      </c>
      <c r="H1361" s="31">
        <f t="shared" si="134"/>
        <v>0</v>
      </c>
      <c r="I1361" s="31">
        <f t="shared" si="135"/>
        <v>0</v>
      </c>
      <c r="J1361" s="31">
        <f t="shared" si="136"/>
        <v>0</v>
      </c>
      <c r="M1361" s="33">
        <f t="shared" si="132"/>
        <v>0</v>
      </c>
      <c r="N1361" s="33"/>
    </row>
    <row r="1362" spans="7:14" ht="16.5" customHeight="1">
      <c r="G1362" s="30">
        <f t="shared" si="133"/>
        <v>0</v>
      </c>
      <c r="H1362" s="31">
        <f t="shared" si="134"/>
        <v>0</v>
      </c>
      <c r="I1362" s="31">
        <f t="shared" si="135"/>
        <v>0</v>
      </c>
      <c r="J1362" s="31">
        <f t="shared" si="136"/>
        <v>0</v>
      </c>
      <c r="M1362" s="33">
        <f t="shared" si="132"/>
        <v>0</v>
      </c>
      <c r="N1362" s="33"/>
    </row>
    <row r="1363" spans="7:14" ht="16.5" customHeight="1">
      <c r="G1363" s="30">
        <f t="shared" si="133"/>
        <v>0</v>
      </c>
      <c r="H1363" s="31">
        <f t="shared" si="134"/>
        <v>0</v>
      </c>
      <c r="I1363" s="31">
        <f t="shared" si="135"/>
        <v>0</v>
      </c>
      <c r="J1363" s="31">
        <f t="shared" si="136"/>
        <v>0</v>
      </c>
      <c r="M1363" s="33">
        <f t="shared" si="132"/>
        <v>0</v>
      </c>
      <c r="N1363" s="33"/>
    </row>
    <row r="1364" spans="7:14" ht="16.5" customHeight="1">
      <c r="G1364" s="30">
        <f t="shared" si="133"/>
        <v>0</v>
      </c>
      <c r="H1364" s="31">
        <f t="shared" si="134"/>
        <v>0</v>
      </c>
      <c r="I1364" s="31">
        <f t="shared" si="135"/>
        <v>0</v>
      </c>
      <c r="J1364" s="31">
        <f t="shared" si="136"/>
        <v>0</v>
      </c>
      <c r="M1364" s="33">
        <f t="shared" si="132"/>
        <v>0</v>
      </c>
      <c r="N1364" s="33"/>
    </row>
    <row r="1365" spans="7:14" ht="16.5" customHeight="1">
      <c r="G1365" s="30">
        <f t="shared" si="133"/>
        <v>0</v>
      </c>
      <c r="H1365" s="31">
        <f t="shared" si="134"/>
        <v>0</v>
      </c>
      <c r="I1365" s="31">
        <f t="shared" si="135"/>
        <v>0</v>
      </c>
      <c r="J1365" s="31">
        <f t="shared" si="136"/>
        <v>0</v>
      </c>
      <c r="M1365" s="33">
        <f t="shared" si="132"/>
        <v>0</v>
      </c>
      <c r="N1365" s="33"/>
    </row>
    <row r="1366" spans="7:14" ht="16.5" customHeight="1">
      <c r="G1366" s="30">
        <f t="shared" si="133"/>
        <v>0</v>
      </c>
      <c r="H1366" s="31">
        <f t="shared" si="134"/>
        <v>0</v>
      </c>
      <c r="I1366" s="31">
        <f t="shared" si="135"/>
        <v>0</v>
      </c>
      <c r="J1366" s="31">
        <f t="shared" si="136"/>
        <v>0</v>
      </c>
      <c r="M1366" s="33">
        <f t="shared" si="132"/>
        <v>0</v>
      </c>
      <c r="N1366" s="33"/>
    </row>
    <row r="1367" spans="7:14" ht="16.5" customHeight="1">
      <c r="G1367" s="30">
        <f t="shared" si="133"/>
        <v>0</v>
      </c>
      <c r="H1367" s="31">
        <f t="shared" si="134"/>
        <v>0</v>
      </c>
      <c r="I1367" s="31">
        <f t="shared" si="135"/>
        <v>0</v>
      </c>
      <c r="J1367" s="31">
        <f t="shared" si="136"/>
        <v>0</v>
      </c>
      <c r="M1367" s="33">
        <f t="shared" si="132"/>
        <v>0</v>
      </c>
      <c r="N1367" s="33"/>
    </row>
    <row r="1368" spans="7:14" ht="16.5" customHeight="1">
      <c r="G1368" s="30">
        <f t="shared" si="133"/>
        <v>0</v>
      </c>
      <c r="H1368" s="31">
        <f t="shared" si="134"/>
        <v>0</v>
      </c>
      <c r="I1368" s="31">
        <f t="shared" si="135"/>
        <v>0</v>
      </c>
      <c r="J1368" s="31">
        <f t="shared" si="136"/>
        <v>0</v>
      </c>
      <c r="M1368" s="33">
        <f t="shared" si="132"/>
        <v>0</v>
      </c>
      <c r="N1368" s="33"/>
    </row>
    <row r="1369" spans="7:14" ht="16.5" customHeight="1">
      <c r="G1369" s="30">
        <f t="shared" si="133"/>
        <v>0</v>
      </c>
      <c r="H1369" s="31">
        <f t="shared" si="134"/>
        <v>0</v>
      </c>
      <c r="I1369" s="31">
        <f t="shared" si="135"/>
        <v>0</v>
      </c>
      <c r="J1369" s="31">
        <f t="shared" si="136"/>
        <v>0</v>
      </c>
      <c r="M1369" s="33">
        <f t="shared" si="132"/>
        <v>0</v>
      </c>
      <c r="N1369" s="33"/>
    </row>
    <row r="1370" spans="7:14" ht="16.5" customHeight="1">
      <c r="G1370" s="30">
        <f t="shared" si="133"/>
        <v>0</v>
      </c>
      <c r="H1370" s="31">
        <f t="shared" si="134"/>
        <v>0</v>
      </c>
      <c r="I1370" s="31">
        <f t="shared" si="135"/>
        <v>0</v>
      </c>
      <c r="J1370" s="31">
        <f t="shared" si="136"/>
        <v>0</v>
      </c>
      <c r="M1370" s="33">
        <f t="shared" si="132"/>
        <v>0</v>
      </c>
      <c r="N1370" s="33"/>
    </row>
    <row r="1371" spans="7:14" ht="16.5" customHeight="1">
      <c r="G1371" s="30">
        <f t="shared" si="133"/>
        <v>0</v>
      </c>
      <c r="H1371" s="31">
        <f t="shared" si="134"/>
        <v>0</v>
      </c>
      <c r="I1371" s="31">
        <f t="shared" si="135"/>
        <v>0</v>
      </c>
      <c r="J1371" s="31">
        <f t="shared" si="136"/>
        <v>0</v>
      </c>
      <c r="M1371" s="33">
        <f t="shared" si="132"/>
        <v>0</v>
      </c>
      <c r="N1371" s="33"/>
    </row>
    <row r="1372" spans="7:14" ht="16.5" customHeight="1">
      <c r="G1372" s="30">
        <f t="shared" si="133"/>
        <v>0</v>
      </c>
      <c r="H1372" s="31">
        <f t="shared" si="134"/>
        <v>0</v>
      </c>
      <c r="I1372" s="31">
        <f t="shared" si="135"/>
        <v>0</v>
      </c>
      <c r="J1372" s="31">
        <f t="shared" si="136"/>
        <v>0</v>
      </c>
      <c r="M1372" s="33">
        <f t="shared" si="132"/>
        <v>0</v>
      </c>
      <c r="N1372" s="33"/>
    </row>
    <row r="1373" spans="7:14" ht="16.5" customHeight="1">
      <c r="G1373" s="30">
        <f t="shared" si="133"/>
        <v>0</v>
      </c>
      <c r="H1373" s="31">
        <f t="shared" si="134"/>
        <v>0</v>
      </c>
      <c r="I1373" s="31">
        <f t="shared" si="135"/>
        <v>0</v>
      </c>
      <c r="J1373" s="31">
        <f t="shared" si="136"/>
        <v>0</v>
      </c>
      <c r="M1373" s="33">
        <f t="shared" si="132"/>
        <v>0</v>
      </c>
      <c r="N1373" s="33"/>
    </row>
    <row r="1374" spans="7:14" ht="16.5" customHeight="1">
      <c r="G1374" s="30">
        <f t="shared" si="133"/>
        <v>0</v>
      </c>
      <c r="H1374" s="31">
        <f t="shared" si="134"/>
        <v>0</v>
      </c>
      <c r="I1374" s="31">
        <f t="shared" si="135"/>
        <v>0</v>
      </c>
      <c r="J1374" s="31">
        <f t="shared" si="136"/>
        <v>0</v>
      </c>
      <c r="M1374" s="33">
        <f t="shared" si="132"/>
        <v>0</v>
      </c>
      <c r="N1374" s="33"/>
    </row>
    <row r="1375" spans="7:14" ht="16.5" customHeight="1">
      <c r="G1375" s="30">
        <f t="shared" si="133"/>
        <v>0</v>
      </c>
      <c r="H1375" s="31">
        <f t="shared" si="134"/>
        <v>0</v>
      </c>
      <c r="I1375" s="31">
        <f t="shared" si="135"/>
        <v>0</v>
      </c>
      <c r="J1375" s="31">
        <f t="shared" si="136"/>
        <v>0</v>
      </c>
      <c r="M1375" s="33">
        <f t="shared" si="132"/>
        <v>0</v>
      </c>
      <c r="N1375" s="33"/>
    </row>
    <row r="1376" spans="7:14" ht="16.5" customHeight="1">
      <c r="G1376" s="30">
        <f t="shared" si="133"/>
        <v>0</v>
      </c>
      <c r="H1376" s="31">
        <f t="shared" si="134"/>
        <v>0</v>
      </c>
      <c r="I1376" s="31">
        <f t="shared" si="135"/>
        <v>0</v>
      </c>
      <c r="J1376" s="31">
        <f t="shared" si="136"/>
        <v>0</v>
      </c>
      <c r="M1376" s="33">
        <f t="shared" si="132"/>
        <v>0</v>
      </c>
      <c r="N1376" s="33"/>
    </row>
    <row r="1377" spans="7:14" ht="16.5" customHeight="1">
      <c r="G1377" s="30">
        <f t="shared" si="133"/>
        <v>0</v>
      </c>
      <c r="H1377" s="31">
        <f t="shared" si="134"/>
        <v>0</v>
      </c>
      <c r="I1377" s="31">
        <f t="shared" si="135"/>
        <v>0</v>
      </c>
      <c r="J1377" s="31">
        <f t="shared" si="136"/>
        <v>0</v>
      </c>
      <c r="M1377" s="33">
        <f t="shared" si="132"/>
        <v>0</v>
      </c>
      <c r="N1377" s="33"/>
    </row>
    <row r="1378" spans="7:14" ht="16.5" customHeight="1">
      <c r="G1378" s="30">
        <f t="shared" si="133"/>
        <v>0</v>
      </c>
      <c r="H1378" s="31">
        <f t="shared" si="134"/>
        <v>0</v>
      </c>
      <c r="I1378" s="31">
        <f t="shared" si="135"/>
        <v>0</v>
      </c>
      <c r="J1378" s="31">
        <f t="shared" si="136"/>
        <v>0</v>
      </c>
      <c r="M1378" s="33">
        <f t="shared" si="132"/>
        <v>0</v>
      </c>
      <c r="N1378" s="33"/>
    </row>
    <row r="1379" spans="7:14" ht="16.5" customHeight="1">
      <c r="G1379" s="30">
        <f t="shared" si="133"/>
        <v>0</v>
      </c>
      <c r="H1379" s="31">
        <f t="shared" si="134"/>
        <v>0</v>
      </c>
      <c r="I1379" s="31">
        <f t="shared" si="135"/>
        <v>0</v>
      </c>
      <c r="J1379" s="31">
        <f t="shared" si="136"/>
        <v>0</v>
      </c>
      <c r="M1379" s="33">
        <f t="shared" si="132"/>
        <v>0</v>
      </c>
      <c r="N1379" s="33"/>
    </row>
    <row r="1380" spans="7:14" ht="16.5" customHeight="1">
      <c r="G1380" s="30">
        <f t="shared" si="133"/>
        <v>0</v>
      </c>
      <c r="H1380" s="31">
        <f t="shared" si="134"/>
        <v>0</v>
      </c>
      <c r="I1380" s="31">
        <f t="shared" si="135"/>
        <v>0</v>
      </c>
      <c r="J1380" s="31">
        <f t="shared" si="136"/>
        <v>0</v>
      </c>
      <c r="M1380" s="33">
        <f t="shared" si="132"/>
        <v>0</v>
      </c>
      <c r="N1380" s="33"/>
    </row>
    <row r="1381" spans="7:14" ht="16.5" customHeight="1">
      <c r="G1381" s="30">
        <f t="shared" si="133"/>
        <v>0</v>
      </c>
      <c r="H1381" s="31">
        <f t="shared" si="134"/>
        <v>0</v>
      </c>
      <c r="I1381" s="31">
        <f t="shared" si="135"/>
        <v>0</v>
      </c>
      <c r="J1381" s="31">
        <f t="shared" si="136"/>
        <v>0</v>
      </c>
      <c r="M1381" s="33">
        <f t="shared" si="132"/>
        <v>0</v>
      </c>
      <c r="N1381" s="33"/>
    </row>
    <row r="1382" spans="7:14" ht="16.5" customHeight="1">
      <c r="G1382" s="30">
        <f t="shared" si="133"/>
        <v>0</v>
      </c>
      <c r="H1382" s="31">
        <f t="shared" si="134"/>
        <v>0</v>
      </c>
      <c r="I1382" s="31">
        <f t="shared" si="135"/>
        <v>0</v>
      </c>
      <c r="J1382" s="31">
        <f t="shared" si="136"/>
        <v>0</v>
      </c>
      <c r="M1382" s="33">
        <f t="shared" si="132"/>
        <v>0</v>
      </c>
      <c r="N1382" s="33"/>
    </row>
    <row r="1383" spans="7:14" ht="16.5" customHeight="1">
      <c r="G1383" s="30">
        <f t="shared" si="133"/>
        <v>0</v>
      </c>
      <c r="H1383" s="31">
        <f t="shared" si="134"/>
        <v>0</v>
      </c>
      <c r="I1383" s="31">
        <f t="shared" si="135"/>
        <v>0</v>
      </c>
      <c r="J1383" s="31">
        <f t="shared" si="136"/>
        <v>0</v>
      </c>
      <c r="M1383" s="33">
        <f t="shared" si="132"/>
        <v>0</v>
      </c>
      <c r="N1383" s="33"/>
    </row>
    <row r="1384" spans="7:14" ht="16.5" customHeight="1">
      <c r="G1384" s="30">
        <f t="shared" si="133"/>
        <v>0</v>
      </c>
      <c r="H1384" s="31">
        <f t="shared" si="134"/>
        <v>0</v>
      </c>
      <c r="I1384" s="31">
        <f t="shared" si="135"/>
        <v>0</v>
      </c>
      <c r="J1384" s="31">
        <f t="shared" si="136"/>
        <v>0</v>
      </c>
      <c r="M1384" s="33">
        <f t="shared" si="132"/>
        <v>0</v>
      </c>
      <c r="N1384" s="33"/>
    </row>
    <row r="1385" spans="7:14" ht="16.5" customHeight="1">
      <c r="G1385" s="30">
        <f t="shared" si="133"/>
        <v>0</v>
      </c>
      <c r="H1385" s="31">
        <f t="shared" si="134"/>
        <v>0</v>
      </c>
      <c r="I1385" s="31">
        <f t="shared" si="135"/>
        <v>0</v>
      </c>
      <c r="J1385" s="31">
        <f t="shared" si="136"/>
        <v>0</v>
      </c>
      <c r="M1385" s="33">
        <f t="shared" si="132"/>
        <v>0</v>
      </c>
      <c r="N1385" s="33"/>
    </row>
    <row r="1386" spans="7:14" ht="16.5" customHeight="1">
      <c r="G1386" s="30">
        <f t="shared" si="133"/>
        <v>0</v>
      </c>
      <c r="H1386" s="31">
        <f t="shared" si="134"/>
        <v>0</v>
      </c>
      <c r="I1386" s="31">
        <f t="shared" si="135"/>
        <v>0</v>
      </c>
      <c r="J1386" s="31">
        <f t="shared" si="136"/>
        <v>0</v>
      </c>
      <c r="M1386" s="33">
        <f t="shared" si="132"/>
        <v>0</v>
      </c>
      <c r="N1386" s="33"/>
    </row>
    <row r="1387" spans="7:14" ht="16.5" customHeight="1">
      <c r="G1387" s="30">
        <f t="shared" si="133"/>
        <v>0</v>
      </c>
      <c r="H1387" s="31">
        <f t="shared" si="134"/>
        <v>0</v>
      </c>
      <c r="I1387" s="31">
        <f t="shared" si="135"/>
        <v>0</v>
      </c>
      <c r="J1387" s="31">
        <f t="shared" si="136"/>
        <v>0</v>
      </c>
      <c r="M1387" s="33">
        <f t="shared" si="132"/>
        <v>0</v>
      </c>
      <c r="N1387" s="33"/>
    </row>
    <row r="1388" spans="7:14" ht="16.5" customHeight="1">
      <c r="G1388" s="30">
        <f t="shared" si="133"/>
        <v>0</v>
      </c>
      <c r="H1388" s="31">
        <f t="shared" si="134"/>
        <v>0</v>
      </c>
      <c r="I1388" s="31">
        <f t="shared" si="135"/>
        <v>0</v>
      </c>
      <c r="J1388" s="31">
        <f t="shared" si="136"/>
        <v>0</v>
      </c>
      <c r="M1388" s="33">
        <f t="shared" si="132"/>
        <v>0</v>
      </c>
      <c r="N1388" s="33"/>
    </row>
    <row r="1389" spans="7:14" ht="16.5" customHeight="1">
      <c r="G1389" s="30">
        <f t="shared" si="133"/>
        <v>0</v>
      </c>
      <c r="H1389" s="31">
        <f t="shared" si="134"/>
        <v>0</v>
      </c>
      <c r="I1389" s="31">
        <f t="shared" si="135"/>
        <v>0</v>
      </c>
      <c r="J1389" s="31">
        <f t="shared" si="136"/>
        <v>0</v>
      </c>
      <c r="M1389" s="33">
        <f t="shared" si="132"/>
        <v>0</v>
      </c>
      <c r="N1389" s="33"/>
    </row>
    <row r="1390" spans="7:14" ht="16.5" customHeight="1">
      <c r="G1390" s="30">
        <f t="shared" si="133"/>
        <v>0</v>
      </c>
      <c r="H1390" s="31">
        <f t="shared" si="134"/>
        <v>0</v>
      </c>
      <c r="I1390" s="31">
        <f t="shared" si="135"/>
        <v>0</v>
      </c>
      <c r="J1390" s="31">
        <f t="shared" si="136"/>
        <v>0</v>
      </c>
      <c r="M1390" s="33">
        <f t="shared" si="132"/>
        <v>0</v>
      </c>
      <c r="N1390" s="33"/>
    </row>
    <row r="1391" spans="7:14" ht="16.5" customHeight="1">
      <c r="G1391" s="30">
        <f t="shared" si="133"/>
        <v>0</v>
      </c>
      <c r="H1391" s="31">
        <f t="shared" si="134"/>
        <v>0</v>
      </c>
      <c r="I1391" s="31">
        <f t="shared" si="135"/>
        <v>0</v>
      </c>
      <c r="J1391" s="31">
        <f t="shared" si="136"/>
        <v>0</v>
      </c>
      <c r="M1391" s="33">
        <f t="shared" si="132"/>
        <v>0</v>
      </c>
      <c r="N1391" s="33"/>
    </row>
    <row r="1392" spans="7:14" ht="16.5" customHeight="1">
      <c r="G1392" s="30">
        <f t="shared" si="133"/>
        <v>0</v>
      </c>
      <c r="H1392" s="31">
        <f t="shared" si="134"/>
        <v>0</v>
      </c>
      <c r="I1392" s="31">
        <f t="shared" si="135"/>
        <v>0</v>
      </c>
      <c r="J1392" s="31">
        <f t="shared" si="136"/>
        <v>0</v>
      </c>
      <c r="M1392" s="33">
        <f t="shared" si="132"/>
        <v>0</v>
      </c>
      <c r="N1392" s="33"/>
    </row>
    <row r="1393" spans="7:14" ht="16.5" customHeight="1">
      <c r="G1393" s="30">
        <f t="shared" si="133"/>
        <v>0</v>
      </c>
      <c r="H1393" s="31">
        <f t="shared" si="134"/>
        <v>0</v>
      </c>
      <c r="I1393" s="31">
        <f t="shared" si="135"/>
        <v>0</v>
      </c>
      <c r="J1393" s="31">
        <f t="shared" si="136"/>
        <v>0</v>
      </c>
      <c r="M1393" s="33">
        <f t="shared" si="132"/>
        <v>0</v>
      </c>
      <c r="N1393" s="33"/>
    </row>
    <row r="1394" spans="7:14" ht="16.5" customHeight="1">
      <c r="G1394" s="30">
        <f t="shared" si="133"/>
        <v>0</v>
      </c>
      <c r="H1394" s="31">
        <f t="shared" si="134"/>
        <v>0</v>
      </c>
      <c r="I1394" s="31">
        <f t="shared" si="135"/>
        <v>0</v>
      </c>
      <c r="J1394" s="31">
        <f t="shared" si="136"/>
        <v>0</v>
      </c>
      <c r="M1394" s="33">
        <f t="shared" si="132"/>
        <v>0</v>
      </c>
      <c r="N1394" s="33"/>
    </row>
    <row r="1395" spans="7:14" ht="16.5" customHeight="1">
      <c r="G1395" s="30">
        <f t="shared" si="133"/>
        <v>0</v>
      </c>
      <c r="H1395" s="31">
        <f t="shared" si="134"/>
        <v>0</v>
      </c>
      <c r="I1395" s="31">
        <f t="shared" si="135"/>
        <v>0</v>
      </c>
      <c r="J1395" s="31">
        <f t="shared" si="136"/>
        <v>0</v>
      </c>
      <c r="M1395" s="33">
        <f t="shared" si="132"/>
        <v>0</v>
      </c>
      <c r="N1395" s="33"/>
    </row>
    <row r="1396" spans="7:14" ht="16.5" customHeight="1">
      <c r="G1396" s="30">
        <f t="shared" si="133"/>
        <v>0</v>
      </c>
      <c r="H1396" s="31">
        <f t="shared" si="134"/>
        <v>0</v>
      </c>
      <c r="I1396" s="31">
        <f t="shared" si="135"/>
        <v>0</v>
      </c>
      <c r="J1396" s="31">
        <f t="shared" si="136"/>
        <v>0</v>
      </c>
      <c r="M1396" s="33">
        <f t="shared" si="132"/>
        <v>0</v>
      </c>
      <c r="N1396" s="33"/>
    </row>
    <row r="1397" spans="7:14" ht="16.5" customHeight="1">
      <c r="G1397" s="30">
        <f t="shared" si="133"/>
        <v>0</v>
      </c>
      <c r="H1397" s="31">
        <f t="shared" si="134"/>
        <v>0</v>
      </c>
      <c r="I1397" s="31">
        <f t="shared" si="135"/>
        <v>0</v>
      </c>
      <c r="J1397" s="31">
        <f t="shared" si="136"/>
        <v>0</v>
      </c>
      <c r="M1397" s="33">
        <f t="shared" si="132"/>
        <v>0</v>
      </c>
      <c r="N1397" s="33"/>
    </row>
    <row r="1398" spans="7:14" ht="16.5" customHeight="1">
      <c r="G1398" s="30">
        <f t="shared" si="133"/>
        <v>0</v>
      </c>
      <c r="H1398" s="31">
        <f t="shared" si="134"/>
        <v>0</v>
      </c>
      <c r="I1398" s="31">
        <f t="shared" si="135"/>
        <v>0</v>
      </c>
      <c r="J1398" s="31">
        <f t="shared" si="136"/>
        <v>0</v>
      </c>
      <c r="M1398" s="33">
        <f t="shared" si="132"/>
        <v>0</v>
      </c>
      <c r="N1398" s="33"/>
    </row>
    <row r="1399" spans="7:14" ht="16.5" customHeight="1">
      <c r="G1399" s="30">
        <f t="shared" si="133"/>
        <v>0</v>
      </c>
      <c r="H1399" s="31">
        <f t="shared" si="134"/>
        <v>0</v>
      </c>
      <c r="I1399" s="31">
        <f t="shared" si="135"/>
        <v>0</v>
      </c>
      <c r="J1399" s="31">
        <f t="shared" si="136"/>
        <v>0</v>
      </c>
      <c r="M1399" s="33">
        <f t="shared" si="132"/>
        <v>0</v>
      </c>
      <c r="N1399" s="33"/>
    </row>
    <row r="1400" spans="7:14" ht="16.5" customHeight="1">
      <c r="G1400" s="30">
        <f t="shared" si="133"/>
        <v>0</v>
      </c>
      <c r="H1400" s="31">
        <f t="shared" si="134"/>
        <v>0</v>
      </c>
      <c r="I1400" s="31">
        <f t="shared" si="135"/>
        <v>0</v>
      </c>
      <c r="J1400" s="31">
        <f t="shared" si="136"/>
        <v>0</v>
      </c>
      <c r="M1400" s="33">
        <f t="shared" si="132"/>
        <v>0</v>
      </c>
      <c r="N1400" s="33"/>
    </row>
    <row r="1401" spans="7:14" ht="16.5" customHeight="1">
      <c r="G1401" s="30">
        <f t="shared" si="133"/>
        <v>0</v>
      </c>
      <c r="H1401" s="31">
        <f t="shared" si="134"/>
        <v>0</v>
      </c>
      <c r="I1401" s="31">
        <f t="shared" si="135"/>
        <v>0</v>
      </c>
      <c r="J1401" s="31">
        <f t="shared" si="136"/>
        <v>0</v>
      </c>
      <c r="M1401" s="33">
        <f t="shared" si="132"/>
        <v>0</v>
      </c>
      <c r="N1401" s="33"/>
    </row>
    <row r="1402" spans="7:14" ht="16.5" customHeight="1">
      <c r="G1402" s="30">
        <f t="shared" si="133"/>
        <v>0</v>
      </c>
      <c r="H1402" s="31">
        <f t="shared" si="134"/>
        <v>0</v>
      </c>
      <c r="I1402" s="31">
        <f t="shared" si="135"/>
        <v>0</v>
      </c>
      <c r="J1402" s="31">
        <f t="shared" si="136"/>
        <v>0</v>
      </c>
      <c r="M1402" s="33">
        <f t="shared" si="132"/>
        <v>0</v>
      </c>
      <c r="N1402" s="33"/>
    </row>
    <row r="1403" spans="7:14" ht="16.5" customHeight="1">
      <c r="G1403" s="30">
        <f t="shared" si="133"/>
        <v>0</v>
      </c>
      <c r="H1403" s="31">
        <f t="shared" si="134"/>
        <v>0</v>
      </c>
      <c r="I1403" s="31">
        <f t="shared" si="135"/>
        <v>0</v>
      </c>
      <c r="J1403" s="31">
        <f t="shared" si="136"/>
        <v>0</v>
      </c>
      <c r="M1403" s="33">
        <f t="shared" si="132"/>
        <v>0</v>
      </c>
      <c r="N1403" s="33"/>
    </row>
    <row r="1404" spans="7:14" ht="16.5" customHeight="1">
      <c r="G1404" s="30">
        <f t="shared" si="133"/>
        <v>0</v>
      </c>
      <c r="H1404" s="31">
        <f t="shared" si="134"/>
        <v>0</v>
      </c>
      <c r="I1404" s="31">
        <f t="shared" si="135"/>
        <v>0</v>
      </c>
      <c r="J1404" s="31">
        <f t="shared" si="136"/>
        <v>0</v>
      </c>
      <c r="M1404" s="33">
        <f t="shared" si="132"/>
        <v>0</v>
      </c>
      <c r="N1404" s="33"/>
    </row>
    <row r="1405" spans="7:14" ht="16.5" customHeight="1">
      <c r="G1405" s="30">
        <f t="shared" si="133"/>
        <v>0</v>
      </c>
      <c r="H1405" s="31">
        <f t="shared" si="134"/>
        <v>0</v>
      </c>
      <c r="I1405" s="31">
        <f t="shared" si="135"/>
        <v>0</v>
      </c>
      <c r="J1405" s="31">
        <f t="shared" si="136"/>
        <v>0</v>
      </c>
      <c r="M1405" s="33">
        <f t="shared" si="132"/>
        <v>0</v>
      </c>
      <c r="N1405" s="33"/>
    </row>
    <row r="1406" spans="7:14" ht="16.5" customHeight="1">
      <c r="G1406" s="30">
        <f t="shared" si="133"/>
        <v>0</v>
      </c>
      <c r="H1406" s="31">
        <f t="shared" si="134"/>
        <v>0</v>
      </c>
      <c r="I1406" s="31">
        <f t="shared" si="135"/>
        <v>0</v>
      </c>
      <c r="J1406" s="31">
        <f t="shared" si="136"/>
        <v>0</v>
      </c>
      <c r="M1406" s="33">
        <f t="shared" ref="M1406:M1469" si="137">IF(P1406="TL tuyệt đối",0, IF(K1406&lt;5,0,IF(K1406&lt;50,K1406*9%,IF(K1406&lt;100,4.5,IF(K1406&lt;200,4.5%*K1406,IF(K1406&lt;300,9,IF(K1406&lt;500,K1406*3%,IF(K1406&lt;1000,15,))))))))</f>
        <v>0</v>
      </c>
      <c r="N1406" s="33"/>
    </row>
    <row r="1407" spans="7:14" ht="16.5" customHeight="1">
      <c r="G1407" s="30">
        <f t="shared" si="133"/>
        <v>0</v>
      </c>
      <c r="H1407" s="31">
        <f t="shared" si="134"/>
        <v>0</v>
      </c>
      <c r="I1407" s="31">
        <f t="shared" si="135"/>
        <v>0</v>
      </c>
      <c r="J1407" s="31">
        <f t="shared" si="136"/>
        <v>0</v>
      </c>
      <c r="M1407" s="33">
        <f t="shared" si="137"/>
        <v>0</v>
      </c>
      <c r="N1407" s="33"/>
    </row>
    <row r="1408" spans="7:14" ht="16.5" customHeight="1">
      <c r="G1408" s="30">
        <f t="shared" ref="G1408:G1471" si="138">IF(P1408="TL tuyệt đối",K1408*103%,K1408+1/3*M1408)</f>
        <v>0</v>
      </c>
      <c r="H1408" s="31">
        <f t="shared" ref="H1408:H1471" si="139">IF(P1408="TL tuyệt đối",K1408*101%,K1408-1/3*M1408)</f>
        <v>0</v>
      </c>
      <c r="I1408" s="31">
        <f t="shared" ref="I1408:I1471" si="140">IF(P1408="TL tuyệt đối", K1408*105%,K1408+M1408)</f>
        <v>0</v>
      </c>
      <c r="J1408" s="31">
        <f t="shared" si="136"/>
        <v>0</v>
      </c>
      <c r="M1408" s="33">
        <f t="shared" si="137"/>
        <v>0</v>
      </c>
      <c r="N1408" s="33"/>
    </row>
    <row r="1409" spans="7:14" ht="16.5" customHeight="1">
      <c r="G1409" s="30">
        <f t="shared" si="138"/>
        <v>0</v>
      </c>
      <c r="H1409" s="31">
        <f t="shared" si="139"/>
        <v>0</v>
      </c>
      <c r="I1409" s="31">
        <f t="shared" si="140"/>
        <v>0</v>
      </c>
      <c r="J1409" s="31">
        <f t="shared" si="136"/>
        <v>0</v>
      </c>
      <c r="M1409" s="33">
        <f t="shared" si="137"/>
        <v>0</v>
      </c>
      <c r="N1409" s="33"/>
    </row>
    <row r="1410" spans="7:14" ht="16.5" customHeight="1">
      <c r="G1410" s="30">
        <f t="shared" si="138"/>
        <v>0</v>
      </c>
      <c r="H1410" s="31">
        <f t="shared" si="139"/>
        <v>0</v>
      </c>
      <c r="I1410" s="31">
        <f t="shared" si="140"/>
        <v>0</v>
      </c>
      <c r="J1410" s="31">
        <f t="shared" si="136"/>
        <v>0</v>
      </c>
      <c r="M1410" s="33">
        <f t="shared" si="137"/>
        <v>0</v>
      </c>
      <c r="N1410" s="33"/>
    </row>
    <row r="1411" spans="7:14" ht="16.5" customHeight="1">
      <c r="G1411" s="30">
        <f t="shared" si="138"/>
        <v>0</v>
      </c>
      <c r="H1411" s="31">
        <f t="shared" si="139"/>
        <v>0</v>
      </c>
      <c r="I1411" s="31">
        <f t="shared" si="140"/>
        <v>0</v>
      </c>
      <c r="J1411" s="31">
        <f t="shared" si="136"/>
        <v>0</v>
      </c>
      <c r="M1411" s="33">
        <f t="shared" si="137"/>
        <v>0</v>
      </c>
      <c r="N1411" s="33"/>
    </row>
    <row r="1412" spans="7:14" ht="16.5" customHeight="1">
      <c r="G1412" s="30">
        <f t="shared" si="138"/>
        <v>0</v>
      </c>
      <c r="H1412" s="31">
        <f t="shared" si="139"/>
        <v>0</v>
      </c>
      <c r="I1412" s="31">
        <f t="shared" si="140"/>
        <v>0</v>
      </c>
      <c r="J1412" s="31">
        <f t="shared" ref="J1412:J1475" si="141">K1412-M1412</f>
        <v>0</v>
      </c>
      <c r="M1412" s="33">
        <f t="shared" si="137"/>
        <v>0</v>
      </c>
      <c r="N1412" s="33"/>
    </row>
    <row r="1413" spans="7:14" ht="16.5" customHeight="1">
      <c r="G1413" s="30">
        <f t="shared" si="138"/>
        <v>0</v>
      </c>
      <c r="H1413" s="31">
        <f t="shared" si="139"/>
        <v>0</v>
      </c>
      <c r="I1413" s="31">
        <f t="shared" si="140"/>
        <v>0</v>
      </c>
      <c r="J1413" s="31">
        <f t="shared" si="141"/>
        <v>0</v>
      </c>
      <c r="M1413" s="33">
        <f t="shared" si="137"/>
        <v>0</v>
      </c>
      <c r="N1413" s="33"/>
    </row>
    <row r="1414" spans="7:14" ht="16.5" customHeight="1">
      <c r="G1414" s="30">
        <f t="shared" si="138"/>
        <v>0</v>
      </c>
      <c r="H1414" s="31">
        <f t="shared" si="139"/>
        <v>0</v>
      </c>
      <c r="I1414" s="31">
        <f t="shared" si="140"/>
        <v>0</v>
      </c>
      <c r="J1414" s="31">
        <f t="shared" si="141"/>
        <v>0</v>
      </c>
      <c r="M1414" s="33">
        <f t="shared" si="137"/>
        <v>0</v>
      </c>
      <c r="N1414" s="33"/>
    </row>
    <row r="1415" spans="7:14" ht="16.5" customHeight="1">
      <c r="G1415" s="30">
        <f t="shared" si="138"/>
        <v>0</v>
      </c>
      <c r="H1415" s="31">
        <f t="shared" si="139"/>
        <v>0</v>
      </c>
      <c r="I1415" s="31">
        <f t="shared" si="140"/>
        <v>0</v>
      </c>
      <c r="J1415" s="31">
        <f t="shared" si="141"/>
        <v>0</v>
      </c>
      <c r="M1415" s="33">
        <f t="shared" si="137"/>
        <v>0</v>
      </c>
      <c r="N1415" s="33"/>
    </row>
    <row r="1416" spans="7:14" ht="16.5" customHeight="1">
      <c r="G1416" s="30">
        <f t="shared" si="138"/>
        <v>0</v>
      </c>
      <c r="H1416" s="31">
        <f t="shared" si="139"/>
        <v>0</v>
      </c>
      <c r="I1416" s="31">
        <f t="shared" si="140"/>
        <v>0</v>
      </c>
      <c r="J1416" s="31">
        <f t="shared" si="141"/>
        <v>0</v>
      </c>
      <c r="M1416" s="33">
        <f t="shared" si="137"/>
        <v>0</v>
      </c>
      <c r="N1416" s="33"/>
    </row>
    <row r="1417" spans="7:14" ht="16.5" customHeight="1">
      <c r="G1417" s="30">
        <f t="shared" si="138"/>
        <v>0</v>
      </c>
      <c r="H1417" s="31">
        <f t="shared" si="139"/>
        <v>0</v>
      </c>
      <c r="I1417" s="31">
        <f t="shared" si="140"/>
        <v>0</v>
      </c>
      <c r="J1417" s="31">
        <f t="shared" si="141"/>
        <v>0</v>
      </c>
      <c r="M1417" s="33">
        <f t="shared" si="137"/>
        <v>0</v>
      </c>
      <c r="N1417" s="33"/>
    </row>
    <row r="1418" spans="7:14" ht="16.5" customHeight="1">
      <c r="G1418" s="30">
        <f t="shared" si="138"/>
        <v>0</v>
      </c>
      <c r="H1418" s="31">
        <f t="shared" si="139"/>
        <v>0</v>
      </c>
      <c r="I1418" s="31">
        <f t="shared" si="140"/>
        <v>0</v>
      </c>
      <c r="J1418" s="31">
        <f t="shared" si="141"/>
        <v>0</v>
      </c>
      <c r="M1418" s="33">
        <f t="shared" si="137"/>
        <v>0</v>
      </c>
      <c r="N1418" s="33"/>
    </row>
    <row r="1419" spans="7:14" ht="16.5" customHeight="1">
      <c r="G1419" s="30">
        <f t="shared" si="138"/>
        <v>0</v>
      </c>
      <c r="H1419" s="31">
        <f t="shared" si="139"/>
        <v>0</v>
      </c>
      <c r="I1419" s="31">
        <f t="shared" si="140"/>
        <v>0</v>
      </c>
      <c r="J1419" s="31">
        <f t="shared" si="141"/>
        <v>0</v>
      </c>
      <c r="M1419" s="33">
        <f t="shared" si="137"/>
        <v>0</v>
      </c>
      <c r="N1419" s="33"/>
    </row>
    <row r="1420" spans="7:14" ht="16.5" customHeight="1">
      <c r="G1420" s="30">
        <f t="shared" si="138"/>
        <v>0</v>
      </c>
      <c r="H1420" s="31">
        <f t="shared" si="139"/>
        <v>0</v>
      </c>
      <c r="I1420" s="31">
        <f t="shared" si="140"/>
        <v>0</v>
      </c>
      <c r="J1420" s="31">
        <f t="shared" si="141"/>
        <v>0</v>
      </c>
      <c r="M1420" s="33">
        <f t="shared" si="137"/>
        <v>0</v>
      </c>
      <c r="N1420" s="33"/>
    </row>
    <row r="1421" spans="7:14" ht="16.5" customHeight="1">
      <c r="G1421" s="30">
        <f t="shared" si="138"/>
        <v>0</v>
      </c>
      <c r="H1421" s="31">
        <f t="shared" si="139"/>
        <v>0</v>
      </c>
      <c r="I1421" s="31">
        <f t="shared" si="140"/>
        <v>0</v>
      </c>
      <c r="J1421" s="31">
        <f t="shared" si="141"/>
        <v>0</v>
      </c>
      <c r="M1421" s="33">
        <f t="shared" si="137"/>
        <v>0</v>
      </c>
      <c r="N1421" s="33"/>
    </row>
    <row r="1422" spans="7:14" ht="16.5" customHeight="1">
      <c r="G1422" s="30">
        <f t="shared" si="138"/>
        <v>0</v>
      </c>
      <c r="H1422" s="31">
        <f t="shared" si="139"/>
        <v>0</v>
      </c>
      <c r="I1422" s="31">
        <f t="shared" si="140"/>
        <v>0</v>
      </c>
      <c r="J1422" s="31">
        <f t="shared" si="141"/>
        <v>0</v>
      </c>
      <c r="M1422" s="33">
        <f t="shared" si="137"/>
        <v>0</v>
      </c>
      <c r="N1422" s="33"/>
    </row>
    <row r="1423" spans="7:14" ht="16.5" customHeight="1">
      <c r="G1423" s="30">
        <f t="shared" si="138"/>
        <v>0</v>
      </c>
      <c r="H1423" s="31">
        <f t="shared" si="139"/>
        <v>0</v>
      </c>
      <c r="I1423" s="31">
        <f t="shared" si="140"/>
        <v>0</v>
      </c>
      <c r="J1423" s="31">
        <f t="shared" si="141"/>
        <v>0</v>
      </c>
      <c r="M1423" s="33">
        <f t="shared" si="137"/>
        <v>0</v>
      </c>
      <c r="N1423" s="33"/>
    </row>
    <row r="1424" spans="7:14" ht="16.5" customHeight="1">
      <c r="G1424" s="30">
        <f t="shared" si="138"/>
        <v>0</v>
      </c>
      <c r="H1424" s="31">
        <f t="shared" si="139"/>
        <v>0</v>
      </c>
      <c r="I1424" s="31">
        <f t="shared" si="140"/>
        <v>0</v>
      </c>
      <c r="J1424" s="31">
        <f t="shared" si="141"/>
        <v>0</v>
      </c>
      <c r="M1424" s="33">
        <f t="shared" si="137"/>
        <v>0</v>
      </c>
      <c r="N1424" s="33"/>
    </row>
    <row r="1425" spans="7:14" ht="16.5" customHeight="1">
      <c r="G1425" s="30">
        <f t="shared" si="138"/>
        <v>0</v>
      </c>
      <c r="H1425" s="31">
        <f t="shared" si="139"/>
        <v>0</v>
      </c>
      <c r="I1425" s="31">
        <f t="shared" si="140"/>
        <v>0</v>
      </c>
      <c r="J1425" s="31">
        <f t="shared" si="141"/>
        <v>0</v>
      </c>
      <c r="M1425" s="33">
        <f t="shared" si="137"/>
        <v>0</v>
      </c>
      <c r="N1425" s="33"/>
    </row>
    <row r="1426" spans="7:14" ht="16.5" customHeight="1">
      <c r="G1426" s="30">
        <f t="shared" si="138"/>
        <v>0</v>
      </c>
      <c r="H1426" s="31">
        <f t="shared" si="139"/>
        <v>0</v>
      </c>
      <c r="I1426" s="31">
        <f t="shared" si="140"/>
        <v>0</v>
      </c>
      <c r="J1426" s="31">
        <f t="shared" si="141"/>
        <v>0</v>
      </c>
      <c r="M1426" s="33">
        <f t="shared" si="137"/>
        <v>0</v>
      </c>
      <c r="N1426" s="33"/>
    </row>
    <row r="1427" spans="7:14" ht="16.5" customHeight="1">
      <c r="G1427" s="30">
        <f t="shared" si="138"/>
        <v>0</v>
      </c>
      <c r="H1427" s="31">
        <f t="shared" si="139"/>
        <v>0</v>
      </c>
      <c r="I1427" s="31">
        <f t="shared" si="140"/>
        <v>0</v>
      </c>
      <c r="J1427" s="31">
        <f t="shared" si="141"/>
        <v>0</v>
      </c>
      <c r="M1427" s="33">
        <f t="shared" si="137"/>
        <v>0</v>
      </c>
      <c r="N1427" s="33"/>
    </row>
    <row r="1428" spans="7:14" ht="16.5" customHeight="1">
      <c r="G1428" s="30">
        <f t="shared" si="138"/>
        <v>0</v>
      </c>
      <c r="H1428" s="31">
        <f t="shared" si="139"/>
        <v>0</v>
      </c>
      <c r="I1428" s="31">
        <f t="shared" si="140"/>
        <v>0</v>
      </c>
      <c r="J1428" s="31">
        <f t="shared" si="141"/>
        <v>0</v>
      </c>
      <c r="M1428" s="33">
        <f t="shared" si="137"/>
        <v>0</v>
      </c>
      <c r="N1428" s="33"/>
    </row>
    <row r="1429" spans="7:14" ht="16.5" customHeight="1">
      <c r="G1429" s="30">
        <f t="shared" si="138"/>
        <v>0</v>
      </c>
      <c r="H1429" s="31">
        <f t="shared" si="139"/>
        <v>0</v>
      </c>
      <c r="I1429" s="31">
        <f t="shared" si="140"/>
        <v>0</v>
      </c>
      <c r="J1429" s="31">
        <f t="shared" si="141"/>
        <v>0</v>
      </c>
      <c r="M1429" s="33">
        <f t="shared" si="137"/>
        <v>0</v>
      </c>
      <c r="N1429" s="33"/>
    </row>
    <row r="1430" spans="7:14" ht="16.5" customHeight="1">
      <c r="G1430" s="30">
        <f t="shared" si="138"/>
        <v>0</v>
      </c>
      <c r="H1430" s="31">
        <f t="shared" si="139"/>
        <v>0</v>
      </c>
      <c r="I1430" s="31">
        <f t="shared" si="140"/>
        <v>0</v>
      </c>
      <c r="J1430" s="31">
        <f t="shared" si="141"/>
        <v>0</v>
      </c>
      <c r="M1430" s="33">
        <f t="shared" si="137"/>
        <v>0</v>
      </c>
      <c r="N1430" s="33"/>
    </row>
    <row r="1431" spans="7:14" ht="16.5" customHeight="1">
      <c r="G1431" s="30">
        <f t="shared" si="138"/>
        <v>0</v>
      </c>
      <c r="H1431" s="31">
        <f t="shared" si="139"/>
        <v>0</v>
      </c>
      <c r="I1431" s="31">
        <f t="shared" si="140"/>
        <v>0</v>
      </c>
      <c r="J1431" s="31">
        <f t="shared" si="141"/>
        <v>0</v>
      </c>
      <c r="M1431" s="33">
        <f t="shared" si="137"/>
        <v>0</v>
      </c>
      <c r="N1431" s="33"/>
    </row>
    <row r="1432" spans="7:14" ht="16.5" customHeight="1">
      <c r="G1432" s="30">
        <f t="shared" si="138"/>
        <v>0</v>
      </c>
      <c r="H1432" s="31">
        <f t="shared" si="139"/>
        <v>0</v>
      </c>
      <c r="I1432" s="31">
        <f t="shared" si="140"/>
        <v>0</v>
      </c>
      <c r="J1432" s="31">
        <f t="shared" si="141"/>
        <v>0</v>
      </c>
      <c r="M1432" s="33">
        <f t="shared" si="137"/>
        <v>0</v>
      </c>
      <c r="N1432" s="33"/>
    </row>
    <row r="1433" spans="7:14" ht="16.5" customHeight="1">
      <c r="G1433" s="30">
        <f t="shared" si="138"/>
        <v>0</v>
      </c>
      <c r="H1433" s="31">
        <f t="shared" si="139"/>
        <v>0</v>
      </c>
      <c r="I1433" s="31">
        <f t="shared" si="140"/>
        <v>0</v>
      </c>
      <c r="J1433" s="31">
        <f t="shared" si="141"/>
        <v>0</v>
      </c>
      <c r="M1433" s="33">
        <f t="shared" si="137"/>
        <v>0</v>
      </c>
      <c r="N1433" s="33"/>
    </row>
    <row r="1434" spans="7:14" ht="16.5" customHeight="1">
      <c r="G1434" s="30">
        <f t="shared" si="138"/>
        <v>0</v>
      </c>
      <c r="H1434" s="31">
        <f t="shared" si="139"/>
        <v>0</v>
      </c>
      <c r="I1434" s="31">
        <f t="shared" si="140"/>
        <v>0</v>
      </c>
      <c r="J1434" s="31">
        <f t="shared" si="141"/>
        <v>0</v>
      </c>
      <c r="M1434" s="33">
        <f t="shared" si="137"/>
        <v>0</v>
      </c>
      <c r="N1434" s="33"/>
    </row>
    <row r="1435" spans="7:14" ht="16.5" customHeight="1">
      <c r="G1435" s="30">
        <f t="shared" si="138"/>
        <v>0</v>
      </c>
      <c r="H1435" s="31">
        <f t="shared" si="139"/>
        <v>0</v>
      </c>
      <c r="I1435" s="31">
        <f t="shared" si="140"/>
        <v>0</v>
      </c>
      <c r="J1435" s="31">
        <f t="shared" si="141"/>
        <v>0</v>
      </c>
      <c r="M1435" s="33">
        <f t="shared" si="137"/>
        <v>0</v>
      </c>
      <c r="N1435" s="33"/>
    </row>
    <row r="1436" spans="7:14" ht="16.5" customHeight="1">
      <c r="G1436" s="30">
        <f t="shared" si="138"/>
        <v>0</v>
      </c>
      <c r="H1436" s="31">
        <f t="shared" si="139"/>
        <v>0</v>
      </c>
      <c r="I1436" s="31">
        <f t="shared" si="140"/>
        <v>0</v>
      </c>
      <c r="J1436" s="31">
        <f t="shared" si="141"/>
        <v>0</v>
      </c>
      <c r="M1436" s="33">
        <f t="shared" si="137"/>
        <v>0</v>
      </c>
      <c r="N1436" s="33"/>
    </row>
    <row r="1437" spans="7:14" ht="16.5" customHeight="1">
      <c r="G1437" s="30">
        <f t="shared" si="138"/>
        <v>0</v>
      </c>
      <c r="H1437" s="31">
        <f t="shared" si="139"/>
        <v>0</v>
      </c>
      <c r="I1437" s="31">
        <f t="shared" si="140"/>
        <v>0</v>
      </c>
      <c r="J1437" s="31">
        <f t="shared" si="141"/>
        <v>0</v>
      </c>
      <c r="M1437" s="33">
        <f t="shared" si="137"/>
        <v>0</v>
      </c>
      <c r="N1437" s="33"/>
    </row>
    <row r="1438" spans="7:14" ht="16.5" customHeight="1">
      <c r="G1438" s="30">
        <f t="shared" si="138"/>
        <v>0</v>
      </c>
      <c r="H1438" s="31">
        <f t="shared" si="139"/>
        <v>0</v>
      </c>
      <c r="I1438" s="31">
        <f t="shared" si="140"/>
        <v>0</v>
      </c>
      <c r="J1438" s="31">
        <f t="shared" si="141"/>
        <v>0</v>
      </c>
      <c r="M1438" s="33">
        <f t="shared" si="137"/>
        <v>0</v>
      </c>
      <c r="N1438" s="33"/>
    </row>
    <row r="1439" spans="7:14" ht="16.5" customHeight="1">
      <c r="G1439" s="30">
        <f t="shared" si="138"/>
        <v>0</v>
      </c>
      <c r="H1439" s="31">
        <f t="shared" si="139"/>
        <v>0</v>
      </c>
      <c r="I1439" s="31">
        <f t="shared" si="140"/>
        <v>0</v>
      </c>
      <c r="J1439" s="31">
        <f t="shared" si="141"/>
        <v>0</v>
      </c>
      <c r="M1439" s="33">
        <f t="shared" si="137"/>
        <v>0</v>
      </c>
      <c r="N1439" s="33"/>
    </row>
    <row r="1440" spans="7:14" ht="16.5" customHeight="1">
      <c r="G1440" s="30">
        <f t="shared" si="138"/>
        <v>0</v>
      </c>
      <c r="H1440" s="31">
        <f t="shared" si="139"/>
        <v>0</v>
      </c>
      <c r="I1440" s="31">
        <f t="shared" si="140"/>
        <v>0</v>
      </c>
      <c r="J1440" s="31">
        <f t="shared" si="141"/>
        <v>0</v>
      </c>
      <c r="M1440" s="33">
        <f t="shared" si="137"/>
        <v>0</v>
      </c>
      <c r="N1440" s="33"/>
    </row>
    <row r="1441" spans="7:14" ht="16.5" customHeight="1">
      <c r="G1441" s="30">
        <f t="shared" si="138"/>
        <v>0</v>
      </c>
      <c r="H1441" s="31">
        <f t="shared" si="139"/>
        <v>0</v>
      </c>
      <c r="I1441" s="31">
        <f t="shared" si="140"/>
        <v>0</v>
      </c>
      <c r="J1441" s="31">
        <f t="shared" si="141"/>
        <v>0</v>
      </c>
      <c r="M1441" s="33">
        <f t="shared" si="137"/>
        <v>0</v>
      </c>
      <c r="N1441" s="33"/>
    </row>
    <row r="1442" spans="7:14" ht="16.5" customHeight="1">
      <c r="G1442" s="30">
        <f t="shared" si="138"/>
        <v>0</v>
      </c>
      <c r="H1442" s="31">
        <f t="shared" si="139"/>
        <v>0</v>
      </c>
      <c r="I1442" s="31">
        <f t="shared" si="140"/>
        <v>0</v>
      </c>
      <c r="J1442" s="31">
        <f t="shared" si="141"/>
        <v>0</v>
      </c>
      <c r="M1442" s="33">
        <f t="shared" si="137"/>
        <v>0</v>
      </c>
      <c r="N1442" s="33"/>
    </row>
    <row r="1443" spans="7:14" ht="16.5" customHeight="1">
      <c r="G1443" s="30">
        <f t="shared" si="138"/>
        <v>0</v>
      </c>
      <c r="H1443" s="31">
        <f t="shared" si="139"/>
        <v>0</v>
      </c>
      <c r="I1443" s="31">
        <f t="shared" si="140"/>
        <v>0</v>
      </c>
      <c r="J1443" s="31">
        <f t="shared" si="141"/>
        <v>0</v>
      </c>
      <c r="M1443" s="33">
        <f t="shared" si="137"/>
        <v>0</v>
      </c>
      <c r="N1443" s="33"/>
    </row>
    <row r="1444" spans="7:14" ht="16.5" customHeight="1">
      <c r="G1444" s="30">
        <f t="shared" si="138"/>
        <v>0</v>
      </c>
      <c r="H1444" s="31">
        <f t="shared" si="139"/>
        <v>0</v>
      </c>
      <c r="I1444" s="31">
        <f t="shared" si="140"/>
        <v>0</v>
      </c>
      <c r="J1444" s="31">
        <f t="shared" si="141"/>
        <v>0</v>
      </c>
      <c r="M1444" s="33">
        <f t="shared" si="137"/>
        <v>0</v>
      </c>
      <c r="N1444" s="33"/>
    </row>
    <row r="1445" spans="7:14" ht="16.5" customHeight="1">
      <c r="G1445" s="30">
        <f t="shared" si="138"/>
        <v>0</v>
      </c>
      <c r="H1445" s="31">
        <f t="shared" si="139"/>
        <v>0</v>
      </c>
      <c r="I1445" s="31">
        <f t="shared" si="140"/>
        <v>0</v>
      </c>
      <c r="J1445" s="31">
        <f t="shared" si="141"/>
        <v>0</v>
      </c>
      <c r="M1445" s="33">
        <f t="shared" si="137"/>
        <v>0</v>
      </c>
      <c r="N1445" s="33"/>
    </row>
    <row r="1446" spans="7:14" ht="16.5" customHeight="1">
      <c r="G1446" s="30">
        <f t="shared" si="138"/>
        <v>0</v>
      </c>
      <c r="H1446" s="31">
        <f t="shared" si="139"/>
        <v>0</v>
      </c>
      <c r="I1446" s="31">
        <f t="shared" si="140"/>
        <v>0</v>
      </c>
      <c r="J1446" s="31">
        <f t="shared" si="141"/>
        <v>0</v>
      </c>
      <c r="M1446" s="33">
        <f t="shared" si="137"/>
        <v>0</v>
      </c>
      <c r="N1446" s="33"/>
    </row>
    <row r="1447" spans="7:14" ht="16.5" customHeight="1">
      <c r="G1447" s="30">
        <f t="shared" si="138"/>
        <v>0</v>
      </c>
      <c r="H1447" s="31">
        <f t="shared" si="139"/>
        <v>0</v>
      </c>
      <c r="I1447" s="31">
        <f t="shared" si="140"/>
        <v>0</v>
      </c>
      <c r="J1447" s="31">
        <f t="shared" si="141"/>
        <v>0</v>
      </c>
      <c r="M1447" s="33">
        <f t="shared" si="137"/>
        <v>0</v>
      </c>
      <c r="N1447" s="33"/>
    </row>
    <row r="1448" spans="7:14" ht="16.5" customHeight="1">
      <c r="G1448" s="30">
        <f t="shared" si="138"/>
        <v>0</v>
      </c>
      <c r="H1448" s="31">
        <f t="shared" si="139"/>
        <v>0</v>
      </c>
      <c r="I1448" s="31">
        <f t="shared" si="140"/>
        <v>0</v>
      </c>
      <c r="J1448" s="31">
        <f t="shared" si="141"/>
        <v>0</v>
      </c>
      <c r="M1448" s="33">
        <f t="shared" si="137"/>
        <v>0</v>
      </c>
      <c r="N1448" s="33"/>
    </row>
    <row r="1449" spans="7:14" ht="16.5" customHeight="1">
      <c r="G1449" s="30">
        <f t="shared" si="138"/>
        <v>0</v>
      </c>
      <c r="H1449" s="31">
        <f t="shared" si="139"/>
        <v>0</v>
      </c>
      <c r="I1449" s="31">
        <f t="shared" si="140"/>
        <v>0</v>
      </c>
      <c r="J1449" s="31">
        <f t="shared" si="141"/>
        <v>0</v>
      </c>
      <c r="M1449" s="33">
        <f t="shared" si="137"/>
        <v>0</v>
      </c>
      <c r="N1449" s="33"/>
    </row>
    <row r="1450" spans="7:14" ht="16.5" customHeight="1">
      <c r="G1450" s="30">
        <f t="shared" si="138"/>
        <v>0</v>
      </c>
      <c r="H1450" s="31">
        <f t="shared" si="139"/>
        <v>0</v>
      </c>
      <c r="I1450" s="31">
        <f t="shared" si="140"/>
        <v>0</v>
      </c>
      <c r="J1450" s="31">
        <f t="shared" si="141"/>
        <v>0</v>
      </c>
      <c r="M1450" s="33">
        <f t="shared" si="137"/>
        <v>0</v>
      </c>
      <c r="N1450" s="33"/>
    </row>
    <row r="1451" spans="7:14" ht="16.5" customHeight="1">
      <c r="G1451" s="30">
        <f t="shared" si="138"/>
        <v>0</v>
      </c>
      <c r="H1451" s="31">
        <f t="shared" si="139"/>
        <v>0</v>
      </c>
      <c r="I1451" s="31">
        <f t="shared" si="140"/>
        <v>0</v>
      </c>
      <c r="J1451" s="31">
        <f t="shared" si="141"/>
        <v>0</v>
      </c>
      <c r="M1451" s="33">
        <f t="shared" si="137"/>
        <v>0</v>
      </c>
      <c r="N1451" s="33"/>
    </row>
    <row r="1452" spans="7:14" ht="16.5" customHeight="1">
      <c r="G1452" s="30">
        <f t="shared" si="138"/>
        <v>0</v>
      </c>
      <c r="H1452" s="31">
        <f t="shared" si="139"/>
        <v>0</v>
      </c>
      <c r="I1452" s="31">
        <f t="shared" si="140"/>
        <v>0</v>
      </c>
      <c r="J1452" s="31">
        <f t="shared" si="141"/>
        <v>0</v>
      </c>
      <c r="M1452" s="33">
        <f t="shared" si="137"/>
        <v>0</v>
      </c>
      <c r="N1452" s="33"/>
    </row>
    <row r="1453" spans="7:14" ht="16.5" customHeight="1">
      <c r="G1453" s="30">
        <f t="shared" si="138"/>
        <v>0</v>
      </c>
      <c r="H1453" s="31">
        <f t="shared" si="139"/>
        <v>0</v>
      </c>
      <c r="I1453" s="31">
        <f t="shared" si="140"/>
        <v>0</v>
      </c>
      <c r="J1453" s="31">
        <f t="shared" si="141"/>
        <v>0</v>
      </c>
      <c r="M1453" s="33">
        <f t="shared" si="137"/>
        <v>0</v>
      </c>
      <c r="N1453" s="33"/>
    </row>
    <row r="1454" spans="7:14" ht="16.5" customHeight="1">
      <c r="G1454" s="30">
        <f t="shared" si="138"/>
        <v>0</v>
      </c>
      <c r="H1454" s="31">
        <f t="shared" si="139"/>
        <v>0</v>
      </c>
      <c r="I1454" s="31">
        <f t="shared" si="140"/>
        <v>0</v>
      </c>
      <c r="J1454" s="31">
        <f t="shared" si="141"/>
        <v>0</v>
      </c>
      <c r="M1454" s="33">
        <f t="shared" si="137"/>
        <v>0</v>
      </c>
      <c r="N1454" s="33"/>
    </row>
    <row r="1455" spans="7:14" ht="16.5" customHeight="1">
      <c r="G1455" s="30">
        <f t="shared" si="138"/>
        <v>0</v>
      </c>
      <c r="H1455" s="31">
        <f t="shared" si="139"/>
        <v>0</v>
      </c>
      <c r="I1455" s="31">
        <f t="shared" si="140"/>
        <v>0</v>
      </c>
      <c r="J1455" s="31">
        <f t="shared" si="141"/>
        <v>0</v>
      </c>
      <c r="M1455" s="33">
        <f t="shared" si="137"/>
        <v>0</v>
      </c>
      <c r="N1455" s="33"/>
    </row>
    <row r="1456" spans="7:14" ht="16.5" customHeight="1">
      <c r="G1456" s="30">
        <f t="shared" si="138"/>
        <v>0</v>
      </c>
      <c r="H1456" s="31">
        <f t="shared" si="139"/>
        <v>0</v>
      </c>
      <c r="I1456" s="31">
        <f t="shared" si="140"/>
        <v>0</v>
      </c>
      <c r="J1456" s="31">
        <f t="shared" si="141"/>
        <v>0</v>
      </c>
      <c r="M1456" s="33">
        <f t="shared" si="137"/>
        <v>0</v>
      </c>
      <c r="N1456" s="33"/>
    </row>
    <row r="1457" spans="7:14" ht="16.5" customHeight="1">
      <c r="G1457" s="30">
        <f t="shared" si="138"/>
        <v>0</v>
      </c>
      <c r="H1457" s="31">
        <f t="shared" si="139"/>
        <v>0</v>
      </c>
      <c r="I1457" s="31">
        <f t="shared" si="140"/>
        <v>0</v>
      </c>
      <c r="J1457" s="31">
        <f t="shared" si="141"/>
        <v>0</v>
      </c>
      <c r="M1457" s="33">
        <f t="shared" si="137"/>
        <v>0</v>
      </c>
      <c r="N1457" s="33"/>
    </row>
    <row r="1458" spans="7:14" ht="16.5" customHeight="1">
      <c r="G1458" s="30">
        <f t="shared" si="138"/>
        <v>0</v>
      </c>
      <c r="H1458" s="31">
        <f t="shared" si="139"/>
        <v>0</v>
      </c>
      <c r="I1458" s="31">
        <f t="shared" si="140"/>
        <v>0</v>
      </c>
      <c r="J1458" s="31">
        <f t="shared" si="141"/>
        <v>0</v>
      </c>
      <c r="M1458" s="33">
        <f t="shared" si="137"/>
        <v>0</v>
      </c>
      <c r="N1458" s="33"/>
    </row>
    <row r="1459" spans="7:14" ht="16.5" customHeight="1">
      <c r="G1459" s="30">
        <f t="shared" si="138"/>
        <v>0</v>
      </c>
      <c r="H1459" s="31">
        <f t="shared" si="139"/>
        <v>0</v>
      </c>
      <c r="I1459" s="31">
        <f t="shared" si="140"/>
        <v>0</v>
      </c>
      <c r="J1459" s="31">
        <f t="shared" si="141"/>
        <v>0</v>
      </c>
      <c r="M1459" s="33">
        <f t="shared" si="137"/>
        <v>0</v>
      </c>
      <c r="N1459" s="33"/>
    </row>
    <row r="1460" spans="7:14" ht="16.5" customHeight="1">
      <c r="G1460" s="30">
        <f t="shared" si="138"/>
        <v>0</v>
      </c>
      <c r="H1460" s="31">
        <f t="shared" si="139"/>
        <v>0</v>
      </c>
      <c r="I1460" s="31">
        <f t="shared" si="140"/>
        <v>0</v>
      </c>
      <c r="J1460" s="31">
        <f t="shared" si="141"/>
        <v>0</v>
      </c>
      <c r="M1460" s="33">
        <f t="shared" si="137"/>
        <v>0</v>
      </c>
      <c r="N1460" s="33"/>
    </row>
    <row r="1461" spans="7:14" ht="16.5" customHeight="1">
      <c r="G1461" s="30">
        <f t="shared" si="138"/>
        <v>0</v>
      </c>
      <c r="H1461" s="31">
        <f t="shared" si="139"/>
        <v>0</v>
      </c>
      <c r="I1461" s="31">
        <f t="shared" si="140"/>
        <v>0</v>
      </c>
      <c r="J1461" s="31">
        <f t="shared" si="141"/>
        <v>0</v>
      </c>
      <c r="M1461" s="33">
        <f t="shared" si="137"/>
        <v>0</v>
      </c>
      <c r="N1461" s="33"/>
    </row>
    <row r="1462" spans="7:14" ht="16.5" customHeight="1">
      <c r="G1462" s="30">
        <f t="shared" si="138"/>
        <v>0</v>
      </c>
      <c r="H1462" s="31">
        <f t="shared" si="139"/>
        <v>0</v>
      </c>
      <c r="I1462" s="31">
        <f t="shared" si="140"/>
        <v>0</v>
      </c>
      <c r="J1462" s="31">
        <f t="shared" si="141"/>
        <v>0</v>
      </c>
      <c r="M1462" s="33">
        <f t="shared" si="137"/>
        <v>0</v>
      </c>
      <c r="N1462" s="33"/>
    </row>
    <row r="1463" spans="7:14" ht="16.5" customHeight="1">
      <c r="G1463" s="30">
        <f t="shared" si="138"/>
        <v>0</v>
      </c>
      <c r="H1463" s="31">
        <f t="shared" si="139"/>
        <v>0</v>
      </c>
      <c r="I1463" s="31">
        <f t="shared" si="140"/>
        <v>0</v>
      </c>
      <c r="J1463" s="31">
        <f t="shared" si="141"/>
        <v>0</v>
      </c>
      <c r="M1463" s="33">
        <f t="shared" si="137"/>
        <v>0</v>
      </c>
      <c r="N1463" s="33"/>
    </row>
    <row r="1464" spans="7:14" ht="16.5" customHeight="1">
      <c r="G1464" s="30">
        <f t="shared" si="138"/>
        <v>0</v>
      </c>
      <c r="H1464" s="31">
        <f t="shared" si="139"/>
        <v>0</v>
      </c>
      <c r="I1464" s="31">
        <f t="shared" si="140"/>
        <v>0</v>
      </c>
      <c r="J1464" s="31">
        <f t="shared" si="141"/>
        <v>0</v>
      </c>
      <c r="M1464" s="33">
        <f t="shared" si="137"/>
        <v>0</v>
      </c>
      <c r="N1464" s="33"/>
    </row>
    <row r="1465" spans="7:14" ht="16.5" customHeight="1">
      <c r="G1465" s="30">
        <f t="shared" si="138"/>
        <v>0</v>
      </c>
      <c r="H1465" s="31">
        <f t="shared" si="139"/>
        <v>0</v>
      </c>
      <c r="I1465" s="31">
        <f t="shared" si="140"/>
        <v>0</v>
      </c>
      <c r="J1465" s="31">
        <f t="shared" si="141"/>
        <v>0</v>
      </c>
      <c r="M1465" s="33">
        <f t="shared" si="137"/>
        <v>0</v>
      </c>
      <c r="N1465" s="33"/>
    </row>
    <row r="1466" spans="7:14" ht="16.5" customHeight="1">
      <c r="G1466" s="30">
        <f t="shared" si="138"/>
        <v>0</v>
      </c>
      <c r="H1466" s="31">
        <f t="shared" si="139"/>
        <v>0</v>
      </c>
      <c r="I1466" s="31">
        <f t="shared" si="140"/>
        <v>0</v>
      </c>
      <c r="J1466" s="31">
        <f t="shared" si="141"/>
        <v>0</v>
      </c>
      <c r="M1466" s="33">
        <f t="shared" si="137"/>
        <v>0</v>
      </c>
      <c r="N1466" s="33"/>
    </row>
    <row r="1467" spans="7:14" ht="16.5" customHeight="1">
      <c r="G1467" s="30">
        <f t="shared" si="138"/>
        <v>0</v>
      </c>
      <c r="H1467" s="31">
        <f t="shared" si="139"/>
        <v>0</v>
      </c>
      <c r="I1467" s="31">
        <f t="shared" si="140"/>
        <v>0</v>
      </c>
      <c r="J1467" s="31">
        <f t="shared" si="141"/>
        <v>0</v>
      </c>
      <c r="M1467" s="33">
        <f t="shared" si="137"/>
        <v>0</v>
      </c>
      <c r="N1467" s="33"/>
    </row>
    <row r="1468" spans="7:14" ht="16.5" customHeight="1">
      <c r="G1468" s="30">
        <f t="shared" si="138"/>
        <v>0</v>
      </c>
      <c r="H1468" s="31">
        <f t="shared" si="139"/>
        <v>0</v>
      </c>
      <c r="I1468" s="31">
        <f t="shared" si="140"/>
        <v>0</v>
      </c>
      <c r="J1468" s="31">
        <f t="shared" si="141"/>
        <v>0</v>
      </c>
      <c r="M1468" s="33">
        <f t="shared" si="137"/>
        <v>0</v>
      </c>
      <c r="N1468" s="33"/>
    </row>
    <row r="1469" spans="7:14" ht="16.5" customHeight="1">
      <c r="G1469" s="30">
        <f t="shared" si="138"/>
        <v>0</v>
      </c>
      <c r="H1469" s="31">
        <f t="shared" si="139"/>
        <v>0</v>
      </c>
      <c r="I1469" s="31">
        <f t="shared" si="140"/>
        <v>0</v>
      </c>
      <c r="J1469" s="31">
        <f t="shared" si="141"/>
        <v>0</v>
      </c>
      <c r="M1469" s="33">
        <f t="shared" si="137"/>
        <v>0</v>
      </c>
      <c r="N1469" s="33"/>
    </row>
    <row r="1470" spans="7:14" ht="16.5" customHeight="1">
      <c r="G1470" s="30">
        <f t="shared" si="138"/>
        <v>0</v>
      </c>
      <c r="H1470" s="31">
        <f t="shared" si="139"/>
        <v>0</v>
      </c>
      <c r="I1470" s="31">
        <f t="shared" si="140"/>
        <v>0</v>
      </c>
      <c r="J1470" s="31">
        <f t="shared" si="141"/>
        <v>0</v>
      </c>
      <c r="M1470" s="33">
        <f t="shared" ref="M1470:M1533" si="142">IF(P1470="TL tuyệt đối",0, IF(K1470&lt;5,0,IF(K1470&lt;50,K1470*9%,IF(K1470&lt;100,4.5,IF(K1470&lt;200,4.5%*K1470,IF(K1470&lt;300,9,IF(K1470&lt;500,K1470*3%,IF(K1470&lt;1000,15,))))))))</f>
        <v>0</v>
      </c>
      <c r="N1470" s="33"/>
    </row>
    <row r="1471" spans="7:14" ht="16.5" customHeight="1">
      <c r="G1471" s="30">
        <f t="shared" si="138"/>
        <v>0</v>
      </c>
      <c r="H1471" s="31">
        <f t="shared" si="139"/>
        <v>0</v>
      </c>
      <c r="I1471" s="31">
        <f t="shared" si="140"/>
        <v>0</v>
      </c>
      <c r="J1471" s="31">
        <f t="shared" si="141"/>
        <v>0</v>
      </c>
      <c r="M1471" s="33">
        <f t="shared" si="142"/>
        <v>0</v>
      </c>
      <c r="N1471" s="33"/>
    </row>
    <row r="1472" spans="7:14" ht="16.5" customHeight="1">
      <c r="G1472" s="30">
        <f t="shared" ref="G1472:G1535" si="143">IF(P1472="TL tuyệt đối",K1472*103%,K1472+1/3*M1472)</f>
        <v>0</v>
      </c>
      <c r="H1472" s="31">
        <f t="shared" ref="H1472:H1535" si="144">IF(P1472="TL tuyệt đối",K1472*101%,K1472-1/3*M1472)</f>
        <v>0</v>
      </c>
      <c r="I1472" s="31">
        <f t="shared" ref="I1472:I1535" si="145">IF(P1472="TL tuyệt đối", K1472*105%,K1472+M1472)</f>
        <v>0</v>
      </c>
      <c r="J1472" s="31">
        <f t="shared" si="141"/>
        <v>0</v>
      </c>
      <c r="M1472" s="33">
        <f t="shared" si="142"/>
        <v>0</v>
      </c>
      <c r="N1472" s="33"/>
    </row>
    <row r="1473" spans="7:14" ht="16.5" customHeight="1">
      <c r="G1473" s="30">
        <f t="shared" si="143"/>
        <v>0</v>
      </c>
      <c r="H1473" s="31">
        <f t="shared" si="144"/>
        <v>0</v>
      </c>
      <c r="I1473" s="31">
        <f t="shared" si="145"/>
        <v>0</v>
      </c>
      <c r="J1473" s="31">
        <f t="shared" si="141"/>
        <v>0</v>
      </c>
      <c r="M1473" s="33">
        <f t="shared" si="142"/>
        <v>0</v>
      </c>
      <c r="N1473" s="33"/>
    </row>
    <row r="1474" spans="7:14" ht="16.5" customHeight="1">
      <c r="G1474" s="30">
        <f t="shared" si="143"/>
        <v>0</v>
      </c>
      <c r="H1474" s="31">
        <f t="shared" si="144"/>
        <v>0</v>
      </c>
      <c r="I1474" s="31">
        <f t="shared" si="145"/>
        <v>0</v>
      </c>
      <c r="J1474" s="31">
        <f t="shared" si="141"/>
        <v>0</v>
      </c>
      <c r="M1474" s="33">
        <f t="shared" si="142"/>
        <v>0</v>
      </c>
      <c r="N1474" s="33"/>
    </row>
    <row r="1475" spans="7:14" ht="16.5" customHeight="1">
      <c r="G1475" s="30">
        <f t="shared" si="143"/>
        <v>0</v>
      </c>
      <c r="H1475" s="31">
        <f t="shared" si="144"/>
        <v>0</v>
      </c>
      <c r="I1475" s="31">
        <f t="shared" si="145"/>
        <v>0</v>
      </c>
      <c r="J1475" s="31">
        <f t="shared" si="141"/>
        <v>0</v>
      </c>
      <c r="M1475" s="33">
        <f t="shared" si="142"/>
        <v>0</v>
      </c>
      <c r="N1475" s="33"/>
    </row>
    <row r="1476" spans="7:14" ht="16.5" customHeight="1">
      <c r="G1476" s="30">
        <f t="shared" si="143"/>
        <v>0</v>
      </c>
      <c r="H1476" s="31">
        <f t="shared" si="144"/>
        <v>0</v>
      </c>
      <c r="I1476" s="31">
        <f t="shared" si="145"/>
        <v>0</v>
      </c>
      <c r="J1476" s="31">
        <f t="shared" ref="J1476:J1539" si="146">K1476-M1476</f>
        <v>0</v>
      </c>
      <c r="M1476" s="33">
        <f t="shared" si="142"/>
        <v>0</v>
      </c>
      <c r="N1476" s="33"/>
    </row>
    <row r="1477" spans="7:14" ht="16.5" customHeight="1">
      <c r="G1477" s="30">
        <f t="shared" si="143"/>
        <v>0</v>
      </c>
      <c r="H1477" s="31">
        <f t="shared" si="144"/>
        <v>0</v>
      </c>
      <c r="I1477" s="31">
        <f t="shared" si="145"/>
        <v>0</v>
      </c>
      <c r="J1477" s="31">
        <f t="shared" si="146"/>
        <v>0</v>
      </c>
      <c r="M1477" s="33">
        <f t="shared" si="142"/>
        <v>0</v>
      </c>
      <c r="N1477" s="33"/>
    </row>
    <row r="1478" spans="7:14" ht="16.5" customHeight="1">
      <c r="G1478" s="30">
        <f t="shared" si="143"/>
        <v>0</v>
      </c>
      <c r="H1478" s="31">
        <f t="shared" si="144"/>
        <v>0</v>
      </c>
      <c r="I1478" s="31">
        <f t="shared" si="145"/>
        <v>0</v>
      </c>
      <c r="J1478" s="31">
        <f t="shared" si="146"/>
        <v>0</v>
      </c>
      <c r="M1478" s="33">
        <f t="shared" si="142"/>
        <v>0</v>
      </c>
      <c r="N1478" s="33"/>
    </row>
    <row r="1479" spans="7:14" ht="16.5" customHeight="1">
      <c r="G1479" s="30">
        <f t="shared" si="143"/>
        <v>0</v>
      </c>
      <c r="H1479" s="31">
        <f t="shared" si="144"/>
        <v>0</v>
      </c>
      <c r="I1479" s="31">
        <f t="shared" si="145"/>
        <v>0</v>
      </c>
      <c r="J1479" s="31">
        <f t="shared" si="146"/>
        <v>0</v>
      </c>
      <c r="M1479" s="33">
        <f t="shared" si="142"/>
        <v>0</v>
      </c>
      <c r="N1479" s="33"/>
    </row>
    <row r="1480" spans="7:14" ht="16.5" customHeight="1">
      <c r="G1480" s="30">
        <f t="shared" si="143"/>
        <v>0</v>
      </c>
      <c r="H1480" s="31">
        <f t="shared" si="144"/>
        <v>0</v>
      </c>
      <c r="I1480" s="31">
        <f t="shared" si="145"/>
        <v>0</v>
      </c>
      <c r="J1480" s="31">
        <f t="shared" si="146"/>
        <v>0</v>
      </c>
      <c r="M1480" s="33">
        <f t="shared" si="142"/>
        <v>0</v>
      </c>
      <c r="N1480" s="33"/>
    </row>
    <row r="1481" spans="7:14" ht="16.5" customHeight="1">
      <c r="G1481" s="30">
        <f t="shared" si="143"/>
        <v>0</v>
      </c>
      <c r="H1481" s="31">
        <f t="shared" si="144"/>
        <v>0</v>
      </c>
      <c r="I1481" s="31">
        <f t="shared" si="145"/>
        <v>0</v>
      </c>
      <c r="J1481" s="31">
        <f t="shared" si="146"/>
        <v>0</v>
      </c>
      <c r="M1481" s="33">
        <f t="shared" si="142"/>
        <v>0</v>
      </c>
      <c r="N1481" s="33"/>
    </row>
    <row r="1482" spans="7:14" ht="16.5" customHeight="1">
      <c r="G1482" s="30">
        <f t="shared" si="143"/>
        <v>0</v>
      </c>
      <c r="H1482" s="31">
        <f t="shared" si="144"/>
        <v>0</v>
      </c>
      <c r="I1482" s="31">
        <f t="shared" si="145"/>
        <v>0</v>
      </c>
      <c r="J1482" s="31">
        <f t="shared" si="146"/>
        <v>0</v>
      </c>
      <c r="M1482" s="33">
        <f t="shared" si="142"/>
        <v>0</v>
      </c>
      <c r="N1482" s="33"/>
    </row>
    <row r="1483" spans="7:14" ht="16.5" customHeight="1">
      <c r="G1483" s="30">
        <f t="shared" si="143"/>
        <v>0</v>
      </c>
      <c r="H1483" s="31">
        <f t="shared" si="144"/>
        <v>0</v>
      </c>
      <c r="I1483" s="31">
        <f t="shared" si="145"/>
        <v>0</v>
      </c>
      <c r="J1483" s="31">
        <f t="shared" si="146"/>
        <v>0</v>
      </c>
      <c r="M1483" s="33">
        <f t="shared" si="142"/>
        <v>0</v>
      </c>
      <c r="N1483" s="33"/>
    </row>
    <row r="1484" spans="7:14" ht="16.5" customHeight="1">
      <c r="G1484" s="30">
        <f t="shared" si="143"/>
        <v>0</v>
      </c>
      <c r="H1484" s="31">
        <f t="shared" si="144"/>
        <v>0</v>
      </c>
      <c r="I1484" s="31">
        <f t="shared" si="145"/>
        <v>0</v>
      </c>
      <c r="J1484" s="31">
        <f t="shared" si="146"/>
        <v>0</v>
      </c>
      <c r="M1484" s="33">
        <f t="shared" si="142"/>
        <v>0</v>
      </c>
      <c r="N1484" s="33"/>
    </row>
    <row r="1485" spans="7:14" ht="16.5" customHeight="1">
      <c r="G1485" s="30">
        <f t="shared" si="143"/>
        <v>0</v>
      </c>
      <c r="H1485" s="31">
        <f t="shared" si="144"/>
        <v>0</v>
      </c>
      <c r="I1485" s="31">
        <f t="shared" si="145"/>
        <v>0</v>
      </c>
      <c r="J1485" s="31">
        <f t="shared" si="146"/>
        <v>0</v>
      </c>
      <c r="M1485" s="33">
        <f t="shared" si="142"/>
        <v>0</v>
      </c>
      <c r="N1485" s="33"/>
    </row>
    <row r="1486" spans="7:14" ht="16.5" customHeight="1">
      <c r="G1486" s="30">
        <f t="shared" si="143"/>
        <v>0</v>
      </c>
      <c r="H1486" s="31">
        <f t="shared" si="144"/>
        <v>0</v>
      </c>
      <c r="I1486" s="31">
        <f t="shared" si="145"/>
        <v>0</v>
      </c>
      <c r="J1486" s="31">
        <f t="shared" si="146"/>
        <v>0</v>
      </c>
      <c r="M1486" s="33">
        <f t="shared" si="142"/>
        <v>0</v>
      </c>
      <c r="N1486" s="33"/>
    </row>
    <row r="1487" spans="7:14" ht="16.5" customHeight="1">
      <c r="G1487" s="30">
        <f t="shared" si="143"/>
        <v>0</v>
      </c>
      <c r="H1487" s="31">
        <f t="shared" si="144"/>
        <v>0</v>
      </c>
      <c r="I1487" s="31">
        <f t="shared" si="145"/>
        <v>0</v>
      </c>
      <c r="J1487" s="31">
        <f t="shared" si="146"/>
        <v>0</v>
      </c>
      <c r="M1487" s="33">
        <f t="shared" si="142"/>
        <v>0</v>
      </c>
      <c r="N1487" s="33"/>
    </row>
    <row r="1488" spans="7:14" ht="16.5" customHeight="1">
      <c r="G1488" s="30">
        <f t="shared" si="143"/>
        <v>0</v>
      </c>
      <c r="H1488" s="31">
        <f t="shared" si="144"/>
        <v>0</v>
      </c>
      <c r="I1488" s="31">
        <f t="shared" si="145"/>
        <v>0</v>
      </c>
      <c r="J1488" s="31">
        <f t="shared" si="146"/>
        <v>0</v>
      </c>
      <c r="M1488" s="33">
        <f t="shared" si="142"/>
        <v>0</v>
      </c>
      <c r="N1488" s="33"/>
    </row>
    <row r="1489" spans="7:14" ht="16.5" customHeight="1">
      <c r="G1489" s="30">
        <f t="shared" si="143"/>
        <v>0</v>
      </c>
      <c r="H1489" s="31">
        <f t="shared" si="144"/>
        <v>0</v>
      </c>
      <c r="I1489" s="31">
        <f t="shared" si="145"/>
        <v>0</v>
      </c>
      <c r="J1489" s="31">
        <f t="shared" si="146"/>
        <v>0</v>
      </c>
      <c r="M1489" s="33">
        <f t="shared" si="142"/>
        <v>0</v>
      </c>
      <c r="N1489" s="33"/>
    </row>
    <row r="1490" spans="7:14" ht="16.5" customHeight="1">
      <c r="G1490" s="30">
        <f t="shared" si="143"/>
        <v>0</v>
      </c>
      <c r="H1490" s="31">
        <f t="shared" si="144"/>
        <v>0</v>
      </c>
      <c r="I1490" s="31">
        <f t="shared" si="145"/>
        <v>0</v>
      </c>
      <c r="J1490" s="31">
        <f t="shared" si="146"/>
        <v>0</v>
      </c>
      <c r="M1490" s="33">
        <f t="shared" si="142"/>
        <v>0</v>
      </c>
      <c r="N1490" s="33"/>
    </row>
    <row r="1491" spans="7:14" ht="16.5" customHeight="1">
      <c r="G1491" s="30">
        <f t="shared" si="143"/>
        <v>0</v>
      </c>
      <c r="H1491" s="31">
        <f t="shared" si="144"/>
        <v>0</v>
      </c>
      <c r="I1491" s="31">
        <f t="shared" si="145"/>
        <v>0</v>
      </c>
      <c r="J1491" s="31">
        <f t="shared" si="146"/>
        <v>0</v>
      </c>
      <c r="M1491" s="33">
        <f t="shared" si="142"/>
        <v>0</v>
      </c>
      <c r="N1491" s="33"/>
    </row>
    <row r="1492" spans="7:14" ht="16.5" customHeight="1">
      <c r="G1492" s="30">
        <f t="shared" si="143"/>
        <v>0</v>
      </c>
      <c r="H1492" s="31">
        <f t="shared" si="144"/>
        <v>0</v>
      </c>
      <c r="I1492" s="31">
        <f t="shared" si="145"/>
        <v>0</v>
      </c>
      <c r="J1492" s="31">
        <f t="shared" si="146"/>
        <v>0</v>
      </c>
      <c r="M1492" s="33">
        <f t="shared" si="142"/>
        <v>0</v>
      </c>
      <c r="N1492" s="33"/>
    </row>
    <row r="1493" spans="7:14" ht="16.5" customHeight="1">
      <c r="G1493" s="30">
        <f t="shared" si="143"/>
        <v>0</v>
      </c>
      <c r="H1493" s="31">
        <f t="shared" si="144"/>
        <v>0</v>
      </c>
      <c r="I1493" s="31">
        <f t="shared" si="145"/>
        <v>0</v>
      </c>
      <c r="J1493" s="31">
        <f t="shared" si="146"/>
        <v>0</v>
      </c>
      <c r="M1493" s="33">
        <f t="shared" si="142"/>
        <v>0</v>
      </c>
      <c r="N1493" s="33"/>
    </row>
    <row r="1494" spans="7:14" ht="16.5" customHeight="1">
      <c r="G1494" s="30">
        <f t="shared" si="143"/>
        <v>0</v>
      </c>
      <c r="H1494" s="31">
        <f t="shared" si="144"/>
        <v>0</v>
      </c>
      <c r="I1494" s="31">
        <f t="shared" si="145"/>
        <v>0</v>
      </c>
      <c r="J1494" s="31">
        <f t="shared" si="146"/>
        <v>0</v>
      </c>
      <c r="M1494" s="33">
        <f t="shared" si="142"/>
        <v>0</v>
      </c>
      <c r="N1494" s="33"/>
    </row>
    <row r="1495" spans="7:14" ht="16.5" customHeight="1">
      <c r="G1495" s="30">
        <f t="shared" si="143"/>
        <v>0</v>
      </c>
      <c r="H1495" s="31">
        <f t="shared" si="144"/>
        <v>0</v>
      </c>
      <c r="I1495" s="31">
        <f t="shared" si="145"/>
        <v>0</v>
      </c>
      <c r="J1495" s="31">
        <f t="shared" si="146"/>
        <v>0</v>
      </c>
      <c r="M1495" s="33">
        <f t="shared" si="142"/>
        <v>0</v>
      </c>
      <c r="N1495" s="33"/>
    </row>
    <row r="1496" spans="7:14" ht="16.5" customHeight="1">
      <c r="G1496" s="30">
        <f t="shared" si="143"/>
        <v>0</v>
      </c>
      <c r="H1496" s="31">
        <f t="shared" si="144"/>
        <v>0</v>
      </c>
      <c r="I1496" s="31">
        <f t="shared" si="145"/>
        <v>0</v>
      </c>
      <c r="J1496" s="31">
        <f t="shared" si="146"/>
        <v>0</v>
      </c>
      <c r="M1496" s="33">
        <f t="shared" si="142"/>
        <v>0</v>
      </c>
      <c r="N1496" s="33"/>
    </row>
    <row r="1497" spans="7:14" ht="16.5" customHeight="1">
      <c r="G1497" s="30">
        <f t="shared" si="143"/>
        <v>0</v>
      </c>
      <c r="H1497" s="31">
        <f t="shared" si="144"/>
        <v>0</v>
      </c>
      <c r="I1497" s="31">
        <f t="shared" si="145"/>
        <v>0</v>
      </c>
      <c r="J1497" s="31">
        <f t="shared" si="146"/>
        <v>0</v>
      </c>
      <c r="M1497" s="33">
        <f t="shared" si="142"/>
        <v>0</v>
      </c>
      <c r="N1497" s="33"/>
    </row>
    <row r="1498" spans="7:14" ht="16.5" customHeight="1">
      <c r="G1498" s="30">
        <f t="shared" si="143"/>
        <v>0</v>
      </c>
      <c r="H1498" s="31">
        <f t="shared" si="144"/>
        <v>0</v>
      </c>
      <c r="I1498" s="31">
        <f t="shared" si="145"/>
        <v>0</v>
      </c>
      <c r="J1498" s="31">
        <f t="shared" si="146"/>
        <v>0</v>
      </c>
      <c r="M1498" s="33">
        <f t="shared" si="142"/>
        <v>0</v>
      </c>
      <c r="N1498" s="33"/>
    </row>
    <row r="1499" spans="7:14" ht="16.5" customHeight="1">
      <c r="G1499" s="30">
        <f t="shared" si="143"/>
        <v>0</v>
      </c>
      <c r="H1499" s="31">
        <f t="shared" si="144"/>
        <v>0</v>
      </c>
      <c r="I1499" s="31">
        <f t="shared" si="145"/>
        <v>0</v>
      </c>
      <c r="J1499" s="31">
        <f t="shared" si="146"/>
        <v>0</v>
      </c>
      <c r="M1499" s="33">
        <f t="shared" si="142"/>
        <v>0</v>
      </c>
      <c r="N1499" s="33"/>
    </row>
    <row r="1500" spans="7:14" ht="16.5" customHeight="1">
      <c r="G1500" s="30">
        <f t="shared" si="143"/>
        <v>0</v>
      </c>
      <c r="H1500" s="31">
        <f t="shared" si="144"/>
        <v>0</v>
      </c>
      <c r="I1500" s="31">
        <f t="shared" si="145"/>
        <v>0</v>
      </c>
      <c r="J1500" s="31">
        <f t="shared" si="146"/>
        <v>0</v>
      </c>
      <c r="M1500" s="33">
        <f t="shared" si="142"/>
        <v>0</v>
      </c>
      <c r="N1500" s="33"/>
    </row>
    <row r="1501" spans="7:14" ht="16.5" customHeight="1">
      <c r="G1501" s="30">
        <f t="shared" si="143"/>
        <v>0</v>
      </c>
      <c r="H1501" s="31">
        <f t="shared" si="144"/>
        <v>0</v>
      </c>
      <c r="I1501" s="31">
        <f t="shared" si="145"/>
        <v>0</v>
      </c>
      <c r="J1501" s="31">
        <f t="shared" si="146"/>
        <v>0</v>
      </c>
      <c r="M1501" s="33">
        <f t="shared" si="142"/>
        <v>0</v>
      </c>
      <c r="N1501" s="33"/>
    </row>
    <row r="1502" spans="7:14" ht="16.5" customHeight="1">
      <c r="G1502" s="30">
        <f t="shared" si="143"/>
        <v>0</v>
      </c>
      <c r="H1502" s="31">
        <f t="shared" si="144"/>
        <v>0</v>
      </c>
      <c r="I1502" s="31">
        <f t="shared" si="145"/>
        <v>0</v>
      </c>
      <c r="J1502" s="31">
        <f t="shared" si="146"/>
        <v>0</v>
      </c>
      <c r="M1502" s="33">
        <f t="shared" si="142"/>
        <v>0</v>
      </c>
      <c r="N1502" s="33"/>
    </row>
    <row r="1503" spans="7:14" ht="16.5" customHeight="1">
      <c r="G1503" s="30">
        <f t="shared" si="143"/>
        <v>0</v>
      </c>
      <c r="H1503" s="31">
        <f t="shared" si="144"/>
        <v>0</v>
      </c>
      <c r="I1503" s="31">
        <f t="shared" si="145"/>
        <v>0</v>
      </c>
      <c r="J1503" s="31">
        <f t="shared" si="146"/>
        <v>0</v>
      </c>
      <c r="M1503" s="33">
        <f t="shared" si="142"/>
        <v>0</v>
      </c>
      <c r="N1503" s="33"/>
    </row>
    <row r="1504" spans="7:14" ht="16.5" customHeight="1">
      <c r="G1504" s="30">
        <f t="shared" si="143"/>
        <v>0</v>
      </c>
      <c r="H1504" s="31">
        <f t="shared" si="144"/>
        <v>0</v>
      </c>
      <c r="I1504" s="31">
        <f t="shared" si="145"/>
        <v>0</v>
      </c>
      <c r="J1504" s="31">
        <f t="shared" si="146"/>
        <v>0</v>
      </c>
      <c r="M1504" s="33">
        <f t="shared" si="142"/>
        <v>0</v>
      </c>
      <c r="N1504" s="33"/>
    </row>
    <row r="1505" spans="7:14" ht="16.5" customHeight="1">
      <c r="G1505" s="30">
        <f t="shared" si="143"/>
        <v>0</v>
      </c>
      <c r="H1505" s="31">
        <f t="shared" si="144"/>
        <v>0</v>
      </c>
      <c r="I1505" s="31">
        <f t="shared" si="145"/>
        <v>0</v>
      </c>
      <c r="J1505" s="31">
        <f t="shared" si="146"/>
        <v>0</v>
      </c>
      <c r="M1505" s="33">
        <f t="shared" si="142"/>
        <v>0</v>
      </c>
      <c r="N1505" s="33"/>
    </row>
    <row r="1506" spans="7:14" ht="16.5" customHeight="1">
      <c r="G1506" s="30">
        <f t="shared" si="143"/>
        <v>0</v>
      </c>
      <c r="H1506" s="31">
        <f t="shared" si="144"/>
        <v>0</v>
      </c>
      <c r="I1506" s="31">
        <f t="shared" si="145"/>
        <v>0</v>
      </c>
      <c r="J1506" s="31">
        <f t="shared" si="146"/>
        <v>0</v>
      </c>
      <c r="M1506" s="33">
        <f t="shared" si="142"/>
        <v>0</v>
      </c>
      <c r="N1506" s="33"/>
    </row>
    <row r="1507" spans="7:14" ht="16.5" customHeight="1">
      <c r="G1507" s="30">
        <f t="shared" si="143"/>
        <v>0</v>
      </c>
      <c r="H1507" s="31">
        <f t="shared" si="144"/>
        <v>0</v>
      </c>
      <c r="I1507" s="31">
        <f t="shared" si="145"/>
        <v>0</v>
      </c>
      <c r="J1507" s="31">
        <f t="shared" si="146"/>
        <v>0</v>
      </c>
      <c r="M1507" s="33">
        <f t="shared" si="142"/>
        <v>0</v>
      </c>
      <c r="N1507" s="33"/>
    </row>
    <row r="1508" spans="7:14" ht="16.5" customHeight="1">
      <c r="G1508" s="30">
        <f t="shared" si="143"/>
        <v>0</v>
      </c>
      <c r="H1508" s="31">
        <f t="shared" si="144"/>
        <v>0</v>
      </c>
      <c r="I1508" s="31">
        <f t="shared" si="145"/>
        <v>0</v>
      </c>
      <c r="J1508" s="31">
        <f t="shared" si="146"/>
        <v>0</v>
      </c>
      <c r="M1508" s="33">
        <f t="shared" si="142"/>
        <v>0</v>
      </c>
      <c r="N1508" s="33"/>
    </row>
    <row r="1509" spans="7:14" ht="16.5" customHeight="1">
      <c r="G1509" s="30">
        <f t="shared" si="143"/>
        <v>0</v>
      </c>
      <c r="H1509" s="31">
        <f t="shared" si="144"/>
        <v>0</v>
      </c>
      <c r="I1509" s="31">
        <f t="shared" si="145"/>
        <v>0</v>
      </c>
      <c r="J1509" s="31">
        <f t="shared" si="146"/>
        <v>0</v>
      </c>
      <c r="M1509" s="33">
        <f t="shared" si="142"/>
        <v>0</v>
      </c>
      <c r="N1509" s="33"/>
    </row>
    <row r="1510" spans="7:14" ht="16.5" customHeight="1">
      <c r="G1510" s="30">
        <f t="shared" si="143"/>
        <v>0</v>
      </c>
      <c r="H1510" s="31">
        <f t="shared" si="144"/>
        <v>0</v>
      </c>
      <c r="I1510" s="31">
        <f t="shared" si="145"/>
        <v>0</v>
      </c>
      <c r="J1510" s="31">
        <f t="shared" si="146"/>
        <v>0</v>
      </c>
      <c r="M1510" s="33">
        <f t="shared" si="142"/>
        <v>0</v>
      </c>
      <c r="N1510" s="33"/>
    </row>
    <row r="1511" spans="7:14" ht="16.5" customHeight="1">
      <c r="G1511" s="30">
        <f t="shared" si="143"/>
        <v>0</v>
      </c>
      <c r="H1511" s="31">
        <f t="shared" si="144"/>
        <v>0</v>
      </c>
      <c r="I1511" s="31">
        <f t="shared" si="145"/>
        <v>0</v>
      </c>
      <c r="J1511" s="31">
        <f t="shared" si="146"/>
        <v>0</v>
      </c>
      <c r="M1511" s="33">
        <f t="shared" si="142"/>
        <v>0</v>
      </c>
      <c r="N1511" s="33"/>
    </row>
    <row r="1512" spans="7:14" ht="16.5" customHeight="1">
      <c r="G1512" s="30">
        <f t="shared" si="143"/>
        <v>0</v>
      </c>
      <c r="H1512" s="31">
        <f t="shared" si="144"/>
        <v>0</v>
      </c>
      <c r="I1512" s="31">
        <f t="shared" si="145"/>
        <v>0</v>
      </c>
      <c r="J1512" s="31">
        <f t="shared" si="146"/>
        <v>0</v>
      </c>
      <c r="M1512" s="33">
        <f t="shared" si="142"/>
        <v>0</v>
      </c>
      <c r="N1512" s="33"/>
    </row>
    <row r="1513" spans="7:14" ht="16.5" customHeight="1">
      <c r="G1513" s="30">
        <f t="shared" si="143"/>
        <v>0</v>
      </c>
      <c r="H1513" s="31">
        <f t="shared" si="144"/>
        <v>0</v>
      </c>
      <c r="I1513" s="31">
        <f t="shared" si="145"/>
        <v>0</v>
      </c>
      <c r="J1513" s="31">
        <f t="shared" si="146"/>
        <v>0</v>
      </c>
      <c r="M1513" s="33">
        <f t="shared" si="142"/>
        <v>0</v>
      </c>
      <c r="N1513" s="33"/>
    </row>
    <row r="1514" spans="7:14" ht="16.5" customHeight="1">
      <c r="G1514" s="30">
        <f t="shared" si="143"/>
        <v>0</v>
      </c>
      <c r="H1514" s="31">
        <f t="shared" si="144"/>
        <v>0</v>
      </c>
      <c r="I1514" s="31">
        <f t="shared" si="145"/>
        <v>0</v>
      </c>
      <c r="J1514" s="31">
        <f t="shared" si="146"/>
        <v>0</v>
      </c>
      <c r="M1514" s="33">
        <f t="shared" si="142"/>
        <v>0</v>
      </c>
      <c r="N1514" s="33"/>
    </row>
    <row r="1515" spans="7:14" ht="16.5" customHeight="1">
      <c r="G1515" s="30">
        <f t="shared" si="143"/>
        <v>0</v>
      </c>
      <c r="H1515" s="31">
        <f t="shared" si="144"/>
        <v>0</v>
      </c>
      <c r="I1515" s="31">
        <f t="shared" si="145"/>
        <v>0</v>
      </c>
      <c r="J1515" s="31">
        <f t="shared" si="146"/>
        <v>0</v>
      </c>
      <c r="M1515" s="33">
        <f t="shared" si="142"/>
        <v>0</v>
      </c>
      <c r="N1515" s="33"/>
    </row>
    <row r="1516" spans="7:14" ht="16.5" customHeight="1">
      <c r="G1516" s="30">
        <f t="shared" si="143"/>
        <v>0</v>
      </c>
      <c r="H1516" s="31">
        <f t="shared" si="144"/>
        <v>0</v>
      </c>
      <c r="I1516" s="31">
        <f t="shared" si="145"/>
        <v>0</v>
      </c>
      <c r="J1516" s="31">
        <f t="shared" si="146"/>
        <v>0</v>
      </c>
      <c r="M1516" s="33">
        <f t="shared" si="142"/>
        <v>0</v>
      </c>
      <c r="N1516" s="33"/>
    </row>
    <row r="1517" spans="7:14" ht="16.5" customHeight="1">
      <c r="G1517" s="30">
        <f t="shared" si="143"/>
        <v>0</v>
      </c>
      <c r="H1517" s="31">
        <f t="shared" si="144"/>
        <v>0</v>
      </c>
      <c r="I1517" s="31">
        <f t="shared" si="145"/>
        <v>0</v>
      </c>
      <c r="J1517" s="31">
        <f t="shared" si="146"/>
        <v>0</v>
      </c>
      <c r="M1517" s="33">
        <f t="shared" si="142"/>
        <v>0</v>
      </c>
      <c r="N1517" s="33"/>
    </row>
    <row r="1518" spans="7:14" ht="16.5" customHeight="1">
      <c r="G1518" s="30">
        <f t="shared" si="143"/>
        <v>0</v>
      </c>
      <c r="H1518" s="31">
        <f t="shared" si="144"/>
        <v>0</v>
      </c>
      <c r="I1518" s="31">
        <f t="shared" si="145"/>
        <v>0</v>
      </c>
      <c r="J1518" s="31">
        <f t="shared" si="146"/>
        <v>0</v>
      </c>
      <c r="M1518" s="33">
        <f t="shared" si="142"/>
        <v>0</v>
      </c>
      <c r="N1518" s="33"/>
    </row>
    <row r="1519" spans="7:14" ht="16.5" customHeight="1">
      <c r="G1519" s="30">
        <f t="shared" si="143"/>
        <v>0</v>
      </c>
      <c r="H1519" s="31">
        <f t="shared" si="144"/>
        <v>0</v>
      </c>
      <c r="I1519" s="31">
        <f t="shared" si="145"/>
        <v>0</v>
      </c>
      <c r="J1519" s="31">
        <f t="shared" si="146"/>
        <v>0</v>
      </c>
      <c r="M1519" s="33">
        <f t="shared" si="142"/>
        <v>0</v>
      </c>
      <c r="N1519" s="33"/>
    </row>
    <row r="1520" spans="7:14" ht="16.5" customHeight="1">
      <c r="G1520" s="30">
        <f t="shared" si="143"/>
        <v>0</v>
      </c>
      <c r="H1520" s="31">
        <f t="shared" si="144"/>
        <v>0</v>
      </c>
      <c r="I1520" s="31">
        <f t="shared" si="145"/>
        <v>0</v>
      </c>
      <c r="J1520" s="31">
        <f t="shared" si="146"/>
        <v>0</v>
      </c>
      <c r="M1520" s="33">
        <f t="shared" si="142"/>
        <v>0</v>
      </c>
      <c r="N1520" s="33"/>
    </row>
    <row r="1521" spans="7:14" ht="16.5" customHeight="1">
      <c r="G1521" s="30">
        <f t="shared" si="143"/>
        <v>0</v>
      </c>
      <c r="H1521" s="31">
        <f t="shared" si="144"/>
        <v>0</v>
      </c>
      <c r="I1521" s="31">
        <f t="shared" si="145"/>
        <v>0</v>
      </c>
      <c r="J1521" s="31">
        <f t="shared" si="146"/>
        <v>0</v>
      </c>
      <c r="M1521" s="33">
        <f t="shared" si="142"/>
        <v>0</v>
      </c>
      <c r="N1521" s="33"/>
    </row>
    <row r="1522" spans="7:14" ht="16.5" customHeight="1">
      <c r="G1522" s="30">
        <f t="shared" si="143"/>
        <v>0</v>
      </c>
      <c r="H1522" s="31">
        <f t="shared" si="144"/>
        <v>0</v>
      </c>
      <c r="I1522" s="31">
        <f t="shared" si="145"/>
        <v>0</v>
      </c>
      <c r="J1522" s="31">
        <f t="shared" si="146"/>
        <v>0</v>
      </c>
      <c r="M1522" s="33">
        <f t="shared" si="142"/>
        <v>0</v>
      </c>
      <c r="N1522" s="33"/>
    </row>
    <row r="1523" spans="7:14" ht="16.5" customHeight="1">
      <c r="G1523" s="30">
        <f t="shared" si="143"/>
        <v>0</v>
      </c>
      <c r="H1523" s="31">
        <f t="shared" si="144"/>
        <v>0</v>
      </c>
      <c r="I1523" s="31">
        <f t="shared" si="145"/>
        <v>0</v>
      </c>
      <c r="J1523" s="31">
        <f t="shared" si="146"/>
        <v>0</v>
      </c>
      <c r="M1523" s="33">
        <f t="shared" si="142"/>
        <v>0</v>
      </c>
      <c r="N1523" s="33"/>
    </row>
    <row r="1524" spans="7:14" ht="16.5" customHeight="1">
      <c r="G1524" s="30">
        <f t="shared" si="143"/>
        <v>0</v>
      </c>
      <c r="H1524" s="31">
        <f t="shared" si="144"/>
        <v>0</v>
      </c>
      <c r="I1524" s="31">
        <f t="shared" si="145"/>
        <v>0</v>
      </c>
      <c r="J1524" s="31">
        <f t="shared" si="146"/>
        <v>0</v>
      </c>
      <c r="M1524" s="33">
        <f t="shared" si="142"/>
        <v>0</v>
      </c>
      <c r="N1524" s="33"/>
    </row>
    <row r="1525" spans="7:14" ht="16.5" customHeight="1">
      <c r="G1525" s="30">
        <f t="shared" si="143"/>
        <v>0</v>
      </c>
      <c r="H1525" s="31">
        <f t="shared" si="144"/>
        <v>0</v>
      </c>
      <c r="I1525" s="31">
        <f t="shared" si="145"/>
        <v>0</v>
      </c>
      <c r="J1525" s="31">
        <f t="shared" si="146"/>
        <v>0</v>
      </c>
      <c r="M1525" s="33">
        <f t="shared" si="142"/>
        <v>0</v>
      </c>
      <c r="N1525" s="33"/>
    </row>
    <row r="1526" spans="7:14" ht="16.5" customHeight="1">
      <c r="G1526" s="30">
        <f t="shared" si="143"/>
        <v>0</v>
      </c>
      <c r="H1526" s="31">
        <f t="shared" si="144"/>
        <v>0</v>
      </c>
      <c r="I1526" s="31">
        <f t="shared" si="145"/>
        <v>0</v>
      </c>
      <c r="J1526" s="31">
        <f t="shared" si="146"/>
        <v>0</v>
      </c>
      <c r="M1526" s="33">
        <f t="shared" si="142"/>
        <v>0</v>
      </c>
      <c r="N1526" s="33"/>
    </row>
    <row r="1527" spans="7:14" ht="16.5" customHeight="1">
      <c r="G1527" s="30">
        <f t="shared" si="143"/>
        <v>0</v>
      </c>
      <c r="H1527" s="31">
        <f t="shared" si="144"/>
        <v>0</v>
      </c>
      <c r="I1527" s="31">
        <f t="shared" si="145"/>
        <v>0</v>
      </c>
      <c r="J1527" s="31">
        <f t="shared" si="146"/>
        <v>0</v>
      </c>
      <c r="M1527" s="33">
        <f t="shared" si="142"/>
        <v>0</v>
      </c>
      <c r="N1527" s="33"/>
    </row>
    <row r="1528" spans="7:14" ht="16.5" customHeight="1">
      <c r="G1528" s="30">
        <f t="shared" si="143"/>
        <v>0</v>
      </c>
      <c r="H1528" s="31">
        <f t="shared" si="144"/>
        <v>0</v>
      </c>
      <c r="I1528" s="31">
        <f t="shared" si="145"/>
        <v>0</v>
      </c>
      <c r="J1528" s="31">
        <f t="shared" si="146"/>
        <v>0</v>
      </c>
      <c r="M1528" s="33">
        <f t="shared" si="142"/>
        <v>0</v>
      </c>
      <c r="N1528" s="33"/>
    </row>
    <row r="1529" spans="7:14" ht="16.5" customHeight="1">
      <c r="G1529" s="30">
        <f t="shared" si="143"/>
        <v>0</v>
      </c>
      <c r="H1529" s="31">
        <f t="shared" si="144"/>
        <v>0</v>
      </c>
      <c r="I1529" s="31">
        <f t="shared" si="145"/>
        <v>0</v>
      </c>
      <c r="J1529" s="31">
        <f t="shared" si="146"/>
        <v>0</v>
      </c>
      <c r="M1529" s="33">
        <f t="shared" si="142"/>
        <v>0</v>
      </c>
      <c r="N1529" s="33"/>
    </row>
    <row r="1530" spans="7:14" ht="16.5" customHeight="1">
      <c r="G1530" s="30">
        <f t="shared" si="143"/>
        <v>0</v>
      </c>
      <c r="H1530" s="31">
        <f t="shared" si="144"/>
        <v>0</v>
      </c>
      <c r="I1530" s="31">
        <f t="shared" si="145"/>
        <v>0</v>
      </c>
      <c r="J1530" s="31">
        <f t="shared" si="146"/>
        <v>0</v>
      </c>
      <c r="M1530" s="33">
        <f t="shared" si="142"/>
        <v>0</v>
      </c>
      <c r="N1530" s="33"/>
    </row>
    <row r="1531" spans="7:14" ht="16.5" customHeight="1">
      <c r="G1531" s="30">
        <f t="shared" si="143"/>
        <v>0</v>
      </c>
      <c r="H1531" s="31">
        <f t="shared" si="144"/>
        <v>0</v>
      </c>
      <c r="I1531" s="31">
        <f t="shared" si="145"/>
        <v>0</v>
      </c>
      <c r="J1531" s="31">
        <f t="shared" si="146"/>
        <v>0</v>
      </c>
      <c r="M1531" s="33">
        <f t="shared" si="142"/>
        <v>0</v>
      </c>
      <c r="N1531" s="33"/>
    </row>
    <row r="1532" spans="7:14" ht="16.5" customHeight="1">
      <c r="G1532" s="30">
        <f t="shared" si="143"/>
        <v>0</v>
      </c>
      <c r="H1532" s="31">
        <f t="shared" si="144"/>
        <v>0</v>
      </c>
      <c r="I1532" s="31">
        <f t="shared" si="145"/>
        <v>0</v>
      </c>
      <c r="J1532" s="31">
        <f t="shared" si="146"/>
        <v>0</v>
      </c>
      <c r="M1532" s="33">
        <f t="shared" si="142"/>
        <v>0</v>
      </c>
      <c r="N1532" s="33"/>
    </row>
    <row r="1533" spans="7:14" ht="16.5" customHeight="1">
      <c r="G1533" s="30">
        <f t="shared" si="143"/>
        <v>0</v>
      </c>
      <c r="H1533" s="31">
        <f t="shared" si="144"/>
        <v>0</v>
      </c>
      <c r="I1533" s="31">
        <f t="shared" si="145"/>
        <v>0</v>
      </c>
      <c r="J1533" s="31">
        <f t="shared" si="146"/>
        <v>0</v>
      </c>
      <c r="M1533" s="33">
        <f t="shared" si="142"/>
        <v>0</v>
      </c>
      <c r="N1533" s="33"/>
    </row>
    <row r="1534" spans="7:14" ht="16.5" customHeight="1">
      <c r="G1534" s="30">
        <f t="shared" si="143"/>
        <v>0</v>
      </c>
      <c r="H1534" s="31">
        <f t="shared" si="144"/>
        <v>0</v>
      </c>
      <c r="I1534" s="31">
        <f t="shared" si="145"/>
        <v>0</v>
      </c>
      <c r="J1534" s="31">
        <f t="shared" si="146"/>
        <v>0</v>
      </c>
      <c r="M1534" s="33">
        <f t="shared" ref="M1534:M1597" si="147">IF(P1534="TL tuyệt đối",0, IF(K1534&lt;5,0,IF(K1534&lt;50,K1534*9%,IF(K1534&lt;100,4.5,IF(K1534&lt;200,4.5%*K1534,IF(K1534&lt;300,9,IF(K1534&lt;500,K1534*3%,IF(K1534&lt;1000,15,))))))))</f>
        <v>0</v>
      </c>
      <c r="N1534" s="33"/>
    </row>
    <row r="1535" spans="7:14" ht="16.5" customHeight="1">
      <c r="G1535" s="30">
        <f t="shared" si="143"/>
        <v>0</v>
      </c>
      <c r="H1535" s="31">
        <f t="shared" si="144"/>
        <v>0</v>
      </c>
      <c r="I1535" s="31">
        <f t="shared" si="145"/>
        <v>0</v>
      </c>
      <c r="J1535" s="31">
        <f t="shared" si="146"/>
        <v>0</v>
      </c>
      <c r="M1535" s="33">
        <f t="shared" si="147"/>
        <v>0</v>
      </c>
      <c r="N1535" s="33"/>
    </row>
    <row r="1536" spans="7:14" ht="16.5" customHeight="1">
      <c r="G1536" s="30">
        <f t="shared" ref="G1536:G1599" si="148">IF(P1536="TL tuyệt đối",K1536*103%,K1536+1/3*M1536)</f>
        <v>0</v>
      </c>
      <c r="H1536" s="31">
        <f t="shared" ref="H1536:H1599" si="149">IF(P1536="TL tuyệt đối",K1536*101%,K1536-1/3*M1536)</f>
        <v>0</v>
      </c>
      <c r="I1536" s="31">
        <f t="shared" ref="I1536:I1599" si="150">IF(P1536="TL tuyệt đối", K1536*105%,K1536+M1536)</f>
        <v>0</v>
      </c>
      <c r="J1536" s="31">
        <f t="shared" si="146"/>
        <v>0</v>
      </c>
      <c r="M1536" s="33">
        <f t="shared" si="147"/>
        <v>0</v>
      </c>
      <c r="N1536" s="33"/>
    </row>
    <row r="1537" spans="7:14" ht="16.5" customHeight="1">
      <c r="G1537" s="30">
        <f t="shared" si="148"/>
        <v>0</v>
      </c>
      <c r="H1537" s="31">
        <f t="shared" si="149"/>
        <v>0</v>
      </c>
      <c r="I1537" s="31">
        <f t="shared" si="150"/>
        <v>0</v>
      </c>
      <c r="J1537" s="31">
        <f t="shared" si="146"/>
        <v>0</v>
      </c>
      <c r="M1537" s="33">
        <f t="shared" si="147"/>
        <v>0</v>
      </c>
      <c r="N1537" s="33"/>
    </row>
    <row r="1538" spans="7:14" ht="16.5" customHeight="1">
      <c r="G1538" s="30">
        <f t="shared" si="148"/>
        <v>0</v>
      </c>
      <c r="H1538" s="31">
        <f t="shared" si="149"/>
        <v>0</v>
      </c>
      <c r="I1538" s="31">
        <f t="shared" si="150"/>
        <v>0</v>
      </c>
      <c r="J1538" s="31">
        <f t="shared" si="146"/>
        <v>0</v>
      </c>
      <c r="M1538" s="33">
        <f t="shared" si="147"/>
        <v>0</v>
      </c>
      <c r="N1538" s="33"/>
    </row>
    <row r="1539" spans="7:14" ht="16.5" customHeight="1">
      <c r="G1539" s="30">
        <f t="shared" si="148"/>
        <v>0</v>
      </c>
      <c r="H1539" s="31">
        <f t="shared" si="149"/>
        <v>0</v>
      </c>
      <c r="I1539" s="31">
        <f t="shared" si="150"/>
        <v>0</v>
      </c>
      <c r="J1539" s="31">
        <f t="shared" si="146"/>
        <v>0</v>
      </c>
      <c r="M1539" s="33">
        <f t="shared" si="147"/>
        <v>0</v>
      </c>
      <c r="N1539" s="33"/>
    </row>
    <row r="1540" spans="7:14" ht="16.5" customHeight="1">
      <c r="G1540" s="30">
        <f t="shared" si="148"/>
        <v>0</v>
      </c>
      <c r="H1540" s="31">
        <f t="shared" si="149"/>
        <v>0</v>
      </c>
      <c r="I1540" s="31">
        <f t="shared" si="150"/>
        <v>0</v>
      </c>
      <c r="J1540" s="31">
        <f t="shared" ref="J1540:J1603" si="151">K1540-M1540</f>
        <v>0</v>
      </c>
      <c r="M1540" s="33">
        <f t="shared" si="147"/>
        <v>0</v>
      </c>
      <c r="N1540" s="33"/>
    </row>
    <row r="1541" spans="7:14" ht="16.5" customHeight="1">
      <c r="G1541" s="30">
        <f t="shared" si="148"/>
        <v>0</v>
      </c>
      <c r="H1541" s="31">
        <f t="shared" si="149"/>
        <v>0</v>
      </c>
      <c r="I1541" s="31">
        <f t="shared" si="150"/>
        <v>0</v>
      </c>
      <c r="J1541" s="31">
        <f t="shared" si="151"/>
        <v>0</v>
      </c>
      <c r="M1541" s="33">
        <f t="shared" si="147"/>
        <v>0</v>
      </c>
      <c r="N1541" s="33"/>
    </row>
    <row r="1542" spans="7:14" ht="16.5" customHeight="1">
      <c r="G1542" s="30">
        <f t="shared" si="148"/>
        <v>0</v>
      </c>
      <c r="H1542" s="31">
        <f t="shared" si="149"/>
        <v>0</v>
      </c>
      <c r="I1542" s="31">
        <f t="shared" si="150"/>
        <v>0</v>
      </c>
      <c r="J1542" s="31">
        <f t="shared" si="151"/>
        <v>0</v>
      </c>
      <c r="M1542" s="33">
        <f t="shared" si="147"/>
        <v>0</v>
      </c>
      <c r="N1542" s="33"/>
    </row>
    <row r="1543" spans="7:14" ht="16.5" customHeight="1">
      <c r="G1543" s="30">
        <f t="shared" si="148"/>
        <v>0</v>
      </c>
      <c r="H1543" s="31">
        <f t="shared" si="149"/>
        <v>0</v>
      </c>
      <c r="I1543" s="31">
        <f t="shared" si="150"/>
        <v>0</v>
      </c>
      <c r="J1543" s="31">
        <f t="shared" si="151"/>
        <v>0</v>
      </c>
      <c r="M1543" s="33">
        <f t="shared" si="147"/>
        <v>0</v>
      </c>
      <c r="N1543" s="33"/>
    </row>
    <row r="1544" spans="7:14" ht="16.5" customHeight="1">
      <c r="G1544" s="30">
        <f t="shared" si="148"/>
        <v>0</v>
      </c>
      <c r="H1544" s="31">
        <f t="shared" si="149"/>
        <v>0</v>
      </c>
      <c r="I1544" s="31">
        <f t="shared" si="150"/>
        <v>0</v>
      </c>
      <c r="J1544" s="31">
        <f t="shared" si="151"/>
        <v>0</v>
      </c>
      <c r="M1544" s="33">
        <f t="shared" si="147"/>
        <v>0</v>
      </c>
      <c r="N1544" s="33"/>
    </row>
    <row r="1545" spans="7:14" ht="16.5" customHeight="1">
      <c r="G1545" s="30">
        <f t="shared" si="148"/>
        <v>0</v>
      </c>
      <c r="H1545" s="31">
        <f t="shared" si="149"/>
        <v>0</v>
      </c>
      <c r="I1545" s="31">
        <f t="shared" si="150"/>
        <v>0</v>
      </c>
      <c r="J1545" s="31">
        <f t="shared" si="151"/>
        <v>0</v>
      </c>
      <c r="M1545" s="33">
        <f t="shared" si="147"/>
        <v>0</v>
      </c>
      <c r="N1545" s="33"/>
    </row>
    <row r="1546" spans="7:14" ht="16.5" customHeight="1">
      <c r="G1546" s="30">
        <f t="shared" si="148"/>
        <v>0</v>
      </c>
      <c r="H1546" s="31">
        <f t="shared" si="149"/>
        <v>0</v>
      </c>
      <c r="I1546" s="31">
        <f t="shared" si="150"/>
        <v>0</v>
      </c>
      <c r="J1546" s="31">
        <f t="shared" si="151"/>
        <v>0</v>
      </c>
      <c r="M1546" s="33">
        <f t="shared" si="147"/>
        <v>0</v>
      </c>
      <c r="N1546" s="33"/>
    </row>
    <row r="1547" spans="7:14" ht="16.5" customHeight="1">
      <c r="G1547" s="30">
        <f t="shared" si="148"/>
        <v>0</v>
      </c>
      <c r="H1547" s="31">
        <f t="shared" si="149"/>
        <v>0</v>
      </c>
      <c r="I1547" s="31">
        <f t="shared" si="150"/>
        <v>0</v>
      </c>
      <c r="J1547" s="31">
        <f t="shared" si="151"/>
        <v>0</v>
      </c>
      <c r="M1547" s="33">
        <f t="shared" si="147"/>
        <v>0</v>
      </c>
      <c r="N1547" s="33"/>
    </row>
    <row r="1548" spans="7:14" ht="16.5" customHeight="1">
      <c r="G1548" s="30">
        <f t="shared" si="148"/>
        <v>0</v>
      </c>
      <c r="H1548" s="31">
        <f t="shared" si="149"/>
        <v>0</v>
      </c>
      <c r="I1548" s="31">
        <f t="shared" si="150"/>
        <v>0</v>
      </c>
      <c r="J1548" s="31">
        <f t="shared" si="151"/>
        <v>0</v>
      </c>
      <c r="M1548" s="33">
        <f t="shared" si="147"/>
        <v>0</v>
      </c>
      <c r="N1548" s="33"/>
    </row>
    <row r="1549" spans="7:14" ht="16.5" customHeight="1">
      <c r="G1549" s="30">
        <f t="shared" si="148"/>
        <v>0</v>
      </c>
      <c r="H1549" s="31">
        <f t="shared" si="149"/>
        <v>0</v>
      </c>
      <c r="I1549" s="31">
        <f t="shared" si="150"/>
        <v>0</v>
      </c>
      <c r="J1549" s="31">
        <f t="shared" si="151"/>
        <v>0</v>
      </c>
      <c r="M1549" s="33">
        <f t="shared" si="147"/>
        <v>0</v>
      </c>
      <c r="N1549" s="33"/>
    </row>
    <row r="1550" spans="7:14" ht="16.5" customHeight="1">
      <c r="G1550" s="30">
        <f t="shared" si="148"/>
        <v>0</v>
      </c>
      <c r="H1550" s="31">
        <f t="shared" si="149"/>
        <v>0</v>
      </c>
      <c r="I1550" s="31">
        <f t="shared" si="150"/>
        <v>0</v>
      </c>
      <c r="J1550" s="31">
        <f t="shared" si="151"/>
        <v>0</v>
      </c>
      <c r="M1550" s="33">
        <f t="shared" si="147"/>
        <v>0</v>
      </c>
      <c r="N1550" s="33"/>
    </row>
    <row r="1551" spans="7:14" ht="16.5" customHeight="1">
      <c r="G1551" s="30">
        <f t="shared" si="148"/>
        <v>0</v>
      </c>
      <c r="H1551" s="31">
        <f t="shared" si="149"/>
        <v>0</v>
      </c>
      <c r="I1551" s="31">
        <f t="shared" si="150"/>
        <v>0</v>
      </c>
      <c r="J1551" s="31">
        <f t="shared" si="151"/>
        <v>0</v>
      </c>
      <c r="M1551" s="33">
        <f t="shared" si="147"/>
        <v>0</v>
      </c>
      <c r="N1551" s="33"/>
    </row>
    <row r="1552" spans="7:14" ht="16.5" customHeight="1">
      <c r="G1552" s="30">
        <f t="shared" si="148"/>
        <v>0</v>
      </c>
      <c r="H1552" s="31">
        <f t="shared" si="149"/>
        <v>0</v>
      </c>
      <c r="I1552" s="31">
        <f t="shared" si="150"/>
        <v>0</v>
      </c>
      <c r="J1552" s="31">
        <f t="shared" si="151"/>
        <v>0</v>
      </c>
      <c r="M1552" s="33">
        <f t="shared" si="147"/>
        <v>0</v>
      </c>
      <c r="N1552" s="33"/>
    </row>
    <row r="1553" spans="7:14" ht="16.5" customHeight="1">
      <c r="G1553" s="30">
        <f t="shared" si="148"/>
        <v>0</v>
      </c>
      <c r="H1553" s="31">
        <f t="shared" si="149"/>
        <v>0</v>
      </c>
      <c r="I1553" s="31">
        <f t="shared" si="150"/>
        <v>0</v>
      </c>
      <c r="J1553" s="31">
        <f t="shared" si="151"/>
        <v>0</v>
      </c>
      <c r="M1553" s="33">
        <f t="shared" si="147"/>
        <v>0</v>
      </c>
      <c r="N1553" s="33"/>
    </row>
    <row r="1554" spans="7:14" ht="16.5" customHeight="1">
      <c r="G1554" s="30">
        <f t="shared" si="148"/>
        <v>0</v>
      </c>
      <c r="H1554" s="31">
        <f t="shared" si="149"/>
        <v>0</v>
      </c>
      <c r="I1554" s="31">
        <f t="shared" si="150"/>
        <v>0</v>
      </c>
      <c r="J1554" s="31">
        <f t="shared" si="151"/>
        <v>0</v>
      </c>
      <c r="M1554" s="33">
        <f t="shared" si="147"/>
        <v>0</v>
      </c>
      <c r="N1554" s="33"/>
    </row>
    <row r="1555" spans="7:14" ht="16.5" customHeight="1">
      <c r="G1555" s="30">
        <f t="shared" si="148"/>
        <v>0</v>
      </c>
      <c r="H1555" s="31">
        <f t="shared" si="149"/>
        <v>0</v>
      </c>
      <c r="I1555" s="31">
        <f t="shared" si="150"/>
        <v>0</v>
      </c>
      <c r="J1555" s="31">
        <f t="shared" si="151"/>
        <v>0</v>
      </c>
      <c r="M1555" s="33">
        <f t="shared" si="147"/>
        <v>0</v>
      </c>
      <c r="N1555" s="33"/>
    </row>
    <row r="1556" spans="7:14" ht="16.5" customHeight="1">
      <c r="G1556" s="30">
        <f t="shared" si="148"/>
        <v>0</v>
      </c>
      <c r="H1556" s="31">
        <f t="shared" si="149"/>
        <v>0</v>
      </c>
      <c r="I1556" s="31">
        <f t="shared" si="150"/>
        <v>0</v>
      </c>
      <c r="J1556" s="31">
        <f t="shared" si="151"/>
        <v>0</v>
      </c>
      <c r="M1556" s="33">
        <f t="shared" si="147"/>
        <v>0</v>
      </c>
      <c r="N1556" s="33"/>
    </row>
    <row r="1557" spans="7:14" ht="16.5" customHeight="1">
      <c r="G1557" s="30">
        <f t="shared" si="148"/>
        <v>0</v>
      </c>
      <c r="H1557" s="31">
        <f t="shared" si="149"/>
        <v>0</v>
      </c>
      <c r="I1557" s="31">
        <f t="shared" si="150"/>
        <v>0</v>
      </c>
      <c r="J1557" s="31">
        <f t="shared" si="151"/>
        <v>0</v>
      </c>
      <c r="M1557" s="33">
        <f t="shared" si="147"/>
        <v>0</v>
      </c>
      <c r="N1557" s="33"/>
    </row>
    <row r="1558" spans="7:14" ht="16.5" customHeight="1">
      <c r="G1558" s="30">
        <f t="shared" si="148"/>
        <v>0</v>
      </c>
      <c r="H1558" s="31">
        <f t="shared" si="149"/>
        <v>0</v>
      </c>
      <c r="I1558" s="31">
        <f t="shared" si="150"/>
        <v>0</v>
      </c>
      <c r="J1558" s="31">
        <f t="shared" si="151"/>
        <v>0</v>
      </c>
      <c r="M1558" s="33">
        <f t="shared" si="147"/>
        <v>0</v>
      </c>
      <c r="N1558" s="33"/>
    </row>
    <row r="1559" spans="7:14" ht="16.5" customHeight="1">
      <c r="G1559" s="30">
        <f t="shared" si="148"/>
        <v>0</v>
      </c>
      <c r="H1559" s="31">
        <f t="shared" si="149"/>
        <v>0</v>
      </c>
      <c r="I1559" s="31">
        <f t="shared" si="150"/>
        <v>0</v>
      </c>
      <c r="J1559" s="31">
        <f t="shared" si="151"/>
        <v>0</v>
      </c>
      <c r="M1559" s="33">
        <f t="shared" si="147"/>
        <v>0</v>
      </c>
      <c r="N1559" s="33"/>
    </row>
    <row r="1560" spans="7:14" ht="16.5" customHeight="1">
      <c r="G1560" s="30">
        <f t="shared" si="148"/>
        <v>0</v>
      </c>
      <c r="H1560" s="31">
        <f t="shared" si="149"/>
        <v>0</v>
      </c>
      <c r="I1560" s="31">
        <f t="shared" si="150"/>
        <v>0</v>
      </c>
      <c r="J1560" s="31">
        <f t="shared" si="151"/>
        <v>0</v>
      </c>
      <c r="M1560" s="33">
        <f t="shared" si="147"/>
        <v>0</v>
      </c>
      <c r="N1560" s="33"/>
    </row>
    <row r="1561" spans="7:14" ht="16.5" customHeight="1">
      <c r="G1561" s="30">
        <f t="shared" si="148"/>
        <v>0</v>
      </c>
      <c r="H1561" s="31">
        <f t="shared" si="149"/>
        <v>0</v>
      </c>
      <c r="I1561" s="31">
        <f t="shared" si="150"/>
        <v>0</v>
      </c>
      <c r="J1561" s="31">
        <f t="shared" si="151"/>
        <v>0</v>
      </c>
      <c r="M1561" s="33">
        <f t="shared" si="147"/>
        <v>0</v>
      </c>
      <c r="N1561" s="33"/>
    </row>
    <row r="1562" spans="7:14" ht="16.5" customHeight="1">
      <c r="G1562" s="30">
        <f t="shared" si="148"/>
        <v>0</v>
      </c>
      <c r="H1562" s="31">
        <f t="shared" si="149"/>
        <v>0</v>
      </c>
      <c r="I1562" s="31">
        <f t="shared" si="150"/>
        <v>0</v>
      </c>
      <c r="J1562" s="31">
        <f t="shared" si="151"/>
        <v>0</v>
      </c>
      <c r="M1562" s="33">
        <f t="shared" si="147"/>
        <v>0</v>
      </c>
      <c r="N1562" s="33"/>
    </row>
    <row r="1563" spans="7:14" ht="16.5" customHeight="1">
      <c r="G1563" s="30">
        <f t="shared" si="148"/>
        <v>0</v>
      </c>
      <c r="H1563" s="31">
        <f t="shared" si="149"/>
        <v>0</v>
      </c>
      <c r="I1563" s="31">
        <f t="shared" si="150"/>
        <v>0</v>
      </c>
      <c r="J1563" s="31">
        <f t="shared" si="151"/>
        <v>0</v>
      </c>
      <c r="M1563" s="33">
        <f t="shared" si="147"/>
        <v>0</v>
      </c>
      <c r="N1563" s="33"/>
    </row>
    <row r="1564" spans="7:14" ht="16.5" customHeight="1">
      <c r="G1564" s="30">
        <f t="shared" si="148"/>
        <v>0</v>
      </c>
      <c r="H1564" s="31">
        <f t="shared" si="149"/>
        <v>0</v>
      </c>
      <c r="I1564" s="31">
        <f t="shared" si="150"/>
        <v>0</v>
      </c>
      <c r="J1564" s="31">
        <f t="shared" si="151"/>
        <v>0</v>
      </c>
      <c r="M1564" s="33">
        <f t="shared" si="147"/>
        <v>0</v>
      </c>
      <c r="N1564" s="33"/>
    </row>
    <row r="1565" spans="7:14" ht="16.5" customHeight="1">
      <c r="G1565" s="30">
        <f t="shared" si="148"/>
        <v>0</v>
      </c>
      <c r="H1565" s="31">
        <f t="shared" si="149"/>
        <v>0</v>
      </c>
      <c r="I1565" s="31">
        <f t="shared" si="150"/>
        <v>0</v>
      </c>
      <c r="J1565" s="31">
        <f t="shared" si="151"/>
        <v>0</v>
      </c>
      <c r="M1565" s="33">
        <f t="shared" si="147"/>
        <v>0</v>
      </c>
      <c r="N1565" s="33"/>
    </row>
    <row r="1566" spans="7:14" ht="16.5" customHeight="1">
      <c r="G1566" s="30">
        <f t="shared" si="148"/>
        <v>0</v>
      </c>
      <c r="H1566" s="31">
        <f t="shared" si="149"/>
        <v>0</v>
      </c>
      <c r="I1566" s="31">
        <f t="shared" si="150"/>
        <v>0</v>
      </c>
      <c r="J1566" s="31">
        <f t="shared" si="151"/>
        <v>0</v>
      </c>
      <c r="M1566" s="33">
        <f t="shared" si="147"/>
        <v>0</v>
      </c>
      <c r="N1566" s="33"/>
    </row>
    <row r="1567" spans="7:14" ht="16.5" customHeight="1">
      <c r="G1567" s="30">
        <f t="shared" si="148"/>
        <v>0</v>
      </c>
      <c r="H1567" s="31">
        <f t="shared" si="149"/>
        <v>0</v>
      </c>
      <c r="I1567" s="31">
        <f t="shared" si="150"/>
        <v>0</v>
      </c>
      <c r="J1567" s="31">
        <f t="shared" si="151"/>
        <v>0</v>
      </c>
      <c r="M1567" s="33">
        <f t="shared" si="147"/>
        <v>0</v>
      </c>
      <c r="N1567" s="33"/>
    </row>
    <row r="1568" spans="7:14" ht="16.5" customHeight="1">
      <c r="G1568" s="30">
        <f t="shared" si="148"/>
        <v>0</v>
      </c>
      <c r="H1568" s="31">
        <f t="shared" si="149"/>
        <v>0</v>
      </c>
      <c r="I1568" s="31">
        <f t="shared" si="150"/>
        <v>0</v>
      </c>
      <c r="J1568" s="31">
        <f t="shared" si="151"/>
        <v>0</v>
      </c>
      <c r="M1568" s="33">
        <f t="shared" si="147"/>
        <v>0</v>
      </c>
      <c r="N1568" s="33"/>
    </row>
    <row r="1569" spans="7:14" ht="16.5" customHeight="1">
      <c r="G1569" s="30">
        <f t="shared" si="148"/>
        <v>0</v>
      </c>
      <c r="H1569" s="31">
        <f t="shared" si="149"/>
        <v>0</v>
      </c>
      <c r="I1569" s="31">
        <f t="shared" si="150"/>
        <v>0</v>
      </c>
      <c r="J1569" s="31">
        <f t="shared" si="151"/>
        <v>0</v>
      </c>
      <c r="M1569" s="33">
        <f t="shared" si="147"/>
        <v>0</v>
      </c>
      <c r="N1569" s="33"/>
    </row>
    <row r="1570" spans="7:14" ht="16.5" customHeight="1">
      <c r="G1570" s="30">
        <f t="shared" si="148"/>
        <v>0</v>
      </c>
      <c r="H1570" s="31">
        <f t="shared" si="149"/>
        <v>0</v>
      </c>
      <c r="I1570" s="31">
        <f t="shared" si="150"/>
        <v>0</v>
      </c>
      <c r="J1570" s="31">
        <f t="shared" si="151"/>
        <v>0</v>
      </c>
      <c r="M1570" s="33">
        <f t="shared" si="147"/>
        <v>0</v>
      </c>
      <c r="N1570" s="33"/>
    </row>
    <row r="1571" spans="7:14" ht="16.5" customHeight="1">
      <c r="G1571" s="30">
        <f t="shared" si="148"/>
        <v>0</v>
      </c>
      <c r="H1571" s="31">
        <f t="shared" si="149"/>
        <v>0</v>
      </c>
      <c r="I1571" s="31">
        <f t="shared" si="150"/>
        <v>0</v>
      </c>
      <c r="J1571" s="31">
        <f t="shared" si="151"/>
        <v>0</v>
      </c>
      <c r="M1571" s="33">
        <f t="shared" si="147"/>
        <v>0</v>
      </c>
      <c r="N1571" s="33"/>
    </row>
    <row r="1572" spans="7:14" ht="16.5" customHeight="1">
      <c r="G1572" s="30">
        <f t="shared" si="148"/>
        <v>0</v>
      </c>
      <c r="H1572" s="31">
        <f t="shared" si="149"/>
        <v>0</v>
      </c>
      <c r="I1572" s="31">
        <f t="shared" si="150"/>
        <v>0</v>
      </c>
      <c r="J1572" s="31">
        <f t="shared" si="151"/>
        <v>0</v>
      </c>
      <c r="M1572" s="33">
        <f t="shared" si="147"/>
        <v>0</v>
      </c>
      <c r="N1572" s="33"/>
    </row>
    <row r="1573" spans="7:14" ht="16.5" customHeight="1">
      <c r="G1573" s="30">
        <f t="shared" si="148"/>
        <v>0</v>
      </c>
      <c r="H1573" s="31">
        <f t="shared" si="149"/>
        <v>0</v>
      </c>
      <c r="I1573" s="31">
        <f t="shared" si="150"/>
        <v>0</v>
      </c>
      <c r="J1573" s="31">
        <f t="shared" si="151"/>
        <v>0</v>
      </c>
      <c r="M1573" s="33">
        <f t="shared" si="147"/>
        <v>0</v>
      </c>
      <c r="N1573" s="33"/>
    </row>
    <row r="1574" spans="7:14" ht="16.5" customHeight="1">
      <c r="G1574" s="30">
        <f t="shared" si="148"/>
        <v>0</v>
      </c>
      <c r="H1574" s="31">
        <f t="shared" si="149"/>
        <v>0</v>
      </c>
      <c r="I1574" s="31">
        <f t="shared" si="150"/>
        <v>0</v>
      </c>
      <c r="J1574" s="31">
        <f t="shared" si="151"/>
        <v>0</v>
      </c>
      <c r="M1574" s="33">
        <f t="shared" si="147"/>
        <v>0</v>
      </c>
      <c r="N1574" s="33"/>
    </row>
    <row r="1575" spans="7:14" ht="16.5" customHeight="1">
      <c r="G1575" s="30">
        <f t="shared" si="148"/>
        <v>0</v>
      </c>
      <c r="H1575" s="31">
        <f t="shared" si="149"/>
        <v>0</v>
      </c>
      <c r="I1575" s="31">
        <f t="shared" si="150"/>
        <v>0</v>
      </c>
      <c r="J1575" s="31">
        <f t="shared" si="151"/>
        <v>0</v>
      </c>
      <c r="M1575" s="33">
        <f t="shared" si="147"/>
        <v>0</v>
      </c>
      <c r="N1575" s="33"/>
    </row>
    <row r="1576" spans="7:14" ht="16.5" customHeight="1">
      <c r="G1576" s="30">
        <f t="shared" si="148"/>
        <v>0</v>
      </c>
      <c r="H1576" s="31">
        <f t="shared" si="149"/>
        <v>0</v>
      </c>
      <c r="I1576" s="31">
        <f t="shared" si="150"/>
        <v>0</v>
      </c>
      <c r="J1576" s="31">
        <f t="shared" si="151"/>
        <v>0</v>
      </c>
      <c r="M1576" s="33">
        <f t="shared" si="147"/>
        <v>0</v>
      </c>
      <c r="N1576" s="33"/>
    </row>
    <row r="1577" spans="7:14" ht="16.5" customHeight="1">
      <c r="G1577" s="30">
        <f t="shared" si="148"/>
        <v>0</v>
      </c>
      <c r="H1577" s="31">
        <f t="shared" si="149"/>
        <v>0</v>
      </c>
      <c r="I1577" s="31">
        <f t="shared" si="150"/>
        <v>0</v>
      </c>
      <c r="J1577" s="31">
        <f t="shared" si="151"/>
        <v>0</v>
      </c>
      <c r="M1577" s="33">
        <f t="shared" si="147"/>
        <v>0</v>
      </c>
      <c r="N1577" s="33"/>
    </row>
    <row r="1578" spans="7:14" ht="16.5" customHeight="1">
      <c r="G1578" s="30">
        <f t="shared" si="148"/>
        <v>0</v>
      </c>
      <c r="H1578" s="31">
        <f t="shared" si="149"/>
        <v>0</v>
      </c>
      <c r="I1578" s="31">
        <f t="shared" si="150"/>
        <v>0</v>
      </c>
      <c r="J1578" s="31">
        <f t="shared" si="151"/>
        <v>0</v>
      </c>
      <c r="M1578" s="33">
        <f t="shared" si="147"/>
        <v>0</v>
      </c>
      <c r="N1578" s="33"/>
    </row>
    <row r="1579" spans="7:14" ht="16.5" customHeight="1">
      <c r="G1579" s="30">
        <f t="shared" si="148"/>
        <v>0</v>
      </c>
      <c r="H1579" s="31">
        <f t="shared" si="149"/>
        <v>0</v>
      </c>
      <c r="I1579" s="31">
        <f t="shared" si="150"/>
        <v>0</v>
      </c>
      <c r="J1579" s="31">
        <f t="shared" si="151"/>
        <v>0</v>
      </c>
      <c r="M1579" s="33">
        <f t="shared" si="147"/>
        <v>0</v>
      </c>
      <c r="N1579" s="33"/>
    </row>
    <row r="1580" spans="7:14" ht="16.5" customHeight="1">
      <c r="G1580" s="30">
        <f t="shared" si="148"/>
        <v>0</v>
      </c>
      <c r="H1580" s="31">
        <f t="shared" si="149"/>
        <v>0</v>
      </c>
      <c r="I1580" s="31">
        <f t="shared" si="150"/>
        <v>0</v>
      </c>
      <c r="J1580" s="31">
        <f t="shared" si="151"/>
        <v>0</v>
      </c>
      <c r="M1580" s="33">
        <f t="shared" si="147"/>
        <v>0</v>
      </c>
      <c r="N1580" s="33"/>
    </row>
    <row r="1581" spans="7:14" ht="16.5" customHeight="1">
      <c r="G1581" s="30">
        <f t="shared" si="148"/>
        <v>0</v>
      </c>
      <c r="H1581" s="31">
        <f t="shared" si="149"/>
        <v>0</v>
      </c>
      <c r="I1581" s="31">
        <f t="shared" si="150"/>
        <v>0</v>
      </c>
      <c r="J1581" s="31">
        <f t="shared" si="151"/>
        <v>0</v>
      </c>
      <c r="M1581" s="33">
        <f t="shared" si="147"/>
        <v>0</v>
      </c>
      <c r="N1581" s="33"/>
    </row>
    <row r="1582" spans="7:14" ht="16.5" customHeight="1">
      <c r="G1582" s="30">
        <f t="shared" si="148"/>
        <v>0</v>
      </c>
      <c r="H1582" s="31">
        <f t="shared" si="149"/>
        <v>0</v>
      </c>
      <c r="I1582" s="31">
        <f t="shared" si="150"/>
        <v>0</v>
      </c>
      <c r="J1582" s="31">
        <f t="shared" si="151"/>
        <v>0</v>
      </c>
      <c r="M1582" s="33">
        <f t="shared" si="147"/>
        <v>0</v>
      </c>
      <c r="N1582" s="33"/>
    </row>
    <row r="1583" spans="7:14" ht="16.5" customHeight="1">
      <c r="G1583" s="30">
        <f t="shared" si="148"/>
        <v>0</v>
      </c>
      <c r="H1583" s="31">
        <f t="shared" si="149"/>
        <v>0</v>
      </c>
      <c r="I1583" s="31">
        <f t="shared" si="150"/>
        <v>0</v>
      </c>
      <c r="J1583" s="31">
        <f t="shared" si="151"/>
        <v>0</v>
      </c>
      <c r="M1583" s="33">
        <f t="shared" si="147"/>
        <v>0</v>
      </c>
      <c r="N1583" s="33"/>
    </row>
    <row r="1584" spans="7:14" ht="16.5" customHeight="1">
      <c r="G1584" s="30">
        <f t="shared" si="148"/>
        <v>0</v>
      </c>
      <c r="H1584" s="31">
        <f t="shared" si="149"/>
        <v>0</v>
      </c>
      <c r="I1584" s="31">
        <f t="shared" si="150"/>
        <v>0</v>
      </c>
      <c r="J1584" s="31">
        <f t="shared" si="151"/>
        <v>0</v>
      </c>
      <c r="M1584" s="33">
        <f t="shared" si="147"/>
        <v>0</v>
      </c>
      <c r="N1584" s="33"/>
    </row>
    <row r="1585" spans="7:14" ht="16.5" customHeight="1">
      <c r="G1585" s="30">
        <f t="shared" si="148"/>
        <v>0</v>
      </c>
      <c r="H1585" s="31">
        <f t="shared" si="149"/>
        <v>0</v>
      </c>
      <c r="I1585" s="31">
        <f t="shared" si="150"/>
        <v>0</v>
      </c>
      <c r="J1585" s="31">
        <f t="shared" si="151"/>
        <v>0</v>
      </c>
      <c r="M1585" s="33">
        <f t="shared" si="147"/>
        <v>0</v>
      </c>
      <c r="N1585" s="33"/>
    </row>
    <row r="1586" spans="7:14" ht="16.5" customHeight="1">
      <c r="G1586" s="30">
        <f t="shared" si="148"/>
        <v>0</v>
      </c>
      <c r="H1586" s="31">
        <f t="shared" si="149"/>
        <v>0</v>
      </c>
      <c r="I1586" s="31">
        <f t="shared" si="150"/>
        <v>0</v>
      </c>
      <c r="J1586" s="31">
        <f t="shared" si="151"/>
        <v>0</v>
      </c>
      <c r="M1586" s="33">
        <f t="shared" si="147"/>
        <v>0</v>
      </c>
      <c r="N1586" s="33"/>
    </row>
    <row r="1587" spans="7:14" ht="16.5" customHeight="1">
      <c r="G1587" s="30">
        <f t="shared" si="148"/>
        <v>0</v>
      </c>
      <c r="H1587" s="31">
        <f t="shared" si="149"/>
        <v>0</v>
      </c>
      <c r="I1587" s="31">
        <f t="shared" si="150"/>
        <v>0</v>
      </c>
      <c r="J1587" s="31">
        <f t="shared" si="151"/>
        <v>0</v>
      </c>
      <c r="M1587" s="33">
        <f t="shared" si="147"/>
        <v>0</v>
      </c>
      <c r="N1587" s="33"/>
    </row>
    <row r="1588" spans="7:14" ht="16.5" customHeight="1">
      <c r="G1588" s="30">
        <f t="shared" si="148"/>
        <v>0</v>
      </c>
      <c r="H1588" s="31">
        <f t="shared" si="149"/>
        <v>0</v>
      </c>
      <c r="I1588" s="31">
        <f t="shared" si="150"/>
        <v>0</v>
      </c>
      <c r="J1588" s="31">
        <f t="shared" si="151"/>
        <v>0</v>
      </c>
      <c r="M1588" s="33">
        <f t="shared" si="147"/>
        <v>0</v>
      </c>
      <c r="N1588" s="33"/>
    </row>
    <row r="1589" spans="7:14" ht="16.5" customHeight="1">
      <c r="G1589" s="30">
        <f t="shared" si="148"/>
        <v>0</v>
      </c>
      <c r="H1589" s="31">
        <f t="shared" si="149"/>
        <v>0</v>
      </c>
      <c r="I1589" s="31">
        <f t="shared" si="150"/>
        <v>0</v>
      </c>
      <c r="J1589" s="31">
        <f t="shared" si="151"/>
        <v>0</v>
      </c>
      <c r="M1589" s="33">
        <f t="shared" si="147"/>
        <v>0</v>
      </c>
      <c r="N1589" s="33"/>
    </row>
    <row r="1590" spans="7:14" ht="16.5" customHeight="1">
      <c r="G1590" s="30">
        <f t="shared" si="148"/>
        <v>0</v>
      </c>
      <c r="H1590" s="31">
        <f t="shared" si="149"/>
        <v>0</v>
      </c>
      <c r="I1590" s="31">
        <f t="shared" si="150"/>
        <v>0</v>
      </c>
      <c r="J1590" s="31">
        <f t="shared" si="151"/>
        <v>0</v>
      </c>
      <c r="M1590" s="33">
        <f t="shared" si="147"/>
        <v>0</v>
      </c>
      <c r="N1590" s="33"/>
    </row>
    <row r="1591" spans="7:14" ht="16.5" customHeight="1">
      <c r="G1591" s="30">
        <f t="shared" si="148"/>
        <v>0</v>
      </c>
      <c r="H1591" s="31">
        <f t="shared" si="149"/>
        <v>0</v>
      </c>
      <c r="I1591" s="31">
        <f t="shared" si="150"/>
        <v>0</v>
      </c>
      <c r="J1591" s="31">
        <f t="shared" si="151"/>
        <v>0</v>
      </c>
      <c r="M1591" s="33">
        <f t="shared" si="147"/>
        <v>0</v>
      </c>
      <c r="N1591" s="33"/>
    </row>
    <row r="1592" spans="7:14" ht="16.5" customHeight="1">
      <c r="G1592" s="30">
        <f t="shared" si="148"/>
        <v>0</v>
      </c>
      <c r="H1592" s="31">
        <f t="shared" si="149"/>
        <v>0</v>
      </c>
      <c r="I1592" s="31">
        <f t="shared" si="150"/>
        <v>0</v>
      </c>
      <c r="J1592" s="31">
        <f t="shared" si="151"/>
        <v>0</v>
      </c>
      <c r="M1592" s="33">
        <f t="shared" si="147"/>
        <v>0</v>
      </c>
      <c r="N1592" s="33"/>
    </row>
    <row r="1593" spans="7:14" ht="16.5" customHeight="1">
      <c r="G1593" s="30">
        <f t="shared" si="148"/>
        <v>0</v>
      </c>
      <c r="H1593" s="31">
        <f t="shared" si="149"/>
        <v>0</v>
      </c>
      <c r="I1593" s="31">
        <f t="shared" si="150"/>
        <v>0</v>
      </c>
      <c r="J1593" s="31">
        <f t="shared" si="151"/>
        <v>0</v>
      </c>
      <c r="M1593" s="33">
        <f t="shared" si="147"/>
        <v>0</v>
      </c>
      <c r="N1593" s="33"/>
    </row>
    <row r="1594" spans="7:14" ht="16.5" customHeight="1">
      <c r="G1594" s="30">
        <f t="shared" si="148"/>
        <v>0</v>
      </c>
      <c r="H1594" s="31">
        <f t="shared" si="149"/>
        <v>0</v>
      </c>
      <c r="I1594" s="31">
        <f t="shared" si="150"/>
        <v>0</v>
      </c>
      <c r="J1594" s="31">
        <f t="shared" si="151"/>
        <v>0</v>
      </c>
      <c r="M1594" s="33">
        <f t="shared" si="147"/>
        <v>0</v>
      </c>
      <c r="N1594" s="33"/>
    </row>
    <row r="1595" spans="7:14" ht="16.5" customHeight="1">
      <c r="G1595" s="30">
        <f t="shared" si="148"/>
        <v>0</v>
      </c>
      <c r="H1595" s="31">
        <f t="shared" si="149"/>
        <v>0</v>
      </c>
      <c r="I1595" s="31">
        <f t="shared" si="150"/>
        <v>0</v>
      </c>
      <c r="J1595" s="31">
        <f t="shared" si="151"/>
        <v>0</v>
      </c>
      <c r="M1595" s="33">
        <f t="shared" si="147"/>
        <v>0</v>
      </c>
      <c r="N1595" s="33"/>
    </row>
    <row r="1596" spans="7:14" ht="16.5" customHeight="1">
      <c r="G1596" s="30">
        <f t="shared" si="148"/>
        <v>0</v>
      </c>
      <c r="H1596" s="31">
        <f t="shared" si="149"/>
        <v>0</v>
      </c>
      <c r="I1596" s="31">
        <f t="shared" si="150"/>
        <v>0</v>
      </c>
      <c r="J1596" s="31">
        <f t="shared" si="151"/>
        <v>0</v>
      </c>
      <c r="M1596" s="33">
        <f t="shared" si="147"/>
        <v>0</v>
      </c>
      <c r="N1596" s="33"/>
    </row>
    <row r="1597" spans="7:14" ht="16.5" customHeight="1">
      <c r="G1597" s="30">
        <f t="shared" si="148"/>
        <v>0</v>
      </c>
      <c r="H1597" s="31">
        <f t="shared" si="149"/>
        <v>0</v>
      </c>
      <c r="I1597" s="31">
        <f t="shared" si="150"/>
        <v>0</v>
      </c>
      <c r="J1597" s="31">
        <f t="shared" si="151"/>
        <v>0</v>
      </c>
      <c r="M1597" s="33">
        <f t="shared" si="147"/>
        <v>0</v>
      </c>
      <c r="N1597" s="33"/>
    </row>
    <row r="1598" spans="7:14" ht="16.5" customHeight="1">
      <c r="G1598" s="30">
        <f t="shared" si="148"/>
        <v>0</v>
      </c>
      <c r="H1598" s="31">
        <f t="shared" si="149"/>
        <v>0</v>
      </c>
      <c r="I1598" s="31">
        <f t="shared" si="150"/>
        <v>0</v>
      </c>
      <c r="J1598" s="31">
        <f t="shared" si="151"/>
        <v>0</v>
      </c>
      <c r="M1598" s="33">
        <f t="shared" ref="M1598:M1661" si="152">IF(P1598="TL tuyệt đối",0, IF(K1598&lt;5,0,IF(K1598&lt;50,K1598*9%,IF(K1598&lt;100,4.5,IF(K1598&lt;200,4.5%*K1598,IF(K1598&lt;300,9,IF(K1598&lt;500,K1598*3%,IF(K1598&lt;1000,15,))))))))</f>
        <v>0</v>
      </c>
      <c r="N1598" s="33"/>
    </row>
    <row r="1599" spans="7:14" ht="16.5" customHeight="1">
      <c r="G1599" s="30">
        <f t="shared" si="148"/>
        <v>0</v>
      </c>
      <c r="H1599" s="31">
        <f t="shared" si="149"/>
        <v>0</v>
      </c>
      <c r="I1599" s="31">
        <f t="shared" si="150"/>
        <v>0</v>
      </c>
      <c r="J1599" s="31">
        <f t="shared" si="151"/>
        <v>0</v>
      </c>
      <c r="M1599" s="33">
        <f t="shared" si="152"/>
        <v>0</v>
      </c>
      <c r="N1599" s="33"/>
    </row>
    <row r="1600" spans="7:14" ht="16.5" customHeight="1">
      <c r="G1600" s="30">
        <f t="shared" ref="G1600:G1663" si="153">IF(P1600="TL tuyệt đối",K1600*103%,K1600+1/3*M1600)</f>
        <v>0</v>
      </c>
      <c r="H1600" s="31">
        <f t="shared" ref="H1600:H1663" si="154">IF(P1600="TL tuyệt đối",K1600*101%,K1600-1/3*M1600)</f>
        <v>0</v>
      </c>
      <c r="I1600" s="31">
        <f t="shared" ref="I1600:I1663" si="155">IF(P1600="TL tuyệt đối", K1600*105%,K1600+M1600)</f>
        <v>0</v>
      </c>
      <c r="J1600" s="31">
        <f t="shared" si="151"/>
        <v>0</v>
      </c>
      <c r="M1600" s="33">
        <f t="shared" si="152"/>
        <v>0</v>
      </c>
      <c r="N1600" s="33"/>
    </row>
    <row r="1601" spans="7:14" ht="16.5" customHeight="1">
      <c r="G1601" s="30">
        <f t="shared" si="153"/>
        <v>0</v>
      </c>
      <c r="H1601" s="31">
        <f t="shared" si="154"/>
        <v>0</v>
      </c>
      <c r="I1601" s="31">
        <f t="shared" si="155"/>
        <v>0</v>
      </c>
      <c r="J1601" s="31">
        <f t="shared" si="151"/>
        <v>0</v>
      </c>
      <c r="M1601" s="33">
        <f t="shared" si="152"/>
        <v>0</v>
      </c>
      <c r="N1601" s="33"/>
    </row>
    <row r="1602" spans="7:14" ht="16.5" customHeight="1">
      <c r="G1602" s="30">
        <f t="shared" si="153"/>
        <v>0</v>
      </c>
      <c r="H1602" s="31">
        <f t="shared" si="154"/>
        <v>0</v>
      </c>
      <c r="I1602" s="31">
        <f t="shared" si="155"/>
        <v>0</v>
      </c>
      <c r="J1602" s="31">
        <f t="shared" si="151"/>
        <v>0</v>
      </c>
      <c r="M1602" s="33">
        <f t="shared" si="152"/>
        <v>0</v>
      </c>
      <c r="N1602" s="33"/>
    </row>
    <row r="1603" spans="7:14" ht="16.5" customHeight="1">
      <c r="G1603" s="30">
        <f t="shared" si="153"/>
        <v>0</v>
      </c>
      <c r="H1603" s="31">
        <f t="shared" si="154"/>
        <v>0</v>
      </c>
      <c r="I1603" s="31">
        <f t="shared" si="155"/>
        <v>0</v>
      </c>
      <c r="J1603" s="31">
        <f t="shared" si="151"/>
        <v>0</v>
      </c>
      <c r="M1603" s="33">
        <f t="shared" si="152"/>
        <v>0</v>
      </c>
      <c r="N1603" s="33"/>
    </row>
    <row r="1604" spans="7:14" ht="16.5" customHeight="1">
      <c r="G1604" s="30">
        <f t="shared" si="153"/>
        <v>0</v>
      </c>
      <c r="H1604" s="31">
        <f t="shared" si="154"/>
        <v>0</v>
      </c>
      <c r="I1604" s="31">
        <f t="shared" si="155"/>
        <v>0</v>
      </c>
      <c r="J1604" s="31">
        <f t="shared" ref="J1604:J1667" si="156">K1604-M1604</f>
        <v>0</v>
      </c>
      <c r="M1604" s="33">
        <f t="shared" si="152"/>
        <v>0</v>
      </c>
      <c r="N1604" s="33"/>
    </row>
    <row r="1605" spans="7:14" ht="16.5" customHeight="1">
      <c r="G1605" s="30">
        <f t="shared" si="153"/>
        <v>0</v>
      </c>
      <c r="H1605" s="31">
        <f t="shared" si="154"/>
        <v>0</v>
      </c>
      <c r="I1605" s="31">
        <f t="shared" si="155"/>
        <v>0</v>
      </c>
      <c r="J1605" s="31">
        <f t="shared" si="156"/>
        <v>0</v>
      </c>
      <c r="M1605" s="33">
        <f t="shared" si="152"/>
        <v>0</v>
      </c>
      <c r="N1605" s="33"/>
    </row>
    <row r="1606" spans="7:14" ht="16.5" customHeight="1">
      <c r="G1606" s="30">
        <f t="shared" si="153"/>
        <v>0</v>
      </c>
      <c r="H1606" s="31">
        <f t="shared" si="154"/>
        <v>0</v>
      </c>
      <c r="I1606" s="31">
        <f t="shared" si="155"/>
        <v>0</v>
      </c>
      <c r="J1606" s="31">
        <f t="shared" si="156"/>
        <v>0</v>
      </c>
      <c r="M1606" s="33">
        <f t="shared" si="152"/>
        <v>0</v>
      </c>
      <c r="N1606" s="33"/>
    </row>
    <row r="1607" spans="7:14" ht="16.5" customHeight="1">
      <c r="G1607" s="30">
        <f t="shared" si="153"/>
        <v>0</v>
      </c>
      <c r="H1607" s="31">
        <f t="shared" si="154"/>
        <v>0</v>
      </c>
      <c r="I1607" s="31">
        <f t="shared" si="155"/>
        <v>0</v>
      </c>
      <c r="J1607" s="31">
        <f t="shared" si="156"/>
        <v>0</v>
      </c>
      <c r="M1607" s="33">
        <f t="shared" si="152"/>
        <v>0</v>
      </c>
      <c r="N1607" s="33"/>
    </row>
    <row r="1608" spans="7:14" ht="16.5" customHeight="1">
      <c r="G1608" s="30">
        <f t="shared" si="153"/>
        <v>0</v>
      </c>
      <c r="H1608" s="31">
        <f t="shared" si="154"/>
        <v>0</v>
      </c>
      <c r="I1608" s="31">
        <f t="shared" si="155"/>
        <v>0</v>
      </c>
      <c r="J1608" s="31">
        <f t="shared" si="156"/>
        <v>0</v>
      </c>
      <c r="M1608" s="33">
        <f t="shared" si="152"/>
        <v>0</v>
      </c>
      <c r="N1608" s="33"/>
    </row>
    <row r="1609" spans="7:14" ht="16.5" customHeight="1">
      <c r="G1609" s="30">
        <f t="shared" si="153"/>
        <v>0</v>
      </c>
      <c r="H1609" s="31">
        <f t="shared" si="154"/>
        <v>0</v>
      </c>
      <c r="I1609" s="31">
        <f t="shared" si="155"/>
        <v>0</v>
      </c>
      <c r="J1609" s="31">
        <f t="shared" si="156"/>
        <v>0</v>
      </c>
      <c r="M1609" s="33">
        <f t="shared" si="152"/>
        <v>0</v>
      </c>
      <c r="N1609" s="33"/>
    </row>
    <row r="1610" spans="7:14" ht="16.5" customHeight="1">
      <c r="G1610" s="30">
        <f t="shared" si="153"/>
        <v>0</v>
      </c>
      <c r="H1610" s="31">
        <f t="shared" si="154"/>
        <v>0</v>
      </c>
      <c r="I1610" s="31">
        <f t="shared" si="155"/>
        <v>0</v>
      </c>
      <c r="J1610" s="31">
        <f t="shared" si="156"/>
        <v>0</v>
      </c>
      <c r="M1610" s="33">
        <f t="shared" si="152"/>
        <v>0</v>
      </c>
      <c r="N1610" s="33"/>
    </row>
    <row r="1611" spans="7:14" ht="16.5" customHeight="1">
      <c r="G1611" s="30">
        <f t="shared" si="153"/>
        <v>0</v>
      </c>
      <c r="H1611" s="31">
        <f t="shared" si="154"/>
        <v>0</v>
      </c>
      <c r="I1611" s="31">
        <f t="shared" si="155"/>
        <v>0</v>
      </c>
      <c r="J1611" s="31">
        <f t="shared" si="156"/>
        <v>0</v>
      </c>
      <c r="M1611" s="33">
        <f t="shared" si="152"/>
        <v>0</v>
      </c>
      <c r="N1611" s="33"/>
    </row>
    <row r="1612" spans="7:14" ht="16.5" customHeight="1">
      <c r="G1612" s="30">
        <f t="shared" si="153"/>
        <v>0</v>
      </c>
      <c r="H1612" s="31">
        <f t="shared" si="154"/>
        <v>0</v>
      </c>
      <c r="I1612" s="31">
        <f t="shared" si="155"/>
        <v>0</v>
      </c>
      <c r="J1612" s="31">
        <f t="shared" si="156"/>
        <v>0</v>
      </c>
      <c r="M1612" s="33">
        <f t="shared" si="152"/>
        <v>0</v>
      </c>
      <c r="N1612" s="33"/>
    </row>
    <row r="1613" spans="7:14" ht="16.5" customHeight="1">
      <c r="G1613" s="30">
        <f t="shared" si="153"/>
        <v>0</v>
      </c>
      <c r="H1613" s="31">
        <f t="shared" si="154"/>
        <v>0</v>
      </c>
      <c r="I1613" s="31">
        <f t="shared" si="155"/>
        <v>0</v>
      </c>
      <c r="J1613" s="31">
        <f t="shared" si="156"/>
        <v>0</v>
      </c>
      <c r="M1613" s="33">
        <f t="shared" si="152"/>
        <v>0</v>
      </c>
      <c r="N1613" s="33"/>
    </row>
    <row r="1614" spans="7:14" ht="16.5" customHeight="1">
      <c r="G1614" s="30">
        <f t="shared" si="153"/>
        <v>0</v>
      </c>
      <c r="H1614" s="31">
        <f t="shared" si="154"/>
        <v>0</v>
      </c>
      <c r="I1614" s="31">
        <f t="shared" si="155"/>
        <v>0</v>
      </c>
      <c r="J1614" s="31">
        <f t="shared" si="156"/>
        <v>0</v>
      </c>
      <c r="M1614" s="33">
        <f t="shared" si="152"/>
        <v>0</v>
      </c>
      <c r="N1614" s="33"/>
    </row>
    <row r="1615" spans="7:14" ht="16.5" customHeight="1">
      <c r="G1615" s="30">
        <f t="shared" si="153"/>
        <v>0</v>
      </c>
      <c r="H1615" s="31">
        <f t="shared" si="154"/>
        <v>0</v>
      </c>
      <c r="I1615" s="31">
        <f t="shared" si="155"/>
        <v>0</v>
      </c>
      <c r="J1615" s="31">
        <f t="shared" si="156"/>
        <v>0</v>
      </c>
      <c r="M1615" s="33">
        <f t="shared" si="152"/>
        <v>0</v>
      </c>
      <c r="N1615" s="33"/>
    </row>
    <row r="1616" spans="7:14" ht="16.5" customHeight="1">
      <c r="G1616" s="30">
        <f t="shared" si="153"/>
        <v>0</v>
      </c>
      <c r="H1616" s="31">
        <f t="shared" si="154"/>
        <v>0</v>
      </c>
      <c r="I1616" s="31">
        <f t="shared" si="155"/>
        <v>0</v>
      </c>
      <c r="J1616" s="31">
        <f t="shared" si="156"/>
        <v>0</v>
      </c>
      <c r="M1616" s="33">
        <f t="shared" si="152"/>
        <v>0</v>
      </c>
      <c r="N1616" s="33"/>
    </row>
    <row r="1617" spans="7:14" ht="16.5" customHeight="1">
      <c r="G1617" s="30">
        <f t="shared" si="153"/>
        <v>0</v>
      </c>
      <c r="H1617" s="31">
        <f t="shared" si="154"/>
        <v>0</v>
      </c>
      <c r="I1617" s="31">
        <f t="shared" si="155"/>
        <v>0</v>
      </c>
      <c r="J1617" s="31">
        <f t="shared" si="156"/>
        <v>0</v>
      </c>
      <c r="M1617" s="33">
        <f t="shared" si="152"/>
        <v>0</v>
      </c>
      <c r="N1617" s="33"/>
    </row>
    <row r="1618" spans="7:14" ht="16.5" customHeight="1">
      <c r="G1618" s="30">
        <f t="shared" si="153"/>
        <v>0</v>
      </c>
      <c r="H1618" s="31">
        <f t="shared" si="154"/>
        <v>0</v>
      </c>
      <c r="I1618" s="31">
        <f t="shared" si="155"/>
        <v>0</v>
      </c>
      <c r="J1618" s="31">
        <f t="shared" si="156"/>
        <v>0</v>
      </c>
      <c r="M1618" s="33">
        <f t="shared" si="152"/>
        <v>0</v>
      </c>
      <c r="N1618" s="33"/>
    </row>
    <row r="1619" spans="7:14" ht="16.5" customHeight="1">
      <c r="G1619" s="30">
        <f t="shared" si="153"/>
        <v>0</v>
      </c>
      <c r="H1619" s="31">
        <f t="shared" si="154"/>
        <v>0</v>
      </c>
      <c r="I1619" s="31">
        <f t="shared" si="155"/>
        <v>0</v>
      </c>
      <c r="J1619" s="31">
        <f t="shared" si="156"/>
        <v>0</v>
      </c>
      <c r="M1619" s="33">
        <f t="shared" si="152"/>
        <v>0</v>
      </c>
      <c r="N1619" s="33"/>
    </row>
    <row r="1620" spans="7:14" ht="16.5" customHeight="1">
      <c r="G1620" s="30">
        <f t="shared" si="153"/>
        <v>0</v>
      </c>
      <c r="H1620" s="31">
        <f t="shared" si="154"/>
        <v>0</v>
      </c>
      <c r="I1620" s="31">
        <f t="shared" si="155"/>
        <v>0</v>
      </c>
      <c r="J1620" s="31">
        <f t="shared" si="156"/>
        <v>0</v>
      </c>
      <c r="M1620" s="33">
        <f t="shared" si="152"/>
        <v>0</v>
      </c>
      <c r="N1620" s="33"/>
    </row>
    <row r="1621" spans="7:14" ht="16.5" customHeight="1">
      <c r="G1621" s="30">
        <f t="shared" si="153"/>
        <v>0</v>
      </c>
      <c r="H1621" s="31">
        <f t="shared" si="154"/>
        <v>0</v>
      </c>
      <c r="I1621" s="31">
        <f t="shared" si="155"/>
        <v>0</v>
      </c>
      <c r="J1621" s="31">
        <f t="shared" si="156"/>
        <v>0</v>
      </c>
      <c r="M1621" s="33">
        <f t="shared" si="152"/>
        <v>0</v>
      </c>
      <c r="N1621" s="33"/>
    </row>
    <row r="1622" spans="7:14" ht="16.5" customHeight="1">
      <c r="G1622" s="30">
        <f t="shared" si="153"/>
        <v>0</v>
      </c>
      <c r="H1622" s="31">
        <f t="shared" si="154"/>
        <v>0</v>
      </c>
      <c r="I1622" s="31">
        <f t="shared" si="155"/>
        <v>0</v>
      </c>
      <c r="J1622" s="31">
        <f t="shared" si="156"/>
        <v>0</v>
      </c>
      <c r="M1622" s="33">
        <f t="shared" si="152"/>
        <v>0</v>
      </c>
      <c r="N1622" s="33"/>
    </row>
    <row r="1623" spans="7:14" ht="16.5" customHeight="1">
      <c r="G1623" s="30">
        <f t="shared" si="153"/>
        <v>0</v>
      </c>
      <c r="H1623" s="31">
        <f t="shared" si="154"/>
        <v>0</v>
      </c>
      <c r="I1623" s="31">
        <f t="shared" si="155"/>
        <v>0</v>
      </c>
      <c r="J1623" s="31">
        <f t="shared" si="156"/>
        <v>0</v>
      </c>
      <c r="M1623" s="33">
        <f t="shared" si="152"/>
        <v>0</v>
      </c>
      <c r="N1623" s="33"/>
    </row>
    <row r="1624" spans="7:14" ht="16.5" customHeight="1">
      <c r="G1624" s="30">
        <f t="shared" si="153"/>
        <v>0</v>
      </c>
      <c r="H1624" s="31">
        <f t="shared" si="154"/>
        <v>0</v>
      </c>
      <c r="I1624" s="31">
        <f t="shared" si="155"/>
        <v>0</v>
      </c>
      <c r="J1624" s="31">
        <f t="shared" si="156"/>
        <v>0</v>
      </c>
      <c r="M1624" s="33">
        <f t="shared" si="152"/>
        <v>0</v>
      </c>
      <c r="N1624" s="33"/>
    </row>
    <row r="1625" spans="7:14" ht="16.5" customHeight="1">
      <c r="G1625" s="30">
        <f t="shared" si="153"/>
        <v>0</v>
      </c>
      <c r="H1625" s="31">
        <f t="shared" si="154"/>
        <v>0</v>
      </c>
      <c r="I1625" s="31">
        <f t="shared" si="155"/>
        <v>0</v>
      </c>
      <c r="J1625" s="31">
        <f t="shared" si="156"/>
        <v>0</v>
      </c>
      <c r="M1625" s="33">
        <f t="shared" si="152"/>
        <v>0</v>
      </c>
      <c r="N1625" s="33"/>
    </row>
    <row r="1626" spans="7:14" ht="16.5" customHeight="1">
      <c r="G1626" s="30">
        <f t="shared" si="153"/>
        <v>0</v>
      </c>
      <c r="H1626" s="31">
        <f t="shared" si="154"/>
        <v>0</v>
      </c>
      <c r="I1626" s="31">
        <f t="shared" si="155"/>
        <v>0</v>
      </c>
      <c r="J1626" s="31">
        <f t="shared" si="156"/>
        <v>0</v>
      </c>
      <c r="M1626" s="33">
        <f t="shared" si="152"/>
        <v>0</v>
      </c>
      <c r="N1626" s="33"/>
    </row>
    <row r="1627" spans="7:14" ht="16.5" customHeight="1">
      <c r="G1627" s="30">
        <f t="shared" si="153"/>
        <v>0</v>
      </c>
      <c r="H1627" s="31">
        <f t="shared" si="154"/>
        <v>0</v>
      </c>
      <c r="I1627" s="31">
        <f t="shared" si="155"/>
        <v>0</v>
      </c>
      <c r="J1627" s="31">
        <f t="shared" si="156"/>
        <v>0</v>
      </c>
      <c r="M1627" s="33">
        <f t="shared" si="152"/>
        <v>0</v>
      </c>
      <c r="N1627" s="33"/>
    </row>
    <row r="1628" spans="7:14" ht="16.5" customHeight="1">
      <c r="G1628" s="30">
        <f t="shared" si="153"/>
        <v>0</v>
      </c>
      <c r="H1628" s="31">
        <f t="shared" si="154"/>
        <v>0</v>
      </c>
      <c r="I1628" s="31">
        <f t="shared" si="155"/>
        <v>0</v>
      </c>
      <c r="J1628" s="31">
        <f t="shared" si="156"/>
        <v>0</v>
      </c>
      <c r="M1628" s="33">
        <f t="shared" si="152"/>
        <v>0</v>
      </c>
      <c r="N1628" s="33"/>
    </row>
    <row r="1629" spans="7:14" ht="16.5" customHeight="1">
      <c r="G1629" s="30">
        <f t="shared" si="153"/>
        <v>0</v>
      </c>
      <c r="H1629" s="31">
        <f t="shared" si="154"/>
        <v>0</v>
      </c>
      <c r="I1629" s="31">
        <f t="shared" si="155"/>
        <v>0</v>
      </c>
      <c r="J1629" s="31">
        <f t="shared" si="156"/>
        <v>0</v>
      </c>
      <c r="M1629" s="33">
        <f t="shared" si="152"/>
        <v>0</v>
      </c>
      <c r="N1629" s="33"/>
    </row>
    <row r="1630" spans="7:14" ht="16.5" customHeight="1">
      <c r="G1630" s="30">
        <f t="shared" si="153"/>
        <v>0</v>
      </c>
      <c r="H1630" s="31">
        <f t="shared" si="154"/>
        <v>0</v>
      </c>
      <c r="I1630" s="31">
        <f t="shared" si="155"/>
        <v>0</v>
      </c>
      <c r="J1630" s="31">
        <f t="shared" si="156"/>
        <v>0</v>
      </c>
      <c r="M1630" s="33">
        <f t="shared" si="152"/>
        <v>0</v>
      </c>
      <c r="N1630" s="33"/>
    </row>
    <row r="1631" spans="7:14" ht="16.5" customHeight="1">
      <c r="G1631" s="30">
        <f t="shared" si="153"/>
        <v>0</v>
      </c>
      <c r="H1631" s="31">
        <f t="shared" si="154"/>
        <v>0</v>
      </c>
      <c r="I1631" s="31">
        <f t="shared" si="155"/>
        <v>0</v>
      </c>
      <c r="J1631" s="31">
        <f t="shared" si="156"/>
        <v>0</v>
      </c>
      <c r="M1631" s="33">
        <f t="shared" si="152"/>
        <v>0</v>
      </c>
      <c r="N1631" s="33"/>
    </row>
    <row r="1632" spans="7:14" ht="16.5" customHeight="1">
      <c r="G1632" s="30">
        <f t="shared" si="153"/>
        <v>0</v>
      </c>
      <c r="H1632" s="31">
        <f t="shared" si="154"/>
        <v>0</v>
      </c>
      <c r="I1632" s="31">
        <f t="shared" si="155"/>
        <v>0</v>
      </c>
      <c r="J1632" s="31">
        <f t="shared" si="156"/>
        <v>0</v>
      </c>
      <c r="M1632" s="33">
        <f t="shared" si="152"/>
        <v>0</v>
      </c>
      <c r="N1632" s="33"/>
    </row>
    <row r="1633" spans="7:14" ht="16.5" customHeight="1">
      <c r="G1633" s="30">
        <f t="shared" si="153"/>
        <v>0</v>
      </c>
      <c r="H1633" s="31">
        <f t="shared" si="154"/>
        <v>0</v>
      </c>
      <c r="I1633" s="31">
        <f t="shared" si="155"/>
        <v>0</v>
      </c>
      <c r="J1633" s="31">
        <f t="shared" si="156"/>
        <v>0</v>
      </c>
      <c r="M1633" s="33">
        <f t="shared" si="152"/>
        <v>0</v>
      </c>
      <c r="N1633" s="33"/>
    </row>
    <row r="1634" spans="7:14" ht="16.5" customHeight="1">
      <c r="G1634" s="30">
        <f t="shared" si="153"/>
        <v>0</v>
      </c>
      <c r="H1634" s="31">
        <f t="shared" si="154"/>
        <v>0</v>
      </c>
      <c r="I1634" s="31">
        <f t="shared" si="155"/>
        <v>0</v>
      </c>
      <c r="J1634" s="31">
        <f t="shared" si="156"/>
        <v>0</v>
      </c>
      <c r="M1634" s="33">
        <f t="shared" si="152"/>
        <v>0</v>
      </c>
      <c r="N1634" s="33"/>
    </row>
    <row r="1635" spans="7:14" ht="16.5" customHeight="1">
      <c r="G1635" s="30">
        <f t="shared" si="153"/>
        <v>0</v>
      </c>
      <c r="H1635" s="31">
        <f t="shared" si="154"/>
        <v>0</v>
      </c>
      <c r="I1635" s="31">
        <f t="shared" si="155"/>
        <v>0</v>
      </c>
      <c r="J1635" s="31">
        <f t="shared" si="156"/>
        <v>0</v>
      </c>
      <c r="M1635" s="33">
        <f t="shared" si="152"/>
        <v>0</v>
      </c>
      <c r="N1635" s="33"/>
    </row>
    <row r="1636" spans="7:14" ht="16.5" customHeight="1">
      <c r="G1636" s="30">
        <f t="shared" si="153"/>
        <v>0</v>
      </c>
      <c r="H1636" s="31">
        <f t="shared" si="154"/>
        <v>0</v>
      </c>
      <c r="I1636" s="31">
        <f t="shared" si="155"/>
        <v>0</v>
      </c>
      <c r="J1636" s="31">
        <f t="shared" si="156"/>
        <v>0</v>
      </c>
      <c r="M1636" s="33">
        <f t="shared" si="152"/>
        <v>0</v>
      </c>
      <c r="N1636" s="33"/>
    </row>
    <row r="1637" spans="7:14" ht="16.5" customHeight="1">
      <c r="G1637" s="30">
        <f t="shared" si="153"/>
        <v>0</v>
      </c>
      <c r="H1637" s="31">
        <f t="shared" si="154"/>
        <v>0</v>
      </c>
      <c r="I1637" s="31">
        <f t="shared" si="155"/>
        <v>0</v>
      </c>
      <c r="J1637" s="31">
        <f t="shared" si="156"/>
        <v>0</v>
      </c>
      <c r="M1637" s="33">
        <f t="shared" si="152"/>
        <v>0</v>
      </c>
      <c r="N1637" s="33"/>
    </row>
    <row r="1638" spans="7:14" ht="16.5" customHeight="1">
      <c r="G1638" s="30">
        <f t="shared" si="153"/>
        <v>0</v>
      </c>
      <c r="H1638" s="31">
        <f t="shared" si="154"/>
        <v>0</v>
      </c>
      <c r="I1638" s="31">
        <f t="shared" si="155"/>
        <v>0</v>
      </c>
      <c r="J1638" s="31">
        <f t="shared" si="156"/>
        <v>0</v>
      </c>
      <c r="M1638" s="33">
        <f t="shared" si="152"/>
        <v>0</v>
      </c>
      <c r="N1638" s="33"/>
    </row>
    <row r="1639" spans="7:14" ht="16.5" customHeight="1">
      <c r="G1639" s="30">
        <f t="shared" si="153"/>
        <v>0</v>
      </c>
      <c r="H1639" s="31">
        <f t="shared" si="154"/>
        <v>0</v>
      </c>
      <c r="I1639" s="31">
        <f t="shared" si="155"/>
        <v>0</v>
      </c>
      <c r="J1639" s="31">
        <f t="shared" si="156"/>
        <v>0</v>
      </c>
      <c r="M1639" s="33">
        <f t="shared" si="152"/>
        <v>0</v>
      </c>
      <c r="N1639" s="33"/>
    </row>
    <row r="1640" spans="7:14" ht="16.5" customHeight="1">
      <c r="G1640" s="30">
        <f t="shared" si="153"/>
        <v>0</v>
      </c>
      <c r="H1640" s="31">
        <f t="shared" si="154"/>
        <v>0</v>
      </c>
      <c r="I1640" s="31">
        <f t="shared" si="155"/>
        <v>0</v>
      </c>
      <c r="J1640" s="31">
        <f t="shared" si="156"/>
        <v>0</v>
      </c>
      <c r="M1640" s="33">
        <f t="shared" si="152"/>
        <v>0</v>
      </c>
      <c r="N1640" s="33"/>
    </row>
    <row r="1641" spans="7:14" ht="16.5" customHeight="1">
      <c r="G1641" s="30">
        <f t="shared" si="153"/>
        <v>0</v>
      </c>
      <c r="H1641" s="31">
        <f t="shared" si="154"/>
        <v>0</v>
      </c>
      <c r="I1641" s="31">
        <f t="shared" si="155"/>
        <v>0</v>
      </c>
      <c r="J1641" s="31">
        <f t="shared" si="156"/>
        <v>0</v>
      </c>
      <c r="M1641" s="33">
        <f t="shared" si="152"/>
        <v>0</v>
      </c>
      <c r="N1641" s="33"/>
    </row>
    <row r="1642" spans="7:14" ht="16.5" customHeight="1">
      <c r="G1642" s="30">
        <f t="shared" si="153"/>
        <v>0</v>
      </c>
      <c r="H1642" s="31">
        <f t="shared" si="154"/>
        <v>0</v>
      </c>
      <c r="I1642" s="31">
        <f t="shared" si="155"/>
        <v>0</v>
      </c>
      <c r="J1642" s="31">
        <f t="shared" si="156"/>
        <v>0</v>
      </c>
      <c r="M1642" s="33">
        <f t="shared" si="152"/>
        <v>0</v>
      </c>
      <c r="N1642" s="33"/>
    </row>
    <row r="1643" spans="7:14" ht="16.5" customHeight="1">
      <c r="G1643" s="30">
        <f t="shared" si="153"/>
        <v>0</v>
      </c>
      <c r="H1643" s="31">
        <f t="shared" si="154"/>
        <v>0</v>
      </c>
      <c r="I1643" s="31">
        <f t="shared" si="155"/>
        <v>0</v>
      </c>
      <c r="J1643" s="31">
        <f t="shared" si="156"/>
        <v>0</v>
      </c>
      <c r="M1643" s="33">
        <f t="shared" si="152"/>
        <v>0</v>
      </c>
      <c r="N1643" s="33"/>
    </row>
    <row r="1644" spans="7:14" ht="16.5" customHeight="1">
      <c r="G1644" s="30">
        <f t="shared" si="153"/>
        <v>0</v>
      </c>
      <c r="H1644" s="31">
        <f t="shared" si="154"/>
        <v>0</v>
      </c>
      <c r="I1644" s="31">
        <f t="shared" si="155"/>
        <v>0</v>
      </c>
      <c r="J1644" s="31">
        <f t="shared" si="156"/>
        <v>0</v>
      </c>
      <c r="M1644" s="33">
        <f t="shared" si="152"/>
        <v>0</v>
      </c>
      <c r="N1644" s="33"/>
    </row>
    <row r="1645" spans="7:14" ht="16.5" customHeight="1">
      <c r="G1645" s="30">
        <f t="shared" si="153"/>
        <v>0</v>
      </c>
      <c r="H1645" s="31">
        <f t="shared" si="154"/>
        <v>0</v>
      </c>
      <c r="I1645" s="31">
        <f t="shared" si="155"/>
        <v>0</v>
      </c>
      <c r="J1645" s="31">
        <f t="shared" si="156"/>
        <v>0</v>
      </c>
      <c r="M1645" s="33">
        <f t="shared" si="152"/>
        <v>0</v>
      </c>
      <c r="N1645" s="33"/>
    </row>
    <row r="1646" spans="7:14" ht="16.5" customHeight="1">
      <c r="G1646" s="30">
        <f t="shared" si="153"/>
        <v>0</v>
      </c>
      <c r="H1646" s="31">
        <f t="shared" si="154"/>
        <v>0</v>
      </c>
      <c r="I1646" s="31">
        <f t="shared" si="155"/>
        <v>0</v>
      </c>
      <c r="J1646" s="31">
        <f t="shared" si="156"/>
        <v>0</v>
      </c>
      <c r="M1646" s="33">
        <f t="shared" si="152"/>
        <v>0</v>
      </c>
      <c r="N1646" s="33"/>
    </row>
    <row r="1647" spans="7:14" ht="16.5" customHeight="1">
      <c r="G1647" s="30">
        <f t="shared" si="153"/>
        <v>0</v>
      </c>
      <c r="H1647" s="31">
        <f t="shared" si="154"/>
        <v>0</v>
      </c>
      <c r="I1647" s="31">
        <f t="shared" si="155"/>
        <v>0</v>
      </c>
      <c r="J1647" s="31">
        <f t="shared" si="156"/>
        <v>0</v>
      </c>
      <c r="M1647" s="33">
        <f t="shared" si="152"/>
        <v>0</v>
      </c>
      <c r="N1647" s="33"/>
    </row>
    <row r="1648" spans="7:14" ht="16.5" customHeight="1">
      <c r="G1648" s="30">
        <f t="shared" si="153"/>
        <v>0</v>
      </c>
      <c r="H1648" s="31">
        <f t="shared" si="154"/>
        <v>0</v>
      </c>
      <c r="I1648" s="31">
        <f t="shared" si="155"/>
        <v>0</v>
      </c>
      <c r="J1648" s="31">
        <f t="shared" si="156"/>
        <v>0</v>
      </c>
      <c r="M1648" s="33">
        <f t="shared" si="152"/>
        <v>0</v>
      </c>
      <c r="N1648" s="33"/>
    </row>
    <row r="1649" spans="7:14" ht="16.5" customHeight="1">
      <c r="G1649" s="30">
        <f t="shared" si="153"/>
        <v>0</v>
      </c>
      <c r="H1649" s="31">
        <f t="shared" si="154"/>
        <v>0</v>
      </c>
      <c r="I1649" s="31">
        <f t="shared" si="155"/>
        <v>0</v>
      </c>
      <c r="J1649" s="31">
        <f t="shared" si="156"/>
        <v>0</v>
      </c>
      <c r="M1649" s="33">
        <f t="shared" si="152"/>
        <v>0</v>
      </c>
      <c r="N1649" s="33"/>
    </row>
    <row r="1650" spans="7:14" ht="16.5" customHeight="1">
      <c r="G1650" s="30">
        <f t="shared" si="153"/>
        <v>0</v>
      </c>
      <c r="H1650" s="31">
        <f t="shared" si="154"/>
        <v>0</v>
      </c>
      <c r="I1650" s="31">
        <f t="shared" si="155"/>
        <v>0</v>
      </c>
      <c r="J1650" s="31">
        <f t="shared" si="156"/>
        <v>0</v>
      </c>
      <c r="M1650" s="33">
        <f t="shared" si="152"/>
        <v>0</v>
      </c>
      <c r="N1650" s="33"/>
    </row>
    <row r="1651" spans="7:14" ht="16.5" customHeight="1">
      <c r="G1651" s="30">
        <f t="shared" si="153"/>
        <v>0</v>
      </c>
      <c r="H1651" s="31">
        <f t="shared" si="154"/>
        <v>0</v>
      </c>
      <c r="I1651" s="31">
        <f t="shared" si="155"/>
        <v>0</v>
      </c>
      <c r="J1651" s="31">
        <f t="shared" si="156"/>
        <v>0</v>
      </c>
      <c r="M1651" s="33">
        <f t="shared" si="152"/>
        <v>0</v>
      </c>
      <c r="N1651" s="33"/>
    </row>
    <row r="1652" spans="7:14" ht="16.5" customHeight="1">
      <c r="G1652" s="30">
        <f t="shared" si="153"/>
        <v>0</v>
      </c>
      <c r="H1652" s="31">
        <f t="shared" si="154"/>
        <v>0</v>
      </c>
      <c r="I1652" s="31">
        <f t="shared" si="155"/>
        <v>0</v>
      </c>
      <c r="J1652" s="31">
        <f t="shared" si="156"/>
        <v>0</v>
      </c>
      <c r="M1652" s="33">
        <f t="shared" si="152"/>
        <v>0</v>
      </c>
      <c r="N1652" s="33"/>
    </row>
    <row r="1653" spans="7:14" ht="16.5" customHeight="1">
      <c r="G1653" s="30">
        <f t="shared" si="153"/>
        <v>0</v>
      </c>
      <c r="H1653" s="31">
        <f t="shared" si="154"/>
        <v>0</v>
      </c>
      <c r="I1653" s="31">
        <f t="shared" si="155"/>
        <v>0</v>
      </c>
      <c r="J1653" s="31">
        <f t="shared" si="156"/>
        <v>0</v>
      </c>
      <c r="M1653" s="33">
        <f t="shared" si="152"/>
        <v>0</v>
      </c>
      <c r="N1653" s="33"/>
    </row>
    <row r="1654" spans="7:14" ht="16.5" customHeight="1">
      <c r="G1654" s="30">
        <f t="shared" si="153"/>
        <v>0</v>
      </c>
      <c r="H1654" s="31">
        <f t="shared" si="154"/>
        <v>0</v>
      </c>
      <c r="I1654" s="31">
        <f t="shared" si="155"/>
        <v>0</v>
      </c>
      <c r="J1654" s="31">
        <f t="shared" si="156"/>
        <v>0</v>
      </c>
      <c r="M1654" s="33">
        <f t="shared" si="152"/>
        <v>0</v>
      </c>
      <c r="N1654" s="33"/>
    </row>
    <row r="1655" spans="7:14" ht="16.5" customHeight="1">
      <c r="G1655" s="30">
        <f t="shared" si="153"/>
        <v>0</v>
      </c>
      <c r="H1655" s="31">
        <f t="shared" si="154"/>
        <v>0</v>
      </c>
      <c r="I1655" s="31">
        <f t="shared" si="155"/>
        <v>0</v>
      </c>
      <c r="J1655" s="31">
        <f t="shared" si="156"/>
        <v>0</v>
      </c>
      <c r="M1655" s="33">
        <f t="shared" si="152"/>
        <v>0</v>
      </c>
      <c r="N1655" s="33"/>
    </row>
    <row r="1656" spans="7:14" ht="16.5" customHeight="1">
      <c r="G1656" s="30">
        <f t="shared" si="153"/>
        <v>0</v>
      </c>
      <c r="H1656" s="31">
        <f t="shared" si="154"/>
        <v>0</v>
      </c>
      <c r="I1656" s="31">
        <f t="shared" si="155"/>
        <v>0</v>
      </c>
      <c r="J1656" s="31">
        <f t="shared" si="156"/>
        <v>0</v>
      </c>
      <c r="M1656" s="33">
        <f t="shared" si="152"/>
        <v>0</v>
      </c>
      <c r="N1656" s="33"/>
    </row>
    <row r="1657" spans="7:14" ht="16.5" customHeight="1">
      <c r="G1657" s="30">
        <f t="shared" si="153"/>
        <v>0</v>
      </c>
      <c r="H1657" s="31">
        <f t="shared" si="154"/>
        <v>0</v>
      </c>
      <c r="I1657" s="31">
        <f t="shared" si="155"/>
        <v>0</v>
      </c>
      <c r="J1657" s="31">
        <f t="shared" si="156"/>
        <v>0</v>
      </c>
      <c r="M1657" s="33">
        <f t="shared" si="152"/>
        <v>0</v>
      </c>
      <c r="N1657" s="33"/>
    </row>
    <row r="1658" spans="7:14" ht="16.5" customHeight="1">
      <c r="G1658" s="30">
        <f t="shared" si="153"/>
        <v>0</v>
      </c>
      <c r="H1658" s="31">
        <f t="shared" si="154"/>
        <v>0</v>
      </c>
      <c r="I1658" s="31">
        <f t="shared" si="155"/>
        <v>0</v>
      </c>
      <c r="J1658" s="31">
        <f t="shared" si="156"/>
        <v>0</v>
      </c>
      <c r="M1658" s="33">
        <f t="shared" si="152"/>
        <v>0</v>
      </c>
      <c r="N1658" s="33"/>
    </row>
    <row r="1659" spans="7:14" ht="16.5" customHeight="1">
      <c r="G1659" s="30">
        <f t="shared" si="153"/>
        <v>0</v>
      </c>
      <c r="H1659" s="31">
        <f t="shared" si="154"/>
        <v>0</v>
      </c>
      <c r="I1659" s="31">
        <f t="shared" si="155"/>
        <v>0</v>
      </c>
      <c r="J1659" s="31">
        <f t="shared" si="156"/>
        <v>0</v>
      </c>
      <c r="M1659" s="33">
        <f t="shared" si="152"/>
        <v>0</v>
      </c>
      <c r="N1659" s="33"/>
    </row>
    <row r="1660" spans="7:14" ht="16.5" customHeight="1">
      <c r="G1660" s="30">
        <f t="shared" si="153"/>
        <v>0</v>
      </c>
      <c r="H1660" s="31">
        <f t="shared" si="154"/>
        <v>0</v>
      </c>
      <c r="I1660" s="31">
        <f t="shared" si="155"/>
        <v>0</v>
      </c>
      <c r="J1660" s="31">
        <f t="shared" si="156"/>
        <v>0</v>
      </c>
      <c r="M1660" s="33">
        <f t="shared" si="152"/>
        <v>0</v>
      </c>
      <c r="N1660" s="33"/>
    </row>
    <row r="1661" spans="7:14" ht="16.5" customHeight="1">
      <c r="G1661" s="30">
        <f t="shared" si="153"/>
        <v>0</v>
      </c>
      <c r="H1661" s="31">
        <f t="shared" si="154"/>
        <v>0</v>
      </c>
      <c r="I1661" s="31">
        <f t="shared" si="155"/>
        <v>0</v>
      </c>
      <c r="J1661" s="31">
        <f t="shared" si="156"/>
        <v>0</v>
      </c>
      <c r="M1661" s="33">
        <f t="shared" si="152"/>
        <v>0</v>
      </c>
      <c r="N1661" s="33"/>
    </row>
    <row r="1662" spans="7:14" ht="16.5" customHeight="1">
      <c r="G1662" s="30">
        <f t="shared" si="153"/>
        <v>0</v>
      </c>
      <c r="H1662" s="31">
        <f t="shared" si="154"/>
        <v>0</v>
      </c>
      <c r="I1662" s="31">
        <f t="shared" si="155"/>
        <v>0</v>
      </c>
      <c r="J1662" s="31">
        <f t="shared" si="156"/>
        <v>0</v>
      </c>
      <c r="M1662" s="33">
        <f t="shared" ref="M1662:M1725" si="157">IF(P1662="TL tuyệt đối",0, IF(K1662&lt;5,0,IF(K1662&lt;50,K1662*9%,IF(K1662&lt;100,4.5,IF(K1662&lt;200,4.5%*K1662,IF(K1662&lt;300,9,IF(K1662&lt;500,K1662*3%,IF(K1662&lt;1000,15,))))))))</f>
        <v>0</v>
      </c>
      <c r="N1662" s="33"/>
    </row>
    <row r="1663" spans="7:14" ht="16.5" customHeight="1">
      <c r="G1663" s="30">
        <f t="shared" si="153"/>
        <v>0</v>
      </c>
      <c r="H1663" s="31">
        <f t="shared" si="154"/>
        <v>0</v>
      </c>
      <c r="I1663" s="31">
        <f t="shared" si="155"/>
        <v>0</v>
      </c>
      <c r="J1663" s="31">
        <f t="shared" si="156"/>
        <v>0</v>
      </c>
      <c r="M1663" s="33">
        <f t="shared" si="157"/>
        <v>0</v>
      </c>
      <c r="N1663" s="33"/>
    </row>
    <row r="1664" spans="7:14" ht="16.5" customHeight="1">
      <c r="G1664" s="30">
        <f t="shared" ref="G1664:G1727" si="158">IF(P1664="TL tuyệt đối",K1664*103%,K1664+1/3*M1664)</f>
        <v>0</v>
      </c>
      <c r="H1664" s="31">
        <f t="shared" ref="H1664:H1727" si="159">IF(P1664="TL tuyệt đối",K1664*101%,K1664-1/3*M1664)</f>
        <v>0</v>
      </c>
      <c r="I1664" s="31">
        <f t="shared" ref="I1664:I1727" si="160">IF(P1664="TL tuyệt đối", K1664*105%,K1664+M1664)</f>
        <v>0</v>
      </c>
      <c r="J1664" s="31">
        <f t="shared" si="156"/>
        <v>0</v>
      </c>
      <c r="M1664" s="33">
        <f t="shared" si="157"/>
        <v>0</v>
      </c>
      <c r="N1664" s="33"/>
    </row>
    <row r="1665" spans="7:14" ht="16.5" customHeight="1">
      <c r="G1665" s="30">
        <f t="shared" si="158"/>
        <v>0</v>
      </c>
      <c r="H1665" s="31">
        <f t="shared" si="159"/>
        <v>0</v>
      </c>
      <c r="I1665" s="31">
        <f t="shared" si="160"/>
        <v>0</v>
      </c>
      <c r="J1665" s="31">
        <f t="shared" si="156"/>
        <v>0</v>
      </c>
      <c r="M1665" s="33">
        <f t="shared" si="157"/>
        <v>0</v>
      </c>
      <c r="N1665" s="33"/>
    </row>
    <row r="1666" spans="7:14" ht="16.5" customHeight="1">
      <c r="G1666" s="30">
        <f t="shared" si="158"/>
        <v>0</v>
      </c>
      <c r="H1666" s="31">
        <f t="shared" si="159"/>
        <v>0</v>
      </c>
      <c r="I1666" s="31">
        <f t="shared" si="160"/>
        <v>0</v>
      </c>
      <c r="J1666" s="31">
        <f t="shared" si="156"/>
        <v>0</v>
      </c>
      <c r="M1666" s="33">
        <f t="shared" si="157"/>
        <v>0</v>
      </c>
      <c r="N1666" s="33"/>
    </row>
    <row r="1667" spans="7:14" ht="16.5" customHeight="1">
      <c r="G1667" s="30">
        <f t="shared" si="158"/>
        <v>0</v>
      </c>
      <c r="H1667" s="31">
        <f t="shared" si="159"/>
        <v>0</v>
      </c>
      <c r="I1667" s="31">
        <f t="shared" si="160"/>
        <v>0</v>
      </c>
      <c r="J1667" s="31">
        <f t="shared" si="156"/>
        <v>0</v>
      </c>
      <c r="M1667" s="33">
        <f t="shared" si="157"/>
        <v>0</v>
      </c>
      <c r="N1667" s="33"/>
    </row>
    <row r="1668" spans="7:14" ht="16.5" customHeight="1">
      <c r="G1668" s="30">
        <f t="shared" si="158"/>
        <v>0</v>
      </c>
      <c r="H1668" s="31">
        <f t="shared" si="159"/>
        <v>0</v>
      </c>
      <c r="I1668" s="31">
        <f t="shared" si="160"/>
        <v>0</v>
      </c>
      <c r="J1668" s="31">
        <f t="shared" ref="J1668:J1731" si="161">K1668-M1668</f>
        <v>0</v>
      </c>
      <c r="M1668" s="33">
        <f t="shared" si="157"/>
        <v>0</v>
      </c>
      <c r="N1668" s="33"/>
    </row>
    <row r="1669" spans="7:14" ht="16.5" customHeight="1">
      <c r="G1669" s="30">
        <f t="shared" si="158"/>
        <v>0</v>
      </c>
      <c r="H1669" s="31">
        <f t="shared" si="159"/>
        <v>0</v>
      </c>
      <c r="I1669" s="31">
        <f t="shared" si="160"/>
        <v>0</v>
      </c>
      <c r="J1669" s="31">
        <f t="shared" si="161"/>
        <v>0</v>
      </c>
      <c r="M1669" s="33">
        <f t="shared" si="157"/>
        <v>0</v>
      </c>
      <c r="N1669" s="33"/>
    </row>
    <row r="1670" spans="7:14" ht="16.5" customHeight="1">
      <c r="G1670" s="30">
        <f t="shared" si="158"/>
        <v>0</v>
      </c>
      <c r="H1670" s="31">
        <f t="shared" si="159"/>
        <v>0</v>
      </c>
      <c r="I1670" s="31">
        <f t="shared" si="160"/>
        <v>0</v>
      </c>
      <c r="J1670" s="31">
        <f t="shared" si="161"/>
        <v>0</v>
      </c>
      <c r="M1670" s="33">
        <f t="shared" si="157"/>
        <v>0</v>
      </c>
      <c r="N1670" s="33"/>
    </row>
    <row r="1671" spans="7:14" ht="16.5" customHeight="1">
      <c r="G1671" s="30">
        <f t="shared" si="158"/>
        <v>0</v>
      </c>
      <c r="H1671" s="31">
        <f t="shared" si="159"/>
        <v>0</v>
      </c>
      <c r="I1671" s="31">
        <f t="shared" si="160"/>
        <v>0</v>
      </c>
      <c r="J1671" s="31">
        <f t="shared" si="161"/>
        <v>0</v>
      </c>
      <c r="M1671" s="33">
        <f t="shared" si="157"/>
        <v>0</v>
      </c>
      <c r="N1671" s="33"/>
    </row>
    <row r="1672" spans="7:14" ht="16.5" customHeight="1">
      <c r="G1672" s="30">
        <f t="shared" si="158"/>
        <v>0</v>
      </c>
      <c r="H1672" s="31">
        <f t="shared" si="159"/>
        <v>0</v>
      </c>
      <c r="I1672" s="31">
        <f t="shared" si="160"/>
        <v>0</v>
      </c>
      <c r="J1672" s="31">
        <f t="shared" si="161"/>
        <v>0</v>
      </c>
      <c r="M1672" s="33">
        <f t="shared" si="157"/>
        <v>0</v>
      </c>
      <c r="N1672" s="33"/>
    </row>
    <row r="1673" spans="7:14" ht="16.5" customHeight="1">
      <c r="G1673" s="30">
        <f t="shared" si="158"/>
        <v>0</v>
      </c>
      <c r="H1673" s="31">
        <f t="shared" si="159"/>
        <v>0</v>
      </c>
      <c r="I1673" s="31">
        <f t="shared" si="160"/>
        <v>0</v>
      </c>
      <c r="J1673" s="31">
        <f t="shared" si="161"/>
        <v>0</v>
      </c>
      <c r="M1673" s="33">
        <f t="shared" si="157"/>
        <v>0</v>
      </c>
      <c r="N1673" s="33"/>
    </row>
    <row r="1674" spans="7:14" ht="16.5" customHeight="1">
      <c r="G1674" s="30">
        <f t="shared" si="158"/>
        <v>0</v>
      </c>
      <c r="H1674" s="31">
        <f t="shared" si="159"/>
        <v>0</v>
      </c>
      <c r="I1674" s="31">
        <f t="shared" si="160"/>
        <v>0</v>
      </c>
      <c r="J1674" s="31">
        <f t="shared" si="161"/>
        <v>0</v>
      </c>
      <c r="M1674" s="33">
        <f t="shared" si="157"/>
        <v>0</v>
      </c>
      <c r="N1674" s="33"/>
    </row>
    <row r="1675" spans="7:14" ht="16.5" customHeight="1">
      <c r="G1675" s="30">
        <f t="shared" si="158"/>
        <v>0</v>
      </c>
      <c r="H1675" s="31">
        <f t="shared" si="159"/>
        <v>0</v>
      </c>
      <c r="I1675" s="31">
        <f t="shared" si="160"/>
        <v>0</v>
      </c>
      <c r="J1675" s="31">
        <f t="shared" si="161"/>
        <v>0</v>
      </c>
      <c r="M1675" s="33">
        <f t="shared" si="157"/>
        <v>0</v>
      </c>
      <c r="N1675" s="33"/>
    </row>
    <row r="1676" spans="7:14" ht="16.5" customHeight="1">
      <c r="G1676" s="30">
        <f t="shared" si="158"/>
        <v>0</v>
      </c>
      <c r="H1676" s="31">
        <f t="shared" si="159"/>
        <v>0</v>
      </c>
      <c r="I1676" s="31">
        <f t="shared" si="160"/>
        <v>0</v>
      </c>
      <c r="J1676" s="31">
        <f t="shared" si="161"/>
        <v>0</v>
      </c>
      <c r="M1676" s="33">
        <f t="shared" si="157"/>
        <v>0</v>
      </c>
      <c r="N1676" s="33"/>
    </row>
    <row r="1677" spans="7:14" ht="16.5" customHeight="1">
      <c r="G1677" s="30">
        <f t="shared" si="158"/>
        <v>0</v>
      </c>
      <c r="H1677" s="31">
        <f t="shared" si="159"/>
        <v>0</v>
      </c>
      <c r="I1677" s="31">
        <f t="shared" si="160"/>
        <v>0</v>
      </c>
      <c r="J1677" s="31">
        <f t="shared" si="161"/>
        <v>0</v>
      </c>
      <c r="M1677" s="33">
        <f t="shared" si="157"/>
        <v>0</v>
      </c>
      <c r="N1677" s="33"/>
    </row>
    <row r="1678" spans="7:14" ht="16.5" customHeight="1">
      <c r="G1678" s="30">
        <f t="shared" si="158"/>
        <v>0</v>
      </c>
      <c r="H1678" s="31">
        <f t="shared" si="159"/>
        <v>0</v>
      </c>
      <c r="I1678" s="31">
        <f t="shared" si="160"/>
        <v>0</v>
      </c>
      <c r="J1678" s="31">
        <f t="shared" si="161"/>
        <v>0</v>
      </c>
      <c r="M1678" s="33">
        <f t="shared" si="157"/>
        <v>0</v>
      </c>
      <c r="N1678" s="33"/>
    </row>
    <row r="1679" spans="7:14" ht="16.5" customHeight="1">
      <c r="G1679" s="30">
        <f t="shared" si="158"/>
        <v>0</v>
      </c>
      <c r="H1679" s="31">
        <f t="shared" si="159"/>
        <v>0</v>
      </c>
      <c r="I1679" s="31">
        <f t="shared" si="160"/>
        <v>0</v>
      </c>
      <c r="J1679" s="31">
        <f t="shared" si="161"/>
        <v>0</v>
      </c>
      <c r="M1679" s="33">
        <f t="shared" si="157"/>
        <v>0</v>
      </c>
      <c r="N1679" s="33"/>
    </row>
    <row r="1680" spans="7:14" ht="16.5" customHeight="1">
      <c r="G1680" s="30">
        <f t="shared" si="158"/>
        <v>0</v>
      </c>
      <c r="H1680" s="31">
        <f t="shared" si="159"/>
        <v>0</v>
      </c>
      <c r="I1680" s="31">
        <f t="shared" si="160"/>
        <v>0</v>
      </c>
      <c r="J1680" s="31">
        <f t="shared" si="161"/>
        <v>0</v>
      </c>
      <c r="M1680" s="33">
        <f t="shared" si="157"/>
        <v>0</v>
      </c>
      <c r="N1680" s="33"/>
    </row>
    <row r="1681" spans="7:14" ht="16.5" customHeight="1">
      <c r="G1681" s="30">
        <f t="shared" si="158"/>
        <v>0</v>
      </c>
      <c r="H1681" s="31">
        <f t="shared" si="159"/>
        <v>0</v>
      </c>
      <c r="I1681" s="31">
        <f t="shared" si="160"/>
        <v>0</v>
      </c>
      <c r="J1681" s="31">
        <f t="shared" si="161"/>
        <v>0</v>
      </c>
      <c r="M1681" s="33">
        <f t="shared" si="157"/>
        <v>0</v>
      </c>
      <c r="N1681" s="33"/>
    </row>
    <row r="1682" spans="7:14" ht="16.5" customHeight="1">
      <c r="G1682" s="30">
        <f t="shared" si="158"/>
        <v>0</v>
      </c>
      <c r="H1682" s="31">
        <f t="shared" si="159"/>
        <v>0</v>
      </c>
      <c r="I1682" s="31">
        <f t="shared" si="160"/>
        <v>0</v>
      </c>
      <c r="J1682" s="31">
        <f t="shared" si="161"/>
        <v>0</v>
      </c>
      <c r="M1682" s="33">
        <f t="shared" si="157"/>
        <v>0</v>
      </c>
      <c r="N1682" s="33"/>
    </row>
    <row r="1683" spans="7:14" ht="16.5" customHeight="1">
      <c r="G1683" s="30">
        <f t="shared" si="158"/>
        <v>0</v>
      </c>
      <c r="H1683" s="31">
        <f t="shared" si="159"/>
        <v>0</v>
      </c>
      <c r="I1683" s="31">
        <f t="shared" si="160"/>
        <v>0</v>
      </c>
      <c r="J1683" s="31">
        <f t="shared" si="161"/>
        <v>0</v>
      </c>
      <c r="M1683" s="33">
        <f t="shared" si="157"/>
        <v>0</v>
      </c>
      <c r="N1683" s="33"/>
    </row>
    <row r="1684" spans="7:14" ht="16.5" customHeight="1">
      <c r="G1684" s="30">
        <f t="shared" si="158"/>
        <v>0</v>
      </c>
      <c r="H1684" s="31">
        <f t="shared" si="159"/>
        <v>0</v>
      </c>
      <c r="I1684" s="31">
        <f t="shared" si="160"/>
        <v>0</v>
      </c>
      <c r="J1684" s="31">
        <f t="shared" si="161"/>
        <v>0</v>
      </c>
      <c r="M1684" s="33">
        <f t="shared" si="157"/>
        <v>0</v>
      </c>
      <c r="N1684" s="33"/>
    </row>
    <row r="1685" spans="7:14" ht="16.5" customHeight="1">
      <c r="G1685" s="30">
        <f t="shared" si="158"/>
        <v>0</v>
      </c>
      <c r="H1685" s="31">
        <f t="shared" si="159"/>
        <v>0</v>
      </c>
      <c r="I1685" s="31">
        <f t="shared" si="160"/>
        <v>0</v>
      </c>
      <c r="J1685" s="31">
        <f t="shared" si="161"/>
        <v>0</v>
      </c>
      <c r="M1685" s="33">
        <f t="shared" si="157"/>
        <v>0</v>
      </c>
      <c r="N1685" s="33"/>
    </row>
    <row r="1686" spans="7:14" ht="16.5" customHeight="1">
      <c r="G1686" s="30">
        <f t="shared" si="158"/>
        <v>0</v>
      </c>
      <c r="H1686" s="31">
        <f t="shared" si="159"/>
        <v>0</v>
      </c>
      <c r="I1686" s="31">
        <f t="shared" si="160"/>
        <v>0</v>
      </c>
      <c r="J1686" s="31">
        <f t="shared" si="161"/>
        <v>0</v>
      </c>
      <c r="M1686" s="33">
        <f t="shared" si="157"/>
        <v>0</v>
      </c>
      <c r="N1686" s="33"/>
    </row>
    <row r="1687" spans="7:14" ht="16.5" customHeight="1">
      <c r="G1687" s="30">
        <f t="shared" si="158"/>
        <v>0</v>
      </c>
      <c r="H1687" s="31">
        <f t="shared" si="159"/>
        <v>0</v>
      </c>
      <c r="I1687" s="31">
        <f t="shared" si="160"/>
        <v>0</v>
      </c>
      <c r="J1687" s="31">
        <f t="shared" si="161"/>
        <v>0</v>
      </c>
      <c r="M1687" s="33">
        <f t="shared" si="157"/>
        <v>0</v>
      </c>
      <c r="N1687" s="33"/>
    </row>
    <row r="1688" spans="7:14" ht="16.5" customHeight="1">
      <c r="G1688" s="30">
        <f t="shared" si="158"/>
        <v>0</v>
      </c>
      <c r="H1688" s="31">
        <f t="shared" si="159"/>
        <v>0</v>
      </c>
      <c r="I1688" s="31">
        <f t="shared" si="160"/>
        <v>0</v>
      </c>
      <c r="J1688" s="31">
        <f t="shared" si="161"/>
        <v>0</v>
      </c>
      <c r="M1688" s="33">
        <f t="shared" si="157"/>
        <v>0</v>
      </c>
      <c r="N1688" s="33"/>
    </row>
    <row r="1689" spans="7:14" ht="16.5" customHeight="1">
      <c r="G1689" s="30">
        <f t="shared" si="158"/>
        <v>0</v>
      </c>
      <c r="H1689" s="31">
        <f t="shared" si="159"/>
        <v>0</v>
      </c>
      <c r="I1689" s="31">
        <f t="shared" si="160"/>
        <v>0</v>
      </c>
      <c r="J1689" s="31">
        <f t="shared" si="161"/>
        <v>0</v>
      </c>
      <c r="M1689" s="33">
        <f t="shared" si="157"/>
        <v>0</v>
      </c>
      <c r="N1689" s="33"/>
    </row>
    <row r="1690" spans="7:14" ht="16.5" customHeight="1">
      <c r="G1690" s="30">
        <f t="shared" si="158"/>
        <v>0</v>
      </c>
      <c r="H1690" s="31">
        <f t="shared" si="159"/>
        <v>0</v>
      </c>
      <c r="I1690" s="31">
        <f t="shared" si="160"/>
        <v>0</v>
      </c>
      <c r="J1690" s="31">
        <f t="shared" si="161"/>
        <v>0</v>
      </c>
      <c r="M1690" s="33">
        <f t="shared" si="157"/>
        <v>0</v>
      </c>
      <c r="N1690" s="33"/>
    </row>
    <row r="1691" spans="7:14" ht="16.5" customHeight="1">
      <c r="G1691" s="30">
        <f t="shared" si="158"/>
        <v>0</v>
      </c>
      <c r="H1691" s="31">
        <f t="shared" si="159"/>
        <v>0</v>
      </c>
      <c r="I1691" s="31">
        <f t="shared" si="160"/>
        <v>0</v>
      </c>
      <c r="J1691" s="31">
        <f t="shared" si="161"/>
        <v>0</v>
      </c>
      <c r="M1691" s="33">
        <f t="shared" si="157"/>
        <v>0</v>
      </c>
      <c r="N1691" s="33"/>
    </row>
    <row r="1692" spans="7:14" ht="16.5" customHeight="1">
      <c r="G1692" s="30">
        <f t="shared" si="158"/>
        <v>0</v>
      </c>
      <c r="H1692" s="31">
        <f t="shared" si="159"/>
        <v>0</v>
      </c>
      <c r="I1692" s="31">
        <f t="shared" si="160"/>
        <v>0</v>
      </c>
      <c r="J1692" s="31">
        <f t="shared" si="161"/>
        <v>0</v>
      </c>
      <c r="M1692" s="33">
        <f t="shared" si="157"/>
        <v>0</v>
      </c>
      <c r="N1692" s="33"/>
    </row>
    <row r="1693" spans="7:14" ht="16.5" customHeight="1">
      <c r="G1693" s="30">
        <f t="shared" si="158"/>
        <v>0</v>
      </c>
      <c r="H1693" s="31">
        <f t="shared" si="159"/>
        <v>0</v>
      </c>
      <c r="I1693" s="31">
        <f t="shared" si="160"/>
        <v>0</v>
      </c>
      <c r="J1693" s="31">
        <f t="shared" si="161"/>
        <v>0</v>
      </c>
      <c r="M1693" s="33">
        <f t="shared" si="157"/>
        <v>0</v>
      </c>
      <c r="N1693" s="33"/>
    </row>
    <row r="1694" spans="7:14" ht="16.5" customHeight="1">
      <c r="G1694" s="30">
        <f t="shared" si="158"/>
        <v>0</v>
      </c>
      <c r="H1694" s="31">
        <f t="shared" si="159"/>
        <v>0</v>
      </c>
      <c r="I1694" s="31">
        <f t="shared" si="160"/>
        <v>0</v>
      </c>
      <c r="J1694" s="31">
        <f t="shared" si="161"/>
        <v>0</v>
      </c>
      <c r="M1694" s="33">
        <f t="shared" si="157"/>
        <v>0</v>
      </c>
      <c r="N1694" s="33"/>
    </row>
    <row r="1695" spans="7:14" ht="16.5" customHeight="1">
      <c r="G1695" s="30">
        <f t="shared" si="158"/>
        <v>0</v>
      </c>
      <c r="H1695" s="31">
        <f t="shared" si="159"/>
        <v>0</v>
      </c>
      <c r="I1695" s="31">
        <f t="shared" si="160"/>
        <v>0</v>
      </c>
      <c r="J1695" s="31">
        <f t="shared" si="161"/>
        <v>0</v>
      </c>
      <c r="M1695" s="33">
        <f t="shared" si="157"/>
        <v>0</v>
      </c>
      <c r="N1695" s="33"/>
    </row>
    <row r="1696" spans="7:14" ht="16.5" customHeight="1">
      <c r="G1696" s="30">
        <f t="shared" si="158"/>
        <v>0</v>
      </c>
      <c r="H1696" s="31">
        <f t="shared" si="159"/>
        <v>0</v>
      </c>
      <c r="I1696" s="31">
        <f t="shared" si="160"/>
        <v>0</v>
      </c>
      <c r="J1696" s="31">
        <f t="shared" si="161"/>
        <v>0</v>
      </c>
      <c r="M1696" s="33">
        <f t="shared" si="157"/>
        <v>0</v>
      </c>
      <c r="N1696" s="33"/>
    </row>
    <row r="1697" spans="7:14" ht="16.5" customHeight="1">
      <c r="G1697" s="30">
        <f t="shared" si="158"/>
        <v>0</v>
      </c>
      <c r="H1697" s="31">
        <f t="shared" si="159"/>
        <v>0</v>
      </c>
      <c r="I1697" s="31">
        <f t="shared" si="160"/>
        <v>0</v>
      </c>
      <c r="J1697" s="31">
        <f t="shared" si="161"/>
        <v>0</v>
      </c>
      <c r="M1697" s="33">
        <f t="shared" si="157"/>
        <v>0</v>
      </c>
      <c r="N1697" s="33"/>
    </row>
    <row r="1698" spans="7:14" ht="16.5" customHeight="1">
      <c r="G1698" s="30">
        <f t="shared" si="158"/>
        <v>0</v>
      </c>
      <c r="H1698" s="31">
        <f t="shared" si="159"/>
        <v>0</v>
      </c>
      <c r="I1698" s="31">
        <f t="shared" si="160"/>
        <v>0</v>
      </c>
      <c r="J1698" s="31">
        <f t="shared" si="161"/>
        <v>0</v>
      </c>
      <c r="M1698" s="33">
        <f t="shared" si="157"/>
        <v>0</v>
      </c>
      <c r="N1698" s="33"/>
    </row>
    <row r="1699" spans="7:14" ht="16.5" customHeight="1">
      <c r="G1699" s="30">
        <f t="shared" si="158"/>
        <v>0</v>
      </c>
      <c r="H1699" s="31">
        <f t="shared" si="159"/>
        <v>0</v>
      </c>
      <c r="I1699" s="31">
        <f t="shared" si="160"/>
        <v>0</v>
      </c>
      <c r="J1699" s="31">
        <f t="shared" si="161"/>
        <v>0</v>
      </c>
      <c r="M1699" s="33">
        <f t="shared" si="157"/>
        <v>0</v>
      </c>
      <c r="N1699" s="33"/>
    </row>
    <row r="1700" spans="7:14" ht="16.5" customHeight="1">
      <c r="G1700" s="30">
        <f t="shared" si="158"/>
        <v>0</v>
      </c>
      <c r="H1700" s="31">
        <f t="shared" si="159"/>
        <v>0</v>
      </c>
      <c r="I1700" s="31">
        <f t="shared" si="160"/>
        <v>0</v>
      </c>
      <c r="J1700" s="31">
        <f t="shared" si="161"/>
        <v>0</v>
      </c>
      <c r="M1700" s="33">
        <f t="shared" si="157"/>
        <v>0</v>
      </c>
      <c r="N1700" s="33"/>
    </row>
    <row r="1701" spans="7:14" ht="16.5" customHeight="1">
      <c r="G1701" s="30">
        <f t="shared" si="158"/>
        <v>0</v>
      </c>
      <c r="H1701" s="31">
        <f t="shared" si="159"/>
        <v>0</v>
      </c>
      <c r="I1701" s="31">
        <f t="shared" si="160"/>
        <v>0</v>
      </c>
      <c r="J1701" s="31">
        <f t="shared" si="161"/>
        <v>0</v>
      </c>
      <c r="M1701" s="33">
        <f t="shared" si="157"/>
        <v>0</v>
      </c>
      <c r="N1701" s="33"/>
    </row>
    <row r="1702" spans="7:14" ht="16.5" customHeight="1">
      <c r="G1702" s="30">
        <f t="shared" si="158"/>
        <v>0</v>
      </c>
      <c r="H1702" s="31">
        <f t="shared" si="159"/>
        <v>0</v>
      </c>
      <c r="I1702" s="31">
        <f t="shared" si="160"/>
        <v>0</v>
      </c>
      <c r="J1702" s="31">
        <f t="shared" si="161"/>
        <v>0</v>
      </c>
      <c r="M1702" s="33">
        <f t="shared" si="157"/>
        <v>0</v>
      </c>
      <c r="N1702" s="33"/>
    </row>
    <row r="1703" spans="7:14" ht="16.5" customHeight="1">
      <c r="G1703" s="30">
        <f t="shared" si="158"/>
        <v>0</v>
      </c>
      <c r="H1703" s="31">
        <f t="shared" si="159"/>
        <v>0</v>
      </c>
      <c r="I1703" s="31">
        <f t="shared" si="160"/>
        <v>0</v>
      </c>
      <c r="J1703" s="31">
        <f t="shared" si="161"/>
        <v>0</v>
      </c>
      <c r="M1703" s="33">
        <f t="shared" si="157"/>
        <v>0</v>
      </c>
      <c r="N1703" s="33"/>
    </row>
    <row r="1704" spans="7:14" ht="16.5" customHeight="1">
      <c r="G1704" s="30">
        <f t="shared" si="158"/>
        <v>0</v>
      </c>
      <c r="H1704" s="31">
        <f t="shared" si="159"/>
        <v>0</v>
      </c>
      <c r="I1704" s="31">
        <f t="shared" si="160"/>
        <v>0</v>
      </c>
      <c r="J1704" s="31">
        <f t="shared" si="161"/>
        <v>0</v>
      </c>
      <c r="M1704" s="33">
        <f t="shared" si="157"/>
        <v>0</v>
      </c>
      <c r="N1704" s="33"/>
    </row>
    <row r="1705" spans="7:14" ht="16.5" customHeight="1">
      <c r="G1705" s="30">
        <f t="shared" si="158"/>
        <v>0</v>
      </c>
      <c r="H1705" s="31">
        <f t="shared" si="159"/>
        <v>0</v>
      </c>
      <c r="I1705" s="31">
        <f t="shared" si="160"/>
        <v>0</v>
      </c>
      <c r="J1705" s="31">
        <f t="shared" si="161"/>
        <v>0</v>
      </c>
      <c r="M1705" s="33">
        <f t="shared" si="157"/>
        <v>0</v>
      </c>
      <c r="N1705" s="33"/>
    </row>
    <row r="1706" spans="7:14" ht="16.5" customHeight="1">
      <c r="G1706" s="30">
        <f t="shared" si="158"/>
        <v>0</v>
      </c>
      <c r="H1706" s="31">
        <f t="shared" si="159"/>
        <v>0</v>
      </c>
      <c r="I1706" s="31">
        <f t="shared" si="160"/>
        <v>0</v>
      </c>
      <c r="J1706" s="31">
        <f t="shared" si="161"/>
        <v>0</v>
      </c>
      <c r="M1706" s="33">
        <f t="shared" si="157"/>
        <v>0</v>
      </c>
      <c r="N1706" s="33"/>
    </row>
    <row r="1707" spans="7:14" ht="16.5" customHeight="1">
      <c r="G1707" s="30">
        <f t="shared" si="158"/>
        <v>0</v>
      </c>
      <c r="H1707" s="31">
        <f t="shared" si="159"/>
        <v>0</v>
      </c>
      <c r="I1707" s="31">
        <f t="shared" si="160"/>
        <v>0</v>
      </c>
      <c r="J1707" s="31">
        <f t="shared" si="161"/>
        <v>0</v>
      </c>
      <c r="M1707" s="33">
        <f t="shared" si="157"/>
        <v>0</v>
      </c>
      <c r="N1707" s="33"/>
    </row>
    <row r="1708" spans="7:14" ht="16.5" customHeight="1">
      <c r="G1708" s="30">
        <f t="shared" si="158"/>
        <v>0</v>
      </c>
      <c r="H1708" s="31">
        <f t="shared" si="159"/>
        <v>0</v>
      </c>
      <c r="I1708" s="31">
        <f t="shared" si="160"/>
        <v>0</v>
      </c>
      <c r="J1708" s="31">
        <f t="shared" si="161"/>
        <v>0</v>
      </c>
      <c r="M1708" s="33">
        <f t="shared" si="157"/>
        <v>0</v>
      </c>
      <c r="N1708" s="33"/>
    </row>
    <row r="1709" spans="7:14" ht="16.5" customHeight="1">
      <c r="G1709" s="30">
        <f t="shared" si="158"/>
        <v>0</v>
      </c>
      <c r="H1709" s="31">
        <f t="shared" si="159"/>
        <v>0</v>
      </c>
      <c r="I1709" s="31">
        <f t="shared" si="160"/>
        <v>0</v>
      </c>
      <c r="J1709" s="31">
        <f t="shared" si="161"/>
        <v>0</v>
      </c>
      <c r="M1709" s="33">
        <f t="shared" si="157"/>
        <v>0</v>
      </c>
      <c r="N1709" s="33"/>
    </row>
    <row r="1710" spans="7:14" ht="16.5" customHeight="1">
      <c r="G1710" s="30">
        <f t="shared" si="158"/>
        <v>0</v>
      </c>
      <c r="H1710" s="31">
        <f t="shared" si="159"/>
        <v>0</v>
      </c>
      <c r="I1710" s="31">
        <f t="shared" si="160"/>
        <v>0</v>
      </c>
      <c r="J1710" s="31">
        <f t="shared" si="161"/>
        <v>0</v>
      </c>
      <c r="M1710" s="33">
        <f t="shared" si="157"/>
        <v>0</v>
      </c>
      <c r="N1710" s="33"/>
    </row>
    <row r="1711" spans="7:14" ht="16.5" customHeight="1">
      <c r="G1711" s="30">
        <f t="shared" si="158"/>
        <v>0</v>
      </c>
      <c r="H1711" s="31">
        <f t="shared" si="159"/>
        <v>0</v>
      </c>
      <c r="I1711" s="31">
        <f t="shared" si="160"/>
        <v>0</v>
      </c>
      <c r="J1711" s="31">
        <f t="shared" si="161"/>
        <v>0</v>
      </c>
      <c r="M1711" s="33">
        <f t="shared" si="157"/>
        <v>0</v>
      </c>
      <c r="N1711" s="33"/>
    </row>
    <row r="1712" spans="7:14" ht="16.5" customHeight="1">
      <c r="G1712" s="30">
        <f t="shared" si="158"/>
        <v>0</v>
      </c>
      <c r="H1712" s="31">
        <f t="shared" si="159"/>
        <v>0</v>
      </c>
      <c r="I1712" s="31">
        <f t="shared" si="160"/>
        <v>0</v>
      </c>
      <c r="J1712" s="31">
        <f t="shared" si="161"/>
        <v>0</v>
      </c>
      <c r="M1712" s="33">
        <f t="shared" si="157"/>
        <v>0</v>
      </c>
      <c r="N1712" s="33"/>
    </row>
    <row r="1713" spans="7:14" ht="16.5" customHeight="1">
      <c r="G1713" s="30">
        <f t="shared" si="158"/>
        <v>0</v>
      </c>
      <c r="H1713" s="31">
        <f t="shared" si="159"/>
        <v>0</v>
      </c>
      <c r="I1713" s="31">
        <f t="shared" si="160"/>
        <v>0</v>
      </c>
      <c r="J1713" s="31">
        <f t="shared" si="161"/>
        <v>0</v>
      </c>
      <c r="M1713" s="33">
        <f t="shared" si="157"/>
        <v>0</v>
      </c>
      <c r="N1713" s="33"/>
    </row>
    <row r="1714" spans="7:14" ht="16.5" customHeight="1">
      <c r="G1714" s="30">
        <f t="shared" si="158"/>
        <v>0</v>
      </c>
      <c r="H1714" s="31">
        <f t="shared" si="159"/>
        <v>0</v>
      </c>
      <c r="I1714" s="31">
        <f t="shared" si="160"/>
        <v>0</v>
      </c>
      <c r="J1714" s="31">
        <f t="shared" si="161"/>
        <v>0</v>
      </c>
      <c r="M1714" s="33">
        <f t="shared" si="157"/>
        <v>0</v>
      </c>
      <c r="N1714" s="33"/>
    </row>
    <row r="1715" spans="7:14" ht="16.5" customHeight="1">
      <c r="G1715" s="30">
        <f t="shared" si="158"/>
        <v>0</v>
      </c>
      <c r="H1715" s="31">
        <f t="shared" si="159"/>
        <v>0</v>
      </c>
      <c r="I1715" s="31">
        <f t="shared" si="160"/>
        <v>0</v>
      </c>
      <c r="J1715" s="31">
        <f t="shared" si="161"/>
        <v>0</v>
      </c>
      <c r="M1715" s="33">
        <f t="shared" si="157"/>
        <v>0</v>
      </c>
      <c r="N1715" s="33"/>
    </row>
    <row r="1716" spans="7:14" ht="16.5" customHeight="1">
      <c r="G1716" s="30">
        <f t="shared" si="158"/>
        <v>0</v>
      </c>
      <c r="H1716" s="31">
        <f t="shared" si="159"/>
        <v>0</v>
      </c>
      <c r="I1716" s="31">
        <f t="shared" si="160"/>
        <v>0</v>
      </c>
      <c r="J1716" s="31">
        <f t="shared" si="161"/>
        <v>0</v>
      </c>
      <c r="M1716" s="33">
        <f t="shared" si="157"/>
        <v>0</v>
      </c>
      <c r="N1716" s="33"/>
    </row>
    <row r="1717" spans="7:14" ht="16.5" customHeight="1">
      <c r="G1717" s="30">
        <f t="shared" si="158"/>
        <v>0</v>
      </c>
      <c r="H1717" s="31">
        <f t="shared" si="159"/>
        <v>0</v>
      </c>
      <c r="I1717" s="31">
        <f t="shared" si="160"/>
        <v>0</v>
      </c>
      <c r="J1717" s="31">
        <f t="shared" si="161"/>
        <v>0</v>
      </c>
      <c r="M1717" s="33">
        <f t="shared" si="157"/>
        <v>0</v>
      </c>
      <c r="N1717" s="33"/>
    </row>
    <row r="1718" spans="7:14" ht="16.5" customHeight="1">
      <c r="G1718" s="30">
        <f t="shared" si="158"/>
        <v>0</v>
      </c>
      <c r="H1718" s="31">
        <f t="shared" si="159"/>
        <v>0</v>
      </c>
      <c r="I1718" s="31">
        <f t="shared" si="160"/>
        <v>0</v>
      </c>
      <c r="J1718" s="31">
        <f t="shared" si="161"/>
        <v>0</v>
      </c>
      <c r="M1718" s="33">
        <f t="shared" si="157"/>
        <v>0</v>
      </c>
      <c r="N1718" s="33"/>
    </row>
    <row r="1719" spans="7:14" ht="16.5" customHeight="1">
      <c r="G1719" s="30">
        <f t="shared" si="158"/>
        <v>0</v>
      </c>
      <c r="H1719" s="31">
        <f t="shared" si="159"/>
        <v>0</v>
      </c>
      <c r="I1719" s="31">
        <f t="shared" si="160"/>
        <v>0</v>
      </c>
      <c r="J1719" s="31">
        <f t="shared" si="161"/>
        <v>0</v>
      </c>
      <c r="M1719" s="33">
        <f t="shared" si="157"/>
        <v>0</v>
      </c>
      <c r="N1719" s="33"/>
    </row>
    <row r="1720" spans="7:14" ht="16.5" customHeight="1">
      <c r="G1720" s="30">
        <f t="shared" si="158"/>
        <v>0</v>
      </c>
      <c r="H1720" s="31">
        <f t="shared" si="159"/>
        <v>0</v>
      </c>
      <c r="I1720" s="31">
        <f t="shared" si="160"/>
        <v>0</v>
      </c>
      <c r="J1720" s="31">
        <f t="shared" si="161"/>
        <v>0</v>
      </c>
      <c r="M1720" s="33">
        <f t="shared" si="157"/>
        <v>0</v>
      </c>
      <c r="N1720" s="33"/>
    </row>
    <row r="1721" spans="7:14" ht="16.5" customHeight="1">
      <c r="G1721" s="30">
        <f t="shared" si="158"/>
        <v>0</v>
      </c>
      <c r="H1721" s="31">
        <f t="shared" si="159"/>
        <v>0</v>
      </c>
      <c r="I1721" s="31">
        <f t="shared" si="160"/>
        <v>0</v>
      </c>
      <c r="J1721" s="31">
        <f t="shared" si="161"/>
        <v>0</v>
      </c>
      <c r="M1721" s="33">
        <f t="shared" si="157"/>
        <v>0</v>
      </c>
      <c r="N1721" s="33"/>
    </row>
    <row r="1722" spans="7:14" ht="16.5" customHeight="1">
      <c r="G1722" s="30">
        <f t="shared" si="158"/>
        <v>0</v>
      </c>
      <c r="H1722" s="31">
        <f t="shared" si="159"/>
        <v>0</v>
      </c>
      <c r="I1722" s="31">
        <f t="shared" si="160"/>
        <v>0</v>
      </c>
      <c r="J1722" s="31">
        <f t="shared" si="161"/>
        <v>0</v>
      </c>
      <c r="M1722" s="33">
        <f t="shared" si="157"/>
        <v>0</v>
      </c>
      <c r="N1722" s="33"/>
    </row>
    <row r="1723" spans="7:14" ht="16.5" customHeight="1">
      <c r="G1723" s="30">
        <f t="shared" si="158"/>
        <v>0</v>
      </c>
      <c r="H1723" s="31">
        <f t="shared" si="159"/>
        <v>0</v>
      </c>
      <c r="I1723" s="31">
        <f t="shared" si="160"/>
        <v>0</v>
      </c>
      <c r="J1723" s="31">
        <f t="shared" si="161"/>
        <v>0</v>
      </c>
      <c r="M1723" s="33">
        <f t="shared" si="157"/>
        <v>0</v>
      </c>
      <c r="N1723" s="33"/>
    </row>
    <row r="1724" spans="7:14" ht="16.5" customHeight="1">
      <c r="G1724" s="30">
        <f t="shared" si="158"/>
        <v>0</v>
      </c>
      <c r="H1724" s="31">
        <f t="shared" si="159"/>
        <v>0</v>
      </c>
      <c r="I1724" s="31">
        <f t="shared" si="160"/>
        <v>0</v>
      </c>
      <c r="J1724" s="31">
        <f t="shared" si="161"/>
        <v>0</v>
      </c>
      <c r="M1724" s="33">
        <f t="shared" si="157"/>
        <v>0</v>
      </c>
      <c r="N1724" s="33"/>
    </row>
    <row r="1725" spans="7:14" ht="16.5" customHeight="1">
      <c r="G1725" s="30">
        <f t="shared" si="158"/>
        <v>0</v>
      </c>
      <c r="H1725" s="31">
        <f t="shared" si="159"/>
        <v>0</v>
      </c>
      <c r="I1725" s="31">
        <f t="shared" si="160"/>
        <v>0</v>
      </c>
      <c r="J1725" s="31">
        <f t="shared" si="161"/>
        <v>0</v>
      </c>
      <c r="M1725" s="33">
        <f t="shared" si="157"/>
        <v>0</v>
      </c>
      <c r="N1725" s="33"/>
    </row>
    <row r="1726" spans="7:14" ht="16.5" customHeight="1">
      <c r="G1726" s="30">
        <f t="shared" si="158"/>
        <v>0</v>
      </c>
      <c r="H1726" s="31">
        <f t="shared" si="159"/>
        <v>0</v>
      </c>
      <c r="I1726" s="31">
        <f t="shared" si="160"/>
        <v>0</v>
      </c>
      <c r="J1726" s="31">
        <f t="shared" si="161"/>
        <v>0</v>
      </c>
      <c r="M1726" s="33">
        <f t="shared" ref="M1726:M1789" si="162">IF(P1726="TL tuyệt đối",0, IF(K1726&lt;5,0,IF(K1726&lt;50,K1726*9%,IF(K1726&lt;100,4.5,IF(K1726&lt;200,4.5%*K1726,IF(K1726&lt;300,9,IF(K1726&lt;500,K1726*3%,IF(K1726&lt;1000,15,))))))))</f>
        <v>0</v>
      </c>
      <c r="N1726" s="33"/>
    </row>
    <row r="1727" spans="7:14" ht="16.5" customHeight="1">
      <c r="G1727" s="30">
        <f t="shared" si="158"/>
        <v>0</v>
      </c>
      <c r="H1727" s="31">
        <f t="shared" si="159"/>
        <v>0</v>
      </c>
      <c r="I1727" s="31">
        <f t="shared" si="160"/>
        <v>0</v>
      </c>
      <c r="J1727" s="31">
        <f t="shared" si="161"/>
        <v>0</v>
      </c>
      <c r="M1727" s="33">
        <f t="shared" si="162"/>
        <v>0</v>
      </c>
      <c r="N1727" s="33"/>
    </row>
    <row r="1728" spans="7:14" ht="16.5" customHeight="1">
      <c r="G1728" s="30">
        <f t="shared" ref="G1728:G1791" si="163">IF(P1728="TL tuyệt đối",K1728*103%,K1728+1/3*M1728)</f>
        <v>0</v>
      </c>
      <c r="H1728" s="31">
        <f t="shared" ref="H1728:H1791" si="164">IF(P1728="TL tuyệt đối",K1728*101%,K1728-1/3*M1728)</f>
        <v>0</v>
      </c>
      <c r="I1728" s="31">
        <f t="shared" ref="I1728:I1791" si="165">IF(P1728="TL tuyệt đối", K1728*105%,K1728+M1728)</f>
        <v>0</v>
      </c>
      <c r="J1728" s="31">
        <f t="shared" si="161"/>
        <v>0</v>
      </c>
      <c r="M1728" s="33">
        <f t="shared" si="162"/>
        <v>0</v>
      </c>
      <c r="N1728" s="33"/>
    </row>
    <row r="1729" spans="7:14" ht="16.5" customHeight="1">
      <c r="G1729" s="30">
        <f t="shared" si="163"/>
        <v>0</v>
      </c>
      <c r="H1729" s="31">
        <f t="shared" si="164"/>
        <v>0</v>
      </c>
      <c r="I1729" s="31">
        <f t="shared" si="165"/>
        <v>0</v>
      </c>
      <c r="J1729" s="31">
        <f t="shared" si="161"/>
        <v>0</v>
      </c>
      <c r="M1729" s="33">
        <f t="shared" si="162"/>
        <v>0</v>
      </c>
      <c r="N1729" s="33"/>
    </row>
    <row r="1730" spans="7:14" ht="16.5" customHeight="1">
      <c r="G1730" s="30">
        <f t="shared" si="163"/>
        <v>0</v>
      </c>
      <c r="H1730" s="31">
        <f t="shared" si="164"/>
        <v>0</v>
      </c>
      <c r="I1730" s="31">
        <f t="shared" si="165"/>
        <v>0</v>
      </c>
      <c r="J1730" s="31">
        <f t="shared" si="161"/>
        <v>0</v>
      </c>
      <c r="M1730" s="33">
        <f t="shared" si="162"/>
        <v>0</v>
      </c>
      <c r="N1730" s="33"/>
    </row>
    <row r="1731" spans="7:14" ht="16.5" customHeight="1">
      <c r="G1731" s="30">
        <f t="shared" si="163"/>
        <v>0</v>
      </c>
      <c r="H1731" s="31">
        <f t="shared" si="164"/>
        <v>0</v>
      </c>
      <c r="I1731" s="31">
        <f t="shared" si="165"/>
        <v>0</v>
      </c>
      <c r="J1731" s="31">
        <f t="shared" si="161"/>
        <v>0</v>
      </c>
      <c r="M1731" s="33">
        <f t="shared" si="162"/>
        <v>0</v>
      </c>
      <c r="N1731" s="33"/>
    </row>
    <row r="1732" spans="7:14" ht="16.5" customHeight="1">
      <c r="G1732" s="30">
        <f t="shared" si="163"/>
        <v>0</v>
      </c>
      <c r="H1732" s="31">
        <f t="shared" si="164"/>
        <v>0</v>
      </c>
      <c r="I1732" s="31">
        <f t="shared" si="165"/>
        <v>0</v>
      </c>
      <c r="J1732" s="31">
        <f t="shared" ref="J1732:J1795" si="166">K1732-M1732</f>
        <v>0</v>
      </c>
      <c r="M1732" s="33">
        <f t="shared" si="162"/>
        <v>0</v>
      </c>
      <c r="N1732" s="33"/>
    </row>
    <row r="1733" spans="7:14" ht="16.5" customHeight="1">
      <c r="G1733" s="30">
        <f t="shared" si="163"/>
        <v>0</v>
      </c>
      <c r="H1733" s="31">
        <f t="shared" si="164"/>
        <v>0</v>
      </c>
      <c r="I1733" s="31">
        <f t="shared" si="165"/>
        <v>0</v>
      </c>
      <c r="J1733" s="31">
        <f t="shared" si="166"/>
        <v>0</v>
      </c>
      <c r="M1733" s="33">
        <f t="shared" si="162"/>
        <v>0</v>
      </c>
      <c r="N1733" s="33"/>
    </row>
    <row r="1734" spans="7:14" ht="16.5" customHeight="1">
      <c r="G1734" s="30">
        <f t="shared" si="163"/>
        <v>0</v>
      </c>
      <c r="H1734" s="31">
        <f t="shared" si="164"/>
        <v>0</v>
      </c>
      <c r="I1734" s="31">
        <f t="shared" si="165"/>
        <v>0</v>
      </c>
      <c r="J1734" s="31">
        <f t="shared" si="166"/>
        <v>0</v>
      </c>
      <c r="M1734" s="33">
        <f t="shared" si="162"/>
        <v>0</v>
      </c>
      <c r="N1734" s="33"/>
    </row>
    <row r="1735" spans="7:14" ht="16.5" customHeight="1">
      <c r="G1735" s="30">
        <f t="shared" si="163"/>
        <v>0</v>
      </c>
      <c r="H1735" s="31">
        <f t="shared" si="164"/>
        <v>0</v>
      </c>
      <c r="I1735" s="31">
        <f t="shared" si="165"/>
        <v>0</v>
      </c>
      <c r="J1735" s="31">
        <f t="shared" si="166"/>
        <v>0</v>
      </c>
      <c r="M1735" s="33">
        <f t="shared" si="162"/>
        <v>0</v>
      </c>
      <c r="N1735" s="33"/>
    </row>
    <row r="1736" spans="7:14" ht="16.5" customHeight="1">
      <c r="G1736" s="30">
        <f t="shared" si="163"/>
        <v>0</v>
      </c>
      <c r="H1736" s="31">
        <f t="shared" si="164"/>
        <v>0</v>
      </c>
      <c r="I1736" s="31">
        <f t="shared" si="165"/>
        <v>0</v>
      </c>
      <c r="J1736" s="31">
        <f t="shared" si="166"/>
        <v>0</v>
      </c>
      <c r="M1736" s="33">
        <f t="shared" si="162"/>
        <v>0</v>
      </c>
      <c r="N1736" s="33"/>
    </row>
    <row r="1737" spans="7:14" ht="16.5" customHeight="1">
      <c r="G1737" s="30">
        <f t="shared" si="163"/>
        <v>0</v>
      </c>
      <c r="H1737" s="31">
        <f t="shared" si="164"/>
        <v>0</v>
      </c>
      <c r="I1737" s="31">
        <f t="shared" si="165"/>
        <v>0</v>
      </c>
      <c r="J1737" s="31">
        <f t="shared" si="166"/>
        <v>0</v>
      </c>
      <c r="M1737" s="33">
        <f t="shared" si="162"/>
        <v>0</v>
      </c>
      <c r="N1737" s="33"/>
    </row>
    <row r="1738" spans="7:14" ht="16.5" customHeight="1">
      <c r="G1738" s="30">
        <f t="shared" si="163"/>
        <v>0</v>
      </c>
      <c r="H1738" s="31">
        <f t="shared" si="164"/>
        <v>0</v>
      </c>
      <c r="I1738" s="31">
        <f t="shared" si="165"/>
        <v>0</v>
      </c>
      <c r="J1738" s="31">
        <f t="shared" si="166"/>
        <v>0</v>
      </c>
      <c r="M1738" s="33">
        <f t="shared" si="162"/>
        <v>0</v>
      </c>
      <c r="N1738" s="33"/>
    </row>
    <row r="1739" spans="7:14" ht="16.5" customHeight="1">
      <c r="G1739" s="30">
        <f t="shared" si="163"/>
        <v>0</v>
      </c>
      <c r="H1739" s="31">
        <f t="shared" si="164"/>
        <v>0</v>
      </c>
      <c r="I1739" s="31">
        <f t="shared" si="165"/>
        <v>0</v>
      </c>
      <c r="J1739" s="31">
        <f t="shared" si="166"/>
        <v>0</v>
      </c>
      <c r="M1739" s="33">
        <f t="shared" si="162"/>
        <v>0</v>
      </c>
      <c r="N1739" s="33"/>
    </row>
    <row r="1740" spans="7:14" ht="16.5" customHeight="1">
      <c r="G1740" s="30">
        <f t="shared" si="163"/>
        <v>0</v>
      </c>
      <c r="H1740" s="31">
        <f t="shared" si="164"/>
        <v>0</v>
      </c>
      <c r="I1740" s="31">
        <f t="shared" si="165"/>
        <v>0</v>
      </c>
      <c r="J1740" s="31">
        <f t="shared" si="166"/>
        <v>0</v>
      </c>
      <c r="M1740" s="33">
        <f t="shared" si="162"/>
        <v>0</v>
      </c>
      <c r="N1740" s="33"/>
    </row>
    <row r="1741" spans="7:14" ht="16.5" customHeight="1">
      <c r="G1741" s="30">
        <f t="shared" si="163"/>
        <v>0</v>
      </c>
      <c r="H1741" s="31">
        <f t="shared" si="164"/>
        <v>0</v>
      </c>
      <c r="I1741" s="31">
        <f t="shared" si="165"/>
        <v>0</v>
      </c>
      <c r="J1741" s="31">
        <f t="shared" si="166"/>
        <v>0</v>
      </c>
      <c r="M1741" s="33">
        <f t="shared" si="162"/>
        <v>0</v>
      </c>
      <c r="N1741" s="33"/>
    </row>
    <row r="1742" spans="7:14" ht="16.5" customHeight="1">
      <c r="G1742" s="30">
        <f t="shared" si="163"/>
        <v>0</v>
      </c>
      <c r="H1742" s="31">
        <f t="shared" si="164"/>
        <v>0</v>
      </c>
      <c r="I1742" s="31">
        <f t="shared" si="165"/>
        <v>0</v>
      </c>
      <c r="J1742" s="31">
        <f t="shared" si="166"/>
        <v>0</v>
      </c>
      <c r="M1742" s="33">
        <f t="shared" si="162"/>
        <v>0</v>
      </c>
      <c r="N1742" s="33"/>
    </row>
    <row r="1743" spans="7:14" ht="16.5" customHeight="1">
      <c r="G1743" s="30">
        <f t="shared" si="163"/>
        <v>0</v>
      </c>
      <c r="H1743" s="31">
        <f t="shared" si="164"/>
        <v>0</v>
      </c>
      <c r="I1743" s="31">
        <f t="shared" si="165"/>
        <v>0</v>
      </c>
      <c r="J1743" s="31">
        <f t="shared" si="166"/>
        <v>0</v>
      </c>
      <c r="M1743" s="33">
        <f t="shared" si="162"/>
        <v>0</v>
      </c>
      <c r="N1743" s="33"/>
    </row>
    <row r="1744" spans="7:14" ht="16.5" customHeight="1">
      <c r="G1744" s="30">
        <f t="shared" si="163"/>
        <v>0</v>
      </c>
      <c r="H1744" s="31">
        <f t="shared" si="164"/>
        <v>0</v>
      </c>
      <c r="I1744" s="31">
        <f t="shared" si="165"/>
        <v>0</v>
      </c>
      <c r="J1744" s="31">
        <f t="shared" si="166"/>
        <v>0</v>
      </c>
      <c r="M1744" s="33">
        <f t="shared" si="162"/>
        <v>0</v>
      </c>
      <c r="N1744" s="33"/>
    </row>
    <row r="1745" spans="7:14" ht="16.5" customHeight="1">
      <c r="G1745" s="30">
        <f t="shared" si="163"/>
        <v>0</v>
      </c>
      <c r="H1745" s="31">
        <f t="shared" si="164"/>
        <v>0</v>
      </c>
      <c r="I1745" s="31">
        <f t="shared" si="165"/>
        <v>0</v>
      </c>
      <c r="J1745" s="31">
        <f t="shared" si="166"/>
        <v>0</v>
      </c>
      <c r="M1745" s="33">
        <f t="shared" si="162"/>
        <v>0</v>
      </c>
      <c r="N1745" s="33"/>
    </row>
    <row r="1746" spans="7:14" ht="16.5" customHeight="1">
      <c r="G1746" s="30">
        <f t="shared" si="163"/>
        <v>0</v>
      </c>
      <c r="H1746" s="31">
        <f t="shared" si="164"/>
        <v>0</v>
      </c>
      <c r="I1746" s="31">
        <f t="shared" si="165"/>
        <v>0</v>
      </c>
      <c r="J1746" s="31">
        <f t="shared" si="166"/>
        <v>0</v>
      </c>
      <c r="M1746" s="33">
        <f t="shared" si="162"/>
        <v>0</v>
      </c>
      <c r="N1746" s="33"/>
    </row>
    <row r="1747" spans="7:14" ht="16.5" customHeight="1">
      <c r="G1747" s="30">
        <f t="shared" si="163"/>
        <v>0</v>
      </c>
      <c r="H1747" s="31">
        <f t="shared" si="164"/>
        <v>0</v>
      </c>
      <c r="I1747" s="31">
        <f t="shared" si="165"/>
        <v>0</v>
      </c>
      <c r="J1747" s="31">
        <f t="shared" si="166"/>
        <v>0</v>
      </c>
      <c r="M1747" s="33">
        <f t="shared" si="162"/>
        <v>0</v>
      </c>
      <c r="N1747" s="33"/>
    </row>
    <row r="1748" spans="7:14" ht="16.5" customHeight="1">
      <c r="G1748" s="30">
        <f t="shared" si="163"/>
        <v>0</v>
      </c>
      <c r="H1748" s="31">
        <f t="shared" si="164"/>
        <v>0</v>
      </c>
      <c r="I1748" s="31">
        <f t="shared" si="165"/>
        <v>0</v>
      </c>
      <c r="J1748" s="31">
        <f t="shared" si="166"/>
        <v>0</v>
      </c>
      <c r="M1748" s="33">
        <f t="shared" si="162"/>
        <v>0</v>
      </c>
      <c r="N1748" s="33"/>
    </row>
    <row r="1749" spans="7:14" ht="16.5" customHeight="1">
      <c r="G1749" s="30">
        <f t="shared" si="163"/>
        <v>0</v>
      </c>
      <c r="H1749" s="31">
        <f t="shared" si="164"/>
        <v>0</v>
      </c>
      <c r="I1749" s="31">
        <f t="shared" si="165"/>
        <v>0</v>
      </c>
      <c r="J1749" s="31">
        <f t="shared" si="166"/>
        <v>0</v>
      </c>
      <c r="M1749" s="33">
        <f t="shared" si="162"/>
        <v>0</v>
      </c>
      <c r="N1749" s="33"/>
    </row>
    <row r="1750" spans="7:14" ht="16.5" customHeight="1">
      <c r="G1750" s="30">
        <f t="shared" si="163"/>
        <v>0</v>
      </c>
      <c r="H1750" s="31">
        <f t="shared" si="164"/>
        <v>0</v>
      </c>
      <c r="I1750" s="31">
        <f t="shared" si="165"/>
        <v>0</v>
      </c>
      <c r="J1750" s="31">
        <f t="shared" si="166"/>
        <v>0</v>
      </c>
      <c r="M1750" s="33">
        <f t="shared" si="162"/>
        <v>0</v>
      </c>
      <c r="N1750" s="33"/>
    </row>
    <row r="1751" spans="7:14" ht="16.5" customHeight="1">
      <c r="G1751" s="30">
        <f t="shared" si="163"/>
        <v>0</v>
      </c>
      <c r="H1751" s="31">
        <f t="shared" si="164"/>
        <v>0</v>
      </c>
      <c r="I1751" s="31">
        <f t="shared" si="165"/>
        <v>0</v>
      </c>
      <c r="J1751" s="31">
        <f t="shared" si="166"/>
        <v>0</v>
      </c>
      <c r="M1751" s="33">
        <f t="shared" si="162"/>
        <v>0</v>
      </c>
      <c r="N1751" s="33"/>
    </row>
    <row r="1752" spans="7:14" ht="16.5" customHeight="1">
      <c r="G1752" s="30">
        <f t="shared" si="163"/>
        <v>0</v>
      </c>
      <c r="H1752" s="31">
        <f t="shared" si="164"/>
        <v>0</v>
      </c>
      <c r="I1752" s="31">
        <f t="shared" si="165"/>
        <v>0</v>
      </c>
      <c r="J1752" s="31">
        <f t="shared" si="166"/>
        <v>0</v>
      </c>
      <c r="M1752" s="33">
        <f t="shared" si="162"/>
        <v>0</v>
      </c>
      <c r="N1752" s="33"/>
    </row>
    <row r="1753" spans="7:14" ht="16.5" customHeight="1">
      <c r="G1753" s="30">
        <f t="shared" si="163"/>
        <v>0</v>
      </c>
      <c r="H1753" s="31">
        <f t="shared" si="164"/>
        <v>0</v>
      </c>
      <c r="I1753" s="31">
        <f t="shared" si="165"/>
        <v>0</v>
      </c>
      <c r="J1753" s="31">
        <f t="shared" si="166"/>
        <v>0</v>
      </c>
      <c r="M1753" s="33">
        <f t="shared" si="162"/>
        <v>0</v>
      </c>
      <c r="N1753" s="33"/>
    </row>
    <row r="1754" spans="7:14" ht="16.5" customHeight="1">
      <c r="G1754" s="30">
        <f t="shared" si="163"/>
        <v>0</v>
      </c>
      <c r="H1754" s="31">
        <f t="shared" si="164"/>
        <v>0</v>
      </c>
      <c r="I1754" s="31">
        <f t="shared" si="165"/>
        <v>0</v>
      </c>
      <c r="J1754" s="31">
        <f t="shared" si="166"/>
        <v>0</v>
      </c>
      <c r="M1754" s="33">
        <f t="shared" si="162"/>
        <v>0</v>
      </c>
      <c r="N1754" s="33"/>
    </row>
    <row r="1755" spans="7:14" ht="16.5" customHeight="1">
      <c r="G1755" s="30">
        <f t="shared" si="163"/>
        <v>0</v>
      </c>
      <c r="H1755" s="31">
        <f t="shared" si="164"/>
        <v>0</v>
      </c>
      <c r="I1755" s="31">
        <f t="shared" si="165"/>
        <v>0</v>
      </c>
      <c r="J1755" s="31">
        <f t="shared" si="166"/>
        <v>0</v>
      </c>
      <c r="M1755" s="33">
        <f t="shared" si="162"/>
        <v>0</v>
      </c>
      <c r="N1755" s="33"/>
    </row>
    <row r="1756" spans="7:14" ht="16.5" customHeight="1">
      <c r="G1756" s="30">
        <f t="shared" si="163"/>
        <v>0</v>
      </c>
      <c r="H1756" s="31">
        <f t="shared" si="164"/>
        <v>0</v>
      </c>
      <c r="I1756" s="31">
        <f t="shared" si="165"/>
        <v>0</v>
      </c>
      <c r="J1756" s="31">
        <f t="shared" si="166"/>
        <v>0</v>
      </c>
      <c r="M1756" s="33">
        <f t="shared" si="162"/>
        <v>0</v>
      </c>
      <c r="N1756" s="33"/>
    </row>
    <row r="1757" spans="7:14" ht="16.5" customHeight="1">
      <c r="G1757" s="30">
        <f t="shared" si="163"/>
        <v>0</v>
      </c>
      <c r="H1757" s="31">
        <f t="shared" si="164"/>
        <v>0</v>
      </c>
      <c r="I1757" s="31">
        <f t="shared" si="165"/>
        <v>0</v>
      </c>
      <c r="J1757" s="31">
        <f t="shared" si="166"/>
        <v>0</v>
      </c>
      <c r="M1757" s="33">
        <f t="shared" si="162"/>
        <v>0</v>
      </c>
      <c r="N1757" s="33"/>
    </row>
    <row r="1758" spans="7:14" ht="16.5" customHeight="1">
      <c r="G1758" s="30">
        <f t="shared" si="163"/>
        <v>0</v>
      </c>
      <c r="H1758" s="31">
        <f t="shared" si="164"/>
        <v>0</v>
      </c>
      <c r="I1758" s="31">
        <f t="shared" si="165"/>
        <v>0</v>
      </c>
      <c r="J1758" s="31">
        <f t="shared" si="166"/>
        <v>0</v>
      </c>
      <c r="M1758" s="33">
        <f t="shared" si="162"/>
        <v>0</v>
      </c>
      <c r="N1758" s="33"/>
    </row>
    <row r="1759" spans="7:14" ht="16.5" customHeight="1">
      <c r="G1759" s="30">
        <f t="shared" si="163"/>
        <v>0</v>
      </c>
      <c r="H1759" s="31">
        <f t="shared" si="164"/>
        <v>0</v>
      </c>
      <c r="I1759" s="31">
        <f t="shared" si="165"/>
        <v>0</v>
      </c>
      <c r="J1759" s="31">
        <f t="shared" si="166"/>
        <v>0</v>
      </c>
      <c r="M1759" s="33">
        <f t="shared" si="162"/>
        <v>0</v>
      </c>
      <c r="N1759" s="33"/>
    </row>
    <row r="1760" spans="7:14" ht="16.5" customHeight="1">
      <c r="G1760" s="30">
        <f t="shared" si="163"/>
        <v>0</v>
      </c>
      <c r="H1760" s="31">
        <f t="shared" si="164"/>
        <v>0</v>
      </c>
      <c r="I1760" s="31">
        <f t="shared" si="165"/>
        <v>0</v>
      </c>
      <c r="J1760" s="31">
        <f t="shared" si="166"/>
        <v>0</v>
      </c>
      <c r="M1760" s="33">
        <f t="shared" si="162"/>
        <v>0</v>
      </c>
      <c r="N1760" s="33"/>
    </row>
    <row r="1761" spans="7:14" ht="16.5" customHeight="1">
      <c r="G1761" s="30">
        <f t="shared" si="163"/>
        <v>0</v>
      </c>
      <c r="H1761" s="31">
        <f t="shared" si="164"/>
        <v>0</v>
      </c>
      <c r="I1761" s="31">
        <f t="shared" si="165"/>
        <v>0</v>
      </c>
      <c r="J1761" s="31">
        <f t="shared" si="166"/>
        <v>0</v>
      </c>
      <c r="M1761" s="33">
        <f t="shared" si="162"/>
        <v>0</v>
      </c>
      <c r="N1761" s="33"/>
    </row>
    <row r="1762" spans="7:14" ht="16.5" customHeight="1">
      <c r="G1762" s="30">
        <f t="shared" si="163"/>
        <v>0</v>
      </c>
      <c r="H1762" s="31">
        <f t="shared" si="164"/>
        <v>0</v>
      </c>
      <c r="I1762" s="31">
        <f t="shared" si="165"/>
        <v>0</v>
      </c>
      <c r="J1762" s="31">
        <f t="shared" si="166"/>
        <v>0</v>
      </c>
      <c r="M1762" s="33">
        <f t="shared" si="162"/>
        <v>0</v>
      </c>
      <c r="N1762" s="33"/>
    </row>
    <row r="1763" spans="7:14" ht="16.5" customHeight="1">
      <c r="G1763" s="30">
        <f t="shared" si="163"/>
        <v>0</v>
      </c>
      <c r="H1763" s="31">
        <f t="shared" si="164"/>
        <v>0</v>
      </c>
      <c r="I1763" s="31">
        <f t="shared" si="165"/>
        <v>0</v>
      </c>
      <c r="J1763" s="31">
        <f t="shared" si="166"/>
        <v>0</v>
      </c>
      <c r="M1763" s="33">
        <f t="shared" si="162"/>
        <v>0</v>
      </c>
      <c r="N1763" s="33"/>
    </row>
    <row r="1764" spans="7:14" ht="16.5" customHeight="1">
      <c r="G1764" s="30">
        <f t="shared" si="163"/>
        <v>0</v>
      </c>
      <c r="H1764" s="31">
        <f t="shared" si="164"/>
        <v>0</v>
      </c>
      <c r="I1764" s="31">
        <f t="shared" si="165"/>
        <v>0</v>
      </c>
      <c r="J1764" s="31">
        <f t="shared" si="166"/>
        <v>0</v>
      </c>
      <c r="M1764" s="33">
        <f t="shared" si="162"/>
        <v>0</v>
      </c>
      <c r="N1764" s="33"/>
    </row>
    <row r="1765" spans="7:14" ht="16.5" customHeight="1">
      <c r="G1765" s="30">
        <f t="shared" si="163"/>
        <v>0</v>
      </c>
      <c r="H1765" s="31">
        <f t="shared" si="164"/>
        <v>0</v>
      </c>
      <c r="I1765" s="31">
        <f t="shared" si="165"/>
        <v>0</v>
      </c>
      <c r="J1765" s="31">
        <f t="shared" si="166"/>
        <v>0</v>
      </c>
      <c r="M1765" s="33">
        <f t="shared" si="162"/>
        <v>0</v>
      </c>
      <c r="N1765" s="33"/>
    </row>
    <row r="1766" spans="7:14" ht="16.5" customHeight="1">
      <c r="G1766" s="30">
        <f t="shared" si="163"/>
        <v>0</v>
      </c>
      <c r="H1766" s="31">
        <f t="shared" si="164"/>
        <v>0</v>
      </c>
      <c r="I1766" s="31">
        <f t="shared" si="165"/>
        <v>0</v>
      </c>
      <c r="J1766" s="31">
        <f t="shared" si="166"/>
        <v>0</v>
      </c>
      <c r="M1766" s="33">
        <f t="shared" si="162"/>
        <v>0</v>
      </c>
      <c r="N1766" s="33"/>
    </row>
    <row r="1767" spans="7:14" ht="16.5" customHeight="1">
      <c r="G1767" s="30">
        <f t="shared" si="163"/>
        <v>0</v>
      </c>
      <c r="H1767" s="31">
        <f t="shared" si="164"/>
        <v>0</v>
      </c>
      <c r="I1767" s="31">
        <f t="shared" si="165"/>
        <v>0</v>
      </c>
      <c r="J1767" s="31">
        <f t="shared" si="166"/>
        <v>0</v>
      </c>
      <c r="M1767" s="33">
        <f t="shared" si="162"/>
        <v>0</v>
      </c>
      <c r="N1767" s="33"/>
    </row>
    <row r="1768" spans="7:14" ht="16.5" customHeight="1">
      <c r="G1768" s="30">
        <f t="shared" si="163"/>
        <v>0</v>
      </c>
      <c r="H1768" s="31">
        <f t="shared" si="164"/>
        <v>0</v>
      </c>
      <c r="I1768" s="31">
        <f t="shared" si="165"/>
        <v>0</v>
      </c>
      <c r="J1768" s="31">
        <f t="shared" si="166"/>
        <v>0</v>
      </c>
      <c r="M1768" s="33">
        <f t="shared" si="162"/>
        <v>0</v>
      </c>
      <c r="N1768" s="33"/>
    </row>
    <row r="1769" spans="7:14" ht="16.5" customHeight="1">
      <c r="G1769" s="30">
        <f t="shared" si="163"/>
        <v>0</v>
      </c>
      <c r="H1769" s="31">
        <f t="shared" si="164"/>
        <v>0</v>
      </c>
      <c r="I1769" s="31">
        <f t="shared" si="165"/>
        <v>0</v>
      </c>
      <c r="J1769" s="31">
        <f t="shared" si="166"/>
        <v>0</v>
      </c>
      <c r="M1769" s="33">
        <f t="shared" si="162"/>
        <v>0</v>
      </c>
      <c r="N1769" s="33"/>
    </row>
    <row r="1770" spans="7:14" ht="16.5" customHeight="1">
      <c r="G1770" s="30">
        <f t="shared" si="163"/>
        <v>0</v>
      </c>
      <c r="H1770" s="31">
        <f t="shared" si="164"/>
        <v>0</v>
      </c>
      <c r="I1770" s="31">
        <f t="shared" si="165"/>
        <v>0</v>
      </c>
      <c r="J1770" s="31">
        <f t="shared" si="166"/>
        <v>0</v>
      </c>
      <c r="M1770" s="33">
        <f t="shared" si="162"/>
        <v>0</v>
      </c>
      <c r="N1770" s="33"/>
    </row>
    <row r="1771" spans="7:14" ht="16.5" customHeight="1">
      <c r="G1771" s="30">
        <f t="shared" si="163"/>
        <v>0</v>
      </c>
      <c r="H1771" s="31">
        <f t="shared" si="164"/>
        <v>0</v>
      </c>
      <c r="I1771" s="31">
        <f t="shared" si="165"/>
        <v>0</v>
      </c>
      <c r="J1771" s="31">
        <f t="shared" si="166"/>
        <v>0</v>
      </c>
      <c r="M1771" s="33">
        <f t="shared" si="162"/>
        <v>0</v>
      </c>
      <c r="N1771" s="33"/>
    </row>
    <row r="1772" spans="7:14" ht="16.5" customHeight="1">
      <c r="G1772" s="30">
        <f t="shared" si="163"/>
        <v>0</v>
      </c>
      <c r="H1772" s="31">
        <f t="shared" si="164"/>
        <v>0</v>
      </c>
      <c r="I1772" s="31">
        <f t="shared" si="165"/>
        <v>0</v>
      </c>
      <c r="J1772" s="31">
        <f t="shared" si="166"/>
        <v>0</v>
      </c>
      <c r="M1772" s="33">
        <f t="shared" si="162"/>
        <v>0</v>
      </c>
      <c r="N1772" s="33"/>
    </row>
    <row r="1773" spans="7:14" ht="16.5" customHeight="1">
      <c r="G1773" s="30">
        <f t="shared" si="163"/>
        <v>0</v>
      </c>
      <c r="H1773" s="31">
        <f t="shared" si="164"/>
        <v>0</v>
      </c>
      <c r="I1773" s="31">
        <f t="shared" si="165"/>
        <v>0</v>
      </c>
      <c r="J1773" s="31">
        <f t="shared" si="166"/>
        <v>0</v>
      </c>
      <c r="M1773" s="33">
        <f t="shared" si="162"/>
        <v>0</v>
      </c>
      <c r="N1773" s="33"/>
    </row>
    <row r="1774" spans="7:14" ht="16.5" customHeight="1">
      <c r="G1774" s="30">
        <f t="shared" si="163"/>
        <v>0</v>
      </c>
      <c r="H1774" s="31">
        <f t="shared" si="164"/>
        <v>0</v>
      </c>
      <c r="I1774" s="31">
        <f t="shared" si="165"/>
        <v>0</v>
      </c>
      <c r="J1774" s="31">
        <f t="shared" si="166"/>
        <v>0</v>
      </c>
      <c r="M1774" s="33">
        <f t="shared" si="162"/>
        <v>0</v>
      </c>
      <c r="N1774" s="33"/>
    </row>
    <row r="1775" spans="7:14" ht="16.5" customHeight="1">
      <c r="G1775" s="30">
        <f t="shared" si="163"/>
        <v>0</v>
      </c>
      <c r="H1775" s="31">
        <f t="shared" si="164"/>
        <v>0</v>
      </c>
      <c r="I1775" s="31">
        <f t="shared" si="165"/>
        <v>0</v>
      </c>
      <c r="J1775" s="31">
        <f t="shared" si="166"/>
        <v>0</v>
      </c>
      <c r="M1775" s="33">
        <f t="shared" si="162"/>
        <v>0</v>
      </c>
      <c r="N1775" s="33"/>
    </row>
    <row r="1776" spans="7:14" ht="16.5" customHeight="1">
      <c r="G1776" s="30">
        <f t="shared" si="163"/>
        <v>0</v>
      </c>
      <c r="H1776" s="31">
        <f t="shared" si="164"/>
        <v>0</v>
      </c>
      <c r="I1776" s="31">
        <f t="shared" si="165"/>
        <v>0</v>
      </c>
      <c r="J1776" s="31">
        <f t="shared" si="166"/>
        <v>0</v>
      </c>
      <c r="M1776" s="33">
        <f t="shared" si="162"/>
        <v>0</v>
      </c>
      <c r="N1776" s="33"/>
    </row>
    <row r="1777" spans="7:14" ht="16.5" customHeight="1">
      <c r="G1777" s="30">
        <f t="shared" si="163"/>
        <v>0</v>
      </c>
      <c r="H1777" s="31">
        <f t="shared" si="164"/>
        <v>0</v>
      </c>
      <c r="I1777" s="31">
        <f t="shared" si="165"/>
        <v>0</v>
      </c>
      <c r="J1777" s="31">
        <f t="shared" si="166"/>
        <v>0</v>
      </c>
      <c r="M1777" s="33">
        <f t="shared" si="162"/>
        <v>0</v>
      </c>
      <c r="N1777" s="33"/>
    </row>
    <row r="1778" spans="7:14" ht="16.5" customHeight="1">
      <c r="G1778" s="30">
        <f t="shared" si="163"/>
        <v>0</v>
      </c>
      <c r="H1778" s="31">
        <f t="shared" si="164"/>
        <v>0</v>
      </c>
      <c r="I1778" s="31">
        <f t="shared" si="165"/>
        <v>0</v>
      </c>
      <c r="J1778" s="31">
        <f t="shared" si="166"/>
        <v>0</v>
      </c>
      <c r="M1778" s="33">
        <f t="shared" si="162"/>
        <v>0</v>
      </c>
      <c r="N1778" s="33"/>
    </row>
    <row r="1779" spans="7:14" ht="16.5" customHeight="1">
      <c r="G1779" s="30">
        <f t="shared" si="163"/>
        <v>0</v>
      </c>
      <c r="H1779" s="31">
        <f t="shared" si="164"/>
        <v>0</v>
      </c>
      <c r="I1779" s="31">
        <f t="shared" si="165"/>
        <v>0</v>
      </c>
      <c r="J1779" s="31">
        <f t="shared" si="166"/>
        <v>0</v>
      </c>
      <c r="M1779" s="33">
        <f t="shared" si="162"/>
        <v>0</v>
      </c>
      <c r="N1779" s="33"/>
    </row>
    <row r="1780" spans="7:14" ht="16.5" customHeight="1">
      <c r="G1780" s="30">
        <f t="shared" si="163"/>
        <v>0</v>
      </c>
      <c r="H1780" s="31">
        <f t="shared" si="164"/>
        <v>0</v>
      </c>
      <c r="I1780" s="31">
        <f t="shared" si="165"/>
        <v>0</v>
      </c>
      <c r="J1780" s="31">
        <f t="shared" si="166"/>
        <v>0</v>
      </c>
      <c r="M1780" s="33">
        <f t="shared" si="162"/>
        <v>0</v>
      </c>
      <c r="N1780" s="33"/>
    </row>
    <row r="1781" spans="7:14" ht="16.5" customHeight="1">
      <c r="G1781" s="30">
        <f t="shared" si="163"/>
        <v>0</v>
      </c>
      <c r="H1781" s="31">
        <f t="shared" si="164"/>
        <v>0</v>
      </c>
      <c r="I1781" s="31">
        <f t="shared" si="165"/>
        <v>0</v>
      </c>
      <c r="J1781" s="31">
        <f t="shared" si="166"/>
        <v>0</v>
      </c>
      <c r="M1781" s="33">
        <f t="shared" si="162"/>
        <v>0</v>
      </c>
      <c r="N1781" s="33"/>
    </row>
    <row r="1782" spans="7:14" ht="16.5" customHeight="1">
      <c r="G1782" s="30">
        <f t="shared" si="163"/>
        <v>0</v>
      </c>
      <c r="H1782" s="31">
        <f t="shared" si="164"/>
        <v>0</v>
      </c>
      <c r="I1782" s="31">
        <f t="shared" si="165"/>
        <v>0</v>
      </c>
      <c r="J1782" s="31">
        <f t="shared" si="166"/>
        <v>0</v>
      </c>
      <c r="M1782" s="33">
        <f t="shared" si="162"/>
        <v>0</v>
      </c>
      <c r="N1782" s="33"/>
    </row>
    <row r="1783" spans="7:14" ht="16.5" customHeight="1">
      <c r="G1783" s="30">
        <f t="shared" si="163"/>
        <v>0</v>
      </c>
      <c r="H1783" s="31">
        <f t="shared" si="164"/>
        <v>0</v>
      </c>
      <c r="I1783" s="31">
        <f t="shared" si="165"/>
        <v>0</v>
      </c>
      <c r="J1783" s="31">
        <f t="shared" si="166"/>
        <v>0</v>
      </c>
      <c r="M1783" s="33">
        <f t="shared" si="162"/>
        <v>0</v>
      </c>
      <c r="N1783" s="33"/>
    </row>
    <row r="1784" spans="7:14" ht="16.5" customHeight="1">
      <c r="G1784" s="30">
        <f t="shared" si="163"/>
        <v>0</v>
      </c>
      <c r="H1784" s="31">
        <f t="shared" si="164"/>
        <v>0</v>
      </c>
      <c r="I1784" s="31">
        <f t="shared" si="165"/>
        <v>0</v>
      </c>
      <c r="J1784" s="31">
        <f t="shared" si="166"/>
        <v>0</v>
      </c>
      <c r="M1784" s="33">
        <f t="shared" si="162"/>
        <v>0</v>
      </c>
      <c r="N1784" s="33"/>
    </row>
    <row r="1785" spans="7:14" ht="16.5" customHeight="1">
      <c r="G1785" s="30">
        <f t="shared" si="163"/>
        <v>0</v>
      </c>
      <c r="H1785" s="31">
        <f t="shared" si="164"/>
        <v>0</v>
      </c>
      <c r="I1785" s="31">
        <f t="shared" si="165"/>
        <v>0</v>
      </c>
      <c r="J1785" s="31">
        <f t="shared" si="166"/>
        <v>0</v>
      </c>
      <c r="M1785" s="33">
        <f t="shared" si="162"/>
        <v>0</v>
      </c>
      <c r="N1785" s="33"/>
    </row>
    <row r="1786" spans="7:14" ht="16.5" customHeight="1">
      <c r="G1786" s="30">
        <f t="shared" si="163"/>
        <v>0</v>
      </c>
      <c r="H1786" s="31">
        <f t="shared" si="164"/>
        <v>0</v>
      </c>
      <c r="I1786" s="31">
        <f t="shared" si="165"/>
        <v>0</v>
      </c>
      <c r="J1786" s="31">
        <f t="shared" si="166"/>
        <v>0</v>
      </c>
      <c r="M1786" s="33">
        <f t="shared" si="162"/>
        <v>0</v>
      </c>
      <c r="N1786" s="33"/>
    </row>
    <row r="1787" spans="7:14" ht="16.5" customHeight="1">
      <c r="G1787" s="30">
        <f t="shared" si="163"/>
        <v>0</v>
      </c>
      <c r="H1787" s="31">
        <f t="shared" si="164"/>
        <v>0</v>
      </c>
      <c r="I1787" s="31">
        <f t="shared" si="165"/>
        <v>0</v>
      </c>
      <c r="J1787" s="31">
        <f t="shared" si="166"/>
        <v>0</v>
      </c>
      <c r="M1787" s="33">
        <f t="shared" si="162"/>
        <v>0</v>
      </c>
      <c r="N1787" s="33"/>
    </row>
    <row r="1788" spans="7:14" ht="16.5" customHeight="1">
      <c r="G1788" s="30">
        <f t="shared" si="163"/>
        <v>0</v>
      </c>
      <c r="H1788" s="31">
        <f t="shared" si="164"/>
        <v>0</v>
      </c>
      <c r="I1788" s="31">
        <f t="shared" si="165"/>
        <v>0</v>
      </c>
      <c r="J1788" s="31">
        <f t="shared" si="166"/>
        <v>0</v>
      </c>
      <c r="M1788" s="33">
        <f t="shared" si="162"/>
        <v>0</v>
      </c>
      <c r="N1788" s="33"/>
    </row>
    <row r="1789" spans="7:14" ht="16.5" customHeight="1">
      <c r="G1789" s="30">
        <f t="shared" si="163"/>
        <v>0</v>
      </c>
      <c r="H1789" s="31">
        <f t="shared" si="164"/>
        <v>0</v>
      </c>
      <c r="I1789" s="31">
        <f t="shared" si="165"/>
        <v>0</v>
      </c>
      <c r="J1789" s="31">
        <f t="shared" si="166"/>
        <v>0</v>
      </c>
      <c r="M1789" s="33">
        <f t="shared" si="162"/>
        <v>0</v>
      </c>
      <c r="N1789" s="33"/>
    </row>
    <row r="1790" spans="7:14" ht="16.5" customHeight="1">
      <c r="G1790" s="30">
        <f t="shared" si="163"/>
        <v>0</v>
      </c>
      <c r="H1790" s="31">
        <f t="shared" si="164"/>
        <v>0</v>
      </c>
      <c r="I1790" s="31">
        <f t="shared" si="165"/>
        <v>0</v>
      </c>
      <c r="J1790" s="31">
        <f t="shared" si="166"/>
        <v>0</v>
      </c>
      <c r="M1790" s="33">
        <f t="shared" ref="M1790:M1853" si="167">IF(P1790="TL tuyệt đối",0, IF(K1790&lt;5,0,IF(K1790&lt;50,K1790*9%,IF(K1790&lt;100,4.5,IF(K1790&lt;200,4.5%*K1790,IF(K1790&lt;300,9,IF(K1790&lt;500,K1790*3%,IF(K1790&lt;1000,15,))))))))</f>
        <v>0</v>
      </c>
      <c r="N1790" s="33"/>
    </row>
    <row r="1791" spans="7:14" ht="16.5" customHeight="1">
      <c r="G1791" s="30">
        <f t="shared" si="163"/>
        <v>0</v>
      </c>
      <c r="H1791" s="31">
        <f t="shared" si="164"/>
        <v>0</v>
      </c>
      <c r="I1791" s="31">
        <f t="shared" si="165"/>
        <v>0</v>
      </c>
      <c r="J1791" s="31">
        <f t="shared" si="166"/>
        <v>0</v>
      </c>
      <c r="M1791" s="33">
        <f t="shared" si="167"/>
        <v>0</v>
      </c>
      <c r="N1791" s="33"/>
    </row>
    <row r="1792" spans="7:14" ht="16.5" customHeight="1">
      <c r="G1792" s="30">
        <f t="shared" ref="G1792:G1855" si="168">IF(P1792="TL tuyệt đối",K1792*103%,K1792+1/3*M1792)</f>
        <v>0</v>
      </c>
      <c r="H1792" s="31">
        <f t="shared" ref="H1792:H1855" si="169">IF(P1792="TL tuyệt đối",K1792*101%,K1792-1/3*M1792)</f>
        <v>0</v>
      </c>
      <c r="I1792" s="31">
        <f t="shared" ref="I1792:I1855" si="170">IF(P1792="TL tuyệt đối", K1792*105%,K1792+M1792)</f>
        <v>0</v>
      </c>
      <c r="J1792" s="31">
        <f t="shared" si="166"/>
        <v>0</v>
      </c>
      <c r="M1792" s="33">
        <f t="shared" si="167"/>
        <v>0</v>
      </c>
      <c r="N1792" s="33"/>
    </row>
    <row r="1793" spans="7:14" ht="16.5" customHeight="1">
      <c r="G1793" s="30">
        <f t="shared" si="168"/>
        <v>0</v>
      </c>
      <c r="H1793" s="31">
        <f t="shared" si="169"/>
        <v>0</v>
      </c>
      <c r="I1793" s="31">
        <f t="shared" si="170"/>
        <v>0</v>
      </c>
      <c r="J1793" s="31">
        <f t="shared" si="166"/>
        <v>0</v>
      </c>
      <c r="M1793" s="33">
        <f t="shared" si="167"/>
        <v>0</v>
      </c>
      <c r="N1793" s="33"/>
    </row>
    <row r="1794" spans="7:14" ht="16.5" customHeight="1">
      <c r="G1794" s="30">
        <f t="shared" si="168"/>
        <v>0</v>
      </c>
      <c r="H1794" s="31">
        <f t="shared" si="169"/>
        <v>0</v>
      </c>
      <c r="I1794" s="31">
        <f t="shared" si="170"/>
        <v>0</v>
      </c>
      <c r="J1794" s="31">
        <f t="shared" si="166"/>
        <v>0</v>
      </c>
      <c r="M1794" s="33">
        <f t="shared" si="167"/>
        <v>0</v>
      </c>
      <c r="N1794" s="33"/>
    </row>
    <row r="1795" spans="7:14" ht="16.5" customHeight="1">
      <c r="G1795" s="30">
        <f t="shared" si="168"/>
        <v>0</v>
      </c>
      <c r="H1795" s="31">
        <f t="shared" si="169"/>
        <v>0</v>
      </c>
      <c r="I1795" s="31">
        <f t="shared" si="170"/>
        <v>0</v>
      </c>
      <c r="J1795" s="31">
        <f t="shared" si="166"/>
        <v>0</v>
      </c>
      <c r="M1795" s="33">
        <f t="shared" si="167"/>
        <v>0</v>
      </c>
      <c r="N1795" s="33"/>
    </row>
    <row r="1796" spans="7:14" ht="16.5" customHeight="1">
      <c r="G1796" s="30">
        <f t="shared" si="168"/>
        <v>0</v>
      </c>
      <c r="H1796" s="31">
        <f t="shared" si="169"/>
        <v>0</v>
      </c>
      <c r="I1796" s="31">
        <f t="shared" si="170"/>
        <v>0</v>
      </c>
      <c r="J1796" s="31">
        <f t="shared" ref="J1796:J1859" si="171">K1796-M1796</f>
        <v>0</v>
      </c>
      <c r="M1796" s="33">
        <f t="shared" si="167"/>
        <v>0</v>
      </c>
      <c r="N1796" s="33"/>
    </row>
    <row r="1797" spans="7:14" ht="16.5" customHeight="1">
      <c r="G1797" s="30">
        <f t="shared" si="168"/>
        <v>0</v>
      </c>
      <c r="H1797" s="31">
        <f t="shared" si="169"/>
        <v>0</v>
      </c>
      <c r="I1797" s="31">
        <f t="shared" si="170"/>
        <v>0</v>
      </c>
      <c r="J1797" s="31">
        <f t="shared" si="171"/>
        <v>0</v>
      </c>
      <c r="M1797" s="33">
        <f t="shared" si="167"/>
        <v>0</v>
      </c>
      <c r="N1797" s="33"/>
    </row>
    <row r="1798" spans="7:14" ht="16.5" customHeight="1">
      <c r="G1798" s="30">
        <f t="shared" si="168"/>
        <v>0</v>
      </c>
      <c r="H1798" s="31">
        <f t="shared" si="169"/>
        <v>0</v>
      </c>
      <c r="I1798" s="31">
        <f t="shared" si="170"/>
        <v>0</v>
      </c>
      <c r="J1798" s="31">
        <f t="shared" si="171"/>
        <v>0</v>
      </c>
      <c r="M1798" s="33">
        <f t="shared" si="167"/>
        <v>0</v>
      </c>
      <c r="N1798" s="33"/>
    </row>
    <row r="1799" spans="7:14" ht="16.5" customHeight="1">
      <c r="G1799" s="30">
        <f t="shared" si="168"/>
        <v>0</v>
      </c>
      <c r="H1799" s="31">
        <f t="shared" si="169"/>
        <v>0</v>
      </c>
      <c r="I1799" s="31">
        <f t="shared" si="170"/>
        <v>0</v>
      </c>
      <c r="J1799" s="31">
        <f t="shared" si="171"/>
        <v>0</v>
      </c>
      <c r="M1799" s="33">
        <f t="shared" si="167"/>
        <v>0</v>
      </c>
      <c r="N1799" s="33"/>
    </row>
    <row r="1800" spans="7:14" ht="16.5" customHeight="1">
      <c r="G1800" s="30">
        <f t="shared" si="168"/>
        <v>0</v>
      </c>
      <c r="H1800" s="31">
        <f t="shared" si="169"/>
        <v>0</v>
      </c>
      <c r="I1800" s="31">
        <f t="shared" si="170"/>
        <v>0</v>
      </c>
      <c r="J1800" s="31">
        <f t="shared" si="171"/>
        <v>0</v>
      </c>
      <c r="M1800" s="33">
        <f t="shared" si="167"/>
        <v>0</v>
      </c>
      <c r="N1800" s="33"/>
    </row>
    <row r="1801" spans="7:14" ht="16.5" customHeight="1">
      <c r="G1801" s="30">
        <f t="shared" si="168"/>
        <v>0</v>
      </c>
      <c r="H1801" s="31">
        <f t="shared" si="169"/>
        <v>0</v>
      </c>
      <c r="I1801" s="31">
        <f t="shared" si="170"/>
        <v>0</v>
      </c>
      <c r="J1801" s="31">
        <f t="shared" si="171"/>
        <v>0</v>
      </c>
      <c r="M1801" s="33">
        <f t="shared" si="167"/>
        <v>0</v>
      </c>
      <c r="N1801" s="33"/>
    </row>
    <row r="1802" spans="7:14" ht="16.5" customHeight="1">
      <c r="G1802" s="30">
        <f t="shared" si="168"/>
        <v>0</v>
      </c>
      <c r="H1802" s="31">
        <f t="shared" si="169"/>
        <v>0</v>
      </c>
      <c r="I1802" s="31">
        <f t="shared" si="170"/>
        <v>0</v>
      </c>
      <c r="J1802" s="31">
        <f t="shared" si="171"/>
        <v>0</v>
      </c>
      <c r="M1802" s="33">
        <f t="shared" si="167"/>
        <v>0</v>
      </c>
      <c r="N1802" s="33"/>
    </row>
    <row r="1803" spans="7:14" ht="16.5" customHeight="1">
      <c r="G1803" s="30">
        <f t="shared" si="168"/>
        <v>0</v>
      </c>
      <c r="H1803" s="31">
        <f t="shared" si="169"/>
        <v>0</v>
      </c>
      <c r="I1803" s="31">
        <f t="shared" si="170"/>
        <v>0</v>
      </c>
      <c r="J1803" s="31">
        <f t="shared" si="171"/>
        <v>0</v>
      </c>
      <c r="M1803" s="33">
        <f t="shared" si="167"/>
        <v>0</v>
      </c>
      <c r="N1803" s="33"/>
    </row>
    <row r="1804" spans="7:14" ht="16.5" customHeight="1">
      <c r="G1804" s="30">
        <f t="shared" si="168"/>
        <v>0</v>
      </c>
      <c r="H1804" s="31">
        <f t="shared" si="169"/>
        <v>0</v>
      </c>
      <c r="I1804" s="31">
        <f t="shared" si="170"/>
        <v>0</v>
      </c>
      <c r="J1804" s="31">
        <f t="shared" si="171"/>
        <v>0</v>
      </c>
      <c r="M1804" s="33">
        <f t="shared" si="167"/>
        <v>0</v>
      </c>
      <c r="N1804" s="33"/>
    </row>
    <row r="1805" spans="7:14" ht="16.5" customHeight="1">
      <c r="G1805" s="30">
        <f t="shared" si="168"/>
        <v>0</v>
      </c>
      <c r="H1805" s="31">
        <f t="shared" si="169"/>
        <v>0</v>
      </c>
      <c r="I1805" s="31">
        <f t="shared" si="170"/>
        <v>0</v>
      </c>
      <c r="J1805" s="31">
        <f t="shared" si="171"/>
        <v>0</v>
      </c>
      <c r="M1805" s="33">
        <f t="shared" si="167"/>
        <v>0</v>
      </c>
      <c r="N1805" s="33"/>
    </row>
    <row r="1806" spans="7:14" ht="16.5" customHeight="1">
      <c r="G1806" s="30">
        <f t="shared" si="168"/>
        <v>0</v>
      </c>
      <c r="H1806" s="31">
        <f t="shared" si="169"/>
        <v>0</v>
      </c>
      <c r="I1806" s="31">
        <f t="shared" si="170"/>
        <v>0</v>
      </c>
      <c r="J1806" s="31">
        <f t="shared" si="171"/>
        <v>0</v>
      </c>
      <c r="M1806" s="33">
        <f t="shared" si="167"/>
        <v>0</v>
      </c>
      <c r="N1806" s="33"/>
    </row>
    <row r="1807" spans="7:14" ht="16.5" customHeight="1">
      <c r="G1807" s="30">
        <f t="shared" si="168"/>
        <v>0</v>
      </c>
      <c r="H1807" s="31">
        <f t="shared" si="169"/>
        <v>0</v>
      </c>
      <c r="I1807" s="31">
        <f t="shared" si="170"/>
        <v>0</v>
      </c>
      <c r="J1807" s="31">
        <f t="shared" si="171"/>
        <v>0</v>
      </c>
      <c r="M1807" s="33">
        <f t="shared" si="167"/>
        <v>0</v>
      </c>
      <c r="N1807" s="33"/>
    </row>
    <row r="1808" spans="7:14" ht="16.5" customHeight="1">
      <c r="G1808" s="30">
        <f t="shared" si="168"/>
        <v>0</v>
      </c>
      <c r="H1808" s="31">
        <f t="shared" si="169"/>
        <v>0</v>
      </c>
      <c r="I1808" s="31">
        <f t="shared" si="170"/>
        <v>0</v>
      </c>
      <c r="J1808" s="31">
        <f t="shared" si="171"/>
        <v>0</v>
      </c>
      <c r="M1808" s="33">
        <f t="shared" si="167"/>
        <v>0</v>
      </c>
      <c r="N1808" s="33"/>
    </row>
    <row r="1809" spans="7:14" ht="16.5" customHeight="1">
      <c r="G1809" s="30">
        <f t="shared" si="168"/>
        <v>0</v>
      </c>
      <c r="H1809" s="31">
        <f t="shared" si="169"/>
        <v>0</v>
      </c>
      <c r="I1809" s="31">
        <f t="shared" si="170"/>
        <v>0</v>
      </c>
      <c r="J1809" s="31">
        <f t="shared" si="171"/>
        <v>0</v>
      </c>
      <c r="M1809" s="33">
        <f t="shared" si="167"/>
        <v>0</v>
      </c>
      <c r="N1809" s="33"/>
    </row>
    <row r="1810" spans="7:14" ht="16.5" customHeight="1">
      <c r="G1810" s="30">
        <f t="shared" si="168"/>
        <v>0</v>
      </c>
      <c r="H1810" s="31">
        <f t="shared" si="169"/>
        <v>0</v>
      </c>
      <c r="I1810" s="31">
        <f t="shared" si="170"/>
        <v>0</v>
      </c>
      <c r="J1810" s="31">
        <f t="shared" si="171"/>
        <v>0</v>
      </c>
      <c r="M1810" s="33">
        <f t="shared" si="167"/>
        <v>0</v>
      </c>
      <c r="N1810" s="33"/>
    </row>
    <row r="1811" spans="7:14" ht="16.5" customHeight="1">
      <c r="G1811" s="30">
        <f t="shared" si="168"/>
        <v>0</v>
      </c>
      <c r="H1811" s="31">
        <f t="shared" si="169"/>
        <v>0</v>
      </c>
      <c r="I1811" s="31">
        <f t="shared" si="170"/>
        <v>0</v>
      </c>
      <c r="J1811" s="31">
        <f t="shared" si="171"/>
        <v>0</v>
      </c>
      <c r="M1811" s="33">
        <f t="shared" si="167"/>
        <v>0</v>
      </c>
      <c r="N1811" s="33"/>
    </row>
    <row r="1812" spans="7:14" ht="16.5" customHeight="1">
      <c r="G1812" s="30">
        <f t="shared" si="168"/>
        <v>0</v>
      </c>
      <c r="H1812" s="31">
        <f t="shared" si="169"/>
        <v>0</v>
      </c>
      <c r="I1812" s="31">
        <f t="shared" si="170"/>
        <v>0</v>
      </c>
      <c r="J1812" s="31">
        <f t="shared" si="171"/>
        <v>0</v>
      </c>
      <c r="M1812" s="33">
        <f t="shared" si="167"/>
        <v>0</v>
      </c>
      <c r="N1812" s="33"/>
    </row>
    <row r="1813" spans="7:14" ht="16.5" customHeight="1">
      <c r="G1813" s="30">
        <f t="shared" si="168"/>
        <v>0</v>
      </c>
      <c r="H1813" s="31">
        <f t="shared" si="169"/>
        <v>0</v>
      </c>
      <c r="I1813" s="31">
        <f t="shared" si="170"/>
        <v>0</v>
      </c>
      <c r="J1813" s="31">
        <f t="shared" si="171"/>
        <v>0</v>
      </c>
      <c r="M1813" s="33">
        <f t="shared" si="167"/>
        <v>0</v>
      </c>
      <c r="N1813" s="33"/>
    </row>
    <row r="1814" spans="7:14" ht="16.5" customHeight="1">
      <c r="G1814" s="30">
        <f t="shared" si="168"/>
        <v>0</v>
      </c>
      <c r="H1814" s="31">
        <f t="shared" si="169"/>
        <v>0</v>
      </c>
      <c r="I1814" s="31">
        <f t="shared" si="170"/>
        <v>0</v>
      </c>
      <c r="J1814" s="31">
        <f t="shared" si="171"/>
        <v>0</v>
      </c>
      <c r="M1814" s="33">
        <f t="shared" si="167"/>
        <v>0</v>
      </c>
      <c r="N1814" s="33"/>
    </row>
    <row r="1815" spans="7:14" ht="16.5" customHeight="1">
      <c r="G1815" s="30">
        <f t="shared" si="168"/>
        <v>0</v>
      </c>
      <c r="H1815" s="31">
        <f t="shared" si="169"/>
        <v>0</v>
      </c>
      <c r="I1815" s="31">
        <f t="shared" si="170"/>
        <v>0</v>
      </c>
      <c r="J1815" s="31">
        <f t="shared" si="171"/>
        <v>0</v>
      </c>
      <c r="M1815" s="33">
        <f t="shared" si="167"/>
        <v>0</v>
      </c>
      <c r="N1815" s="33"/>
    </row>
    <row r="1816" spans="7:14" ht="16.5" customHeight="1">
      <c r="G1816" s="30">
        <f t="shared" si="168"/>
        <v>0</v>
      </c>
      <c r="H1816" s="31">
        <f t="shared" si="169"/>
        <v>0</v>
      </c>
      <c r="I1816" s="31">
        <f t="shared" si="170"/>
        <v>0</v>
      </c>
      <c r="J1816" s="31">
        <f t="shared" si="171"/>
        <v>0</v>
      </c>
      <c r="M1816" s="33">
        <f t="shared" si="167"/>
        <v>0</v>
      </c>
      <c r="N1816" s="33"/>
    </row>
    <row r="1817" spans="7:14" ht="16.5" customHeight="1">
      <c r="G1817" s="30">
        <f t="shared" si="168"/>
        <v>0</v>
      </c>
      <c r="H1817" s="31">
        <f t="shared" si="169"/>
        <v>0</v>
      </c>
      <c r="I1817" s="31">
        <f t="shared" si="170"/>
        <v>0</v>
      </c>
      <c r="J1817" s="31">
        <f t="shared" si="171"/>
        <v>0</v>
      </c>
      <c r="M1817" s="33">
        <f t="shared" si="167"/>
        <v>0</v>
      </c>
      <c r="N1817" s="33"/>
    </row>
    <row r="1818" spans="7:14" ht="16.5" customHeight="1">
      <c r="G1818" s="30">
        <f t="shared" si="168"/>
        <v>0</v>
      </c>
      <c r="H1818" s="31">
        <f t="shared" si="169"/>
        <v>0</v>
      </c>
      <c r="I1818" s="31">
        <f t="shared" si="170"/>
        <v>0</v>
      </c>
      <c r="J1818" s="31">
        <f t="shared" si="171"/>
        <v>0</v>
      </c>
      <c r="M1818" s="33">
        <f t="shared" si="167"/>
        <v>0</v>
      </c>
      <c r="N1818" s="33"/>
    </row>
    <row r="1819" spans="7:14" ht="16.5" customHeight="1">
      <c r="G1819" s="30">
        <f t="shared" si="168"/>
        <v>0</v>
      </c>
      <c r="H1819" s="31">
        <f t="shared" si="169"/>
        <v>0</v>
      </c>
      <c r="I1819" s="31">
        <f t="shared" si="170"/>
        <v>0</v>
      </c>
      <c r="J1819" s="31">
        <f t="shared" si="171"/>
        <v>0</v>
      </c>
      <c r="M1819" s="33">
        <f t="shared" si="167"/>
        <v>0</v>
      </c>
      <c r="N1819" s="33"/>
    </row>
    <row r="1820" spans="7:14" ht="16.5" customHeight="1">
      <c r="G1820" s="30">
        <f t="shared" si="168"/>
        <v>0</v>
      </c>
      <c r="H1820" s="31">
        <f t="shared" si="169"/>
        <v>0</v>
      </c>
      <c r="I1820" s="31">
        <f t="shared" si="170"/>
        <v>0</v>
      </c>
      <c r="J1820" s="31">
        <f t="shared" si="171"/>
        <v>0</v>
      </c>
      <c r="M1820" s="33">
        <f t="shared" si="167"/>
        <v>0</v>
      </c>
      <c r="N1820" s="33"/>
    </row>
    <row r="1821" spans="7:14" ht="16.5" customHeight="1">
      <c r="G1821" s="30">
        <f t="shared" si="168"/>
        <v>0</v>
      </c>
      <c r="H1821" s="31">
        <f t="shared" si="169"/>
        <v>0</v>
      </c>
      <c r="I1821" s="31">
        <f t="shared" si="170"/>
        <v>0</v>
      </c>
      <c r="J1821" s="31">
        <f t="shared" si="171"/>
        <v>0</v>
      </c>
      <c r="M1821" s="33">
        <f t="shared" si="167"/>
        <v>0</v>
      </c>
      <c r="N1821" s="33"/>
    </row>
    <row r="1822" spans="7:14" ht="16.5" customHeight="1">
      <c r="G1822" s="30">
        <f t="shared" si="168"/>
        <v>0</v>
      </c>
      <c r="H1822" s="31">
        <f t="shared" si="169"/>
        <v>0</v>
      </c>
      <c r="I1822" s="31">
        <f t="shared" si="170"/>
        <v>0</v>
      </c>
      <c r="J1822" s="31">
        <f t="shared" si="171"/>
        <v>0</v>
      </c>
      <c r="M1822" s="33">
        <f t="shared" si="167"/>
        <v>0</v>
      </c>
      <c r="N1822" s="33"/>
    </row>
    <row r="1823" spans="7:14" ht="16.5" customHeight="1">
      <c r="G1823" s="30">
        <f t="shared" si="168"/>
        <v>0</v>
      </c>
      <c r="H1823" s="31">
        <f t="shared" si="169"/>
        <v>0</v>
      </c>
      <c r="I1823" s="31">
        <f t="shared" si="170"/>
        <v>0</v>
      </c>
      <c r="J1823" s="31">
        <f t="shared" si="171"/>
        <v>0</v>
      </c>
      <c r="M1823" s="33">
        <f t="shared" si="167"/>
        <v>0</v>
      </c>
      <c r="N1823" s="33"/>
    </row>
    <row r="1824" spans="7:14" ht="16.5" customHeight="1">
      <c r="G1824" s="30">
        <f t="shared" si="168"/>
        <v>0</v>
      </c>
      <c r="H1824" s="31">
        <f t="shared" si="169"/>
        <v>0</v>
      </c>
      <c r="I1824" s="31">
        <f t="shared" si="170"/>
        <v>0</v>
      </c>
      <c r="J1824" s="31">
        <f t="shared" si="171"/>
        <v>0</v>
      </c>
      <c r="M1824" s="33">
        <f t="shared" si="167"/>
        <v>0</v>
      </c>
      <c r="N1824" s="33"/>
    </row>
    <row r="1825" spans="7:14" ht="16.5" customHeight="1">
      <c r="G1825" s="30">
        <f t="shared" si="168"/>
        <v>0</v>
      </c>
      <c r="H1825" s="31">
        <f t="shared" si="169"/>
        <v>0</v>
      </c>
      <c r="I1825" s="31">
        <f t="shared" si="170"/>
        <v>0</v>
      </c>
      <c r="J1825" s="31">
        <f t="shared" si="171"/>
        <v>0</v>
      </c>
      <c r="M1825" s="33">
        <f t="shared" si="167"/>
        <v>0</v>
      </c>
      <c r="N1825" s="33"/>
    </row>
    <row r="1826" spans="7:14" ht="16.5" customHeight="1">
      <c r="G1826" s="30">
        <f t="shared" si="168"/>
        <v>0</v>
      </c>
      <c r="H1826" s="31">
        <f t="shared" si="169"/>
        <v>0</v>
      </c>
      <c r="I1826" s="31">
        <f t="shared" si="170"/>
        <v>0</v>
      </c>
      <c r="J1826" s="31">
        <f t="shared" si="171"/>
        <v>0</v>
      </c>
      <c r="M1826" s="33">
        <f t="shared" si="167"/>
        <v>0</v>
      </c>
      <c r="N1826" s="33"/>
    </row>
    <row r="1827" spans="7:14" ht="16.5" customHeight="1">
      <c r="G1827" s="30">
        <f t="shared" si="168"/>
        <v>0</v>
      </c>
      <c r="H1827" s="31">
        <f t="shared" si="169"/>
        <v>0</v>
      </c>
      <c r="I1827" s="31">
        <f t="shared" si="170"/>
        <v>0</v>
      </c>
      <c r="J1827" s="31">
        <f t="shared" si="171"/>
        <v>0</v>
      </c>
      <c r="M1827" s="33">
        <f t="shared" si="167"/>
        <v>0</v>
      </c>
      <c r="N1827" s="33"/>
    </row>
    <row r="1828" spans="7:14" ht="16.5" customHeight="1">
      <c r="G1828" s="30">
        <f t="shared" si="168"/>
        <v>0</v>
      </c>
      <c r="H1828" s="31">
        <f t="shared" si="169"/>
        <v>0</v>
      </c>
      <c r="I1828" s="31">
        <f t="shared" si="170"/>
        <v>0</v>
      </c>
      <c r="J1828" s="31">
        <f t="shared" si="171"/>
        <v>0</v>
      </c>
      <c r="M1828" s="33">
        <f t="shared" si="167"/>
        <v>0</v>
      </c>
      <c r="N1828" s="33"/>
    </row>
    <row r="1829" spans="7:14" ht="16.5" customHeight="1">
      <c r="G1829" s="30">
        <f t="shared" si="168"/>
        <v>0</v>
      </c>
      <c r="H1829" s="31">
        <f t="shared" si="169"/>
        <v>0</v>
      </c>
      <c r="I1829" s="31">
        <f t="shared" si="170"/>
        <v>0</v>
      </c>
      <c r="J1829" s="31">
        <f t="shared" si="171"/>
        <v>0</v>
      </c>
      <c r="M1829" s="33">
        <f t="shared" si="167"/>
        <v>0</v>
      </c>
      <c r="N1829" s="33"/>
    </row>
    <row r="1830" spans="7:14" ht="16.5" customHeight="1">
      <c r="G1830" s="30">
        <f t="shared" si="168"/>
        <v>0</v>
      </c>
      <c r="H1830" s="31">
        <f t="shared" si="169"/>
        <v>0</v>
      </c>
      <c r="I1830" s="31">
        <f t="shared" si="170"/>
        <v>0</v>
      </c>
      <c r="J1830" s="31">
        <f t="shared" si="171"/>
        <v>0</v>
      </c>
      <c r="M1830" s="33">
        <f t="shared" si="167"/>
        <v>0</v>
      </c>
      <c r="N1830" s="33"/>
    </row>
    <row r="1831" spans="7:14" ht="16.5" customHeight="1">
      <c r="G1831" s="30">
        <f t="shared" si="168"/>
        <v>0</v>
      </c>
      <c r="H1831" s="31">
        <f t="shared" si="169"/>
        <v>0</v>
      </c>
      <c r="I1831" s="31">
        <f t="shared" si="170"/>
        <v>0</v>
      </c>
      <c r="J1831" s="31">
        <f t="shared" si="171"/>
        <v>0</v>
      </c>
      <c r="M1831" s="33">
        <f t="shared" si="167"/>
        <v>0</v>
      </c>
      <c r="N1831" s="33"/>
    </row>
    <row r="1832" spans="7:14" ht="16.5" customHeight="1">
      <c r="G1832" s="30">
        <f t="shared" si="168"/>
        <v>0</v>
      </c>
      <c r="H1832" s="31">
        <f t="shared" si="169"/>
        <v>0</v>
      </c>
      <c r="I1832" s="31">
        <f t="shared" si="170"/>
        <v>0</v>
      </c>
      <c r="J1832" s="31">
        <f t="shared" si="171"/>
        <v>0</v>
      </c>
      <c r="M1832" s="33">
        <f t="shared" si="167"/>
        <v>0</v>
      </c>
      <c r="N1832" s="33"/>
    </row>
    <row r="1833" spans="7:14" ht="16.5" customHeight="1">
      <c r="G1833" s="30">
        <f t="shared" si="168"/>
        <v>0</v>
      </c>
      <c r="H1833" s="31">
        <f t="shared" si="169"/>
        <v>0</v>
      </c>
      <c r="I1833" s="31">
        <f t="shared" si="170"/>
        <v>0</v>
      </c>
      <c r="J1833" s="31">
        <f t="shared" si="171"/>
        <v>0</v>
      </c>
      <c r="M1833" s="33">
        <f t="shared" si="167"/>
        <v>0</v>
      </c>
      <c r="N1833" s="33"/>
    </row>
    <row r="1834" spans="7:14" ht="16.5" customHeight="1">
      <c r="G1834" s="30">
        <f t="shared" si="168"/>
        <v>0</v>
      </c>
      <c r="H1834" s="31">
        <f t="shared" si="169"/>
        <v>0</v>
      </c>
      <c r="I1834" s="31">
        <f t="shared" si="170"/>
        <v>0</v>
      </c>
      <c r="J1834" s="31">
        <f t="shared" si="171"/>
        <v>0</v>
      </c>
      <c r="M1834" s="33">
        <f t="shared" si="167"/>
        <v>0</v>
      </c>
      <c r="N1834" s="33"/>
    </row>
    <row r="1835" spans="7:14" ht="16.5" customHeight="1">
      <c r="G1835" s="30">
        <f t="shared" si="168"/>
        <v>0</v>
      </c>
      <c r="H1835" s="31">
        <f t="shared" si="169"/>
        <v>0</v>
      </c>
      <c r="I1835" s="31">
        <f t="shared" si="170"/>
        <v>0</v>
      </c>
      <c r="J1835" s="31">
        <f t="shared" si="171"/>
        <v>0</v>
      </c>
      <c r="M1835" s="33">
        <f t="shared" si="167"/>
        <v>0</v>
      </c>
      <c r="N1835" s="33"/>
    </row>
    <row r="1836" spans="7:14" ht="16.5" customHeight="1">
      <c r="G1836" s="30">
        <f t="shared" si="168"/>
        <v>0</v>
      </c>
      <c r="H1836" s="31">
        <f t="shared" si="169"/>
        <v>0</v>
      </c>
      <c r="I1836" s="31">
        <f t="shared" si="170"/>
        <v>0</v>
      </c>
      <c r="J1836" s="31">
        <f t="shared" si="171"/>
        <v>0</v>
      </c>
      <c r="M1836" s="33">
        <f t="shared" si="167"/>
        <v>0</v>
      </c>
      <c r="N1836" s="33"/>
    </row>
    <row r="1837" spans="7:14" ht="16.5" customHeight="1">
      <c r="G1837" s="30">
        <f t="shared" si="168"/>
        <v>0</v>
      </c>
      <c r="H1837" s="31">
        <f t="shared" si="169"/>
        <v>0</v>
      </c>
      <c r="I1837" s="31">
        <f t="shared" si="170"/>
        <v>0</v>
      </c>
      <c r="J1837" s="31">
        <f t="shared" si="171"/>
        <v>0</v>
      </c>
      <c r="M1837" s="33">
        <f t="shared" si="167"/>
        <v>0</v>
      </c>
      <c r="N1837" s="33"/>
    </row>
    <row r="1838" spans="7:14" ht="16.5" customHeight="1">
      <c r="G1838" s="30">
        <f t="shared" si="168"/>
        <v>0</v>
      </c>
      <c r="H1838" s="31">
        <f t="shared" si="169"/>
        <v>0</v>
      </c>
      <c r="I1838" s="31">
        <f t="shared" si="170"/>
        <v>0</v>
      </c>
      <c r="J1838" s="31">
        <f t="shared" si="171"/>
        <v>0</v>
      </c>
      <c r="M1838" s="33">
        <f t="shared" si="167"/>
        <v>0</v>
      </c>
      <c r="N1838" s="33"/>
    </row>
    <row r="1839" spans="7:14" ht="16.5" customHeight="1">
      <c r="G1839" s="30">
        <f t="shared" si="168"/>
        <v>0</v>
      </c>
      <c r="H1839" s="31">
        <f t="shared" si="169"/>
        <v>0</v>
      </c>
      <c r="I1839" s="31">
        <f t="shared" si="170"/>
        <v>0</v>
      </c>
      <c r="J1839" s="31">
        <f t="shared" si="171"/>
        <v>0</v>
      </c>
      <c r="M1839" s="33">
        <f t="shared" si="167"/>
        <v>0</v>
      </c>
      <c r="N1839" s="33"/>
    </row>
    <row r="1840" spans="7:14" ht="16.5" customHeight="1">
      <c r="G1840" s="30">
        <f t="shared" si="168"/>
        <v>0</v>
      </c>
      <c r="H1840" s="31">
        <f t="shared" si="169"/>
        <v>0</v>
      </c>
      <c r="I1840" s="31">
        <f t="shared" si="170"/>
        <v>0</v>
      </c>
      <c r="J1840" s="31">
        <f t="shared" si="171"/>
        <v>0</v>
      </c>
      <c r="M1840" s="33">
        <f t="shared" si="167"/>
        <v>0</v>
      </c>
      <c r="N1840" s="33"/>
    </row>
    <row r="1841" spans="7:14" ht="16.5" customHeight="1">
      <c r="G1841" s="30">
        <f t="shared" si="168"/>
        <v>0</v>
      </c>
      <c r="H1841" s="31">
        <f t="shared" si="169"/>
        <v>0</v>
      </c>
      <c r="I1841" s="31">
        <f t="shared" si="170"/>
        <v>0</v>
      </c>
      <c r="J1841" s="31">
        <f t="shared" si="171"/>
        <v>0</v>
      </c>
      <c r="M1841" s="33">
        <f t="shared" si="167"/>
        <v>0</v>
      </c>
      <c r="N1841" s="33"/>
    </row>
    <row r="1842" spans="7:14" ht="16.5" customHeight="1">
      <c r="G1842" s="30">
        <f t="shared" si="168"/>
        <v>0</v>
      </c>
      <c r="H1842" s="31">
        <f t="shared" si="169"/>
        <v>0</v>
      </c>
      <c r="I1842" s="31">
        <f t="shared" si="170"/>
        <v>0</v>
      </c>
      <c r="J1842" s="31">
        <f t="shared" si="171"/>
        <v>0</v>
      </c>
      <c r="M1842" s="33">
        <f t="shared" si="167"/>
        <v>0</v>
      </c>
      <c r="N1842" s="33"/>
    </row>
    <row r="1843" spans="7:14" ht="16.5" customHeight="1">
      <c r="G1843" s="30">
        <f t="shared" si="168"/>
        <v>0</v>
      </c>
      <c r="H1843" s="31">
        <f t="shared" si="169"/>
        <v>0</v>
      </c>
      <c r="I1843" s="31">
        <f t="shared" si="170"/>
        <v>0</v>
      </c>
      <c r="J1843" s="31">
        <f t="shared" si="171"/>
        <v>0</v>
      </c>
      <c r="M1843" s="33">
        <f t="shared" si="167"/>
        <v>0</v>
      </c>
      <c r="N1843" s="33"/>
    </row>
    <row r="1844" spans="7:14" ht="16.5" customHeight="1">
      <c r="G1844" s="30">
        <f t="shared" si="168"/>
        <v>0</v>
      </c>
      <c r="H1844" s="31">
        <f t="shared" si="169"/>
        <v>0</v>
      </c>
      <c r="I1844" s="31">
        <f t="shared" si="170"/>
        <v>0</v>
      </c>
      <c r="J1844" s="31">
        <f t="shared" si="171"/>
        <v>0</v>
      </c>
      <c r="M1844" s="33">
        <f t="shared" si="167"/>
        <v>0</v>
      </c>
      <c r="N1844" s="33"/>
    </row>
    <row r="1845" spans="7:14" ht="16.5" customHeight="1">
      <c r="G1845" s="30">
        <f t="shared" si="168"/>
        <v>0</v>
      </c>
      <c r="H1845" s="31">
        <f t="shared" si="169"/>
        <v>0</v>
      </c>
      <c r="I1845" s="31">
        <f t="shared" si="170"/>
        <v>0</v>
      </c>
      <c r="J1845" s="31">
        <f t="shared" si="171"/>
        <v>0</v>
      </c>
      <c r="M1845" s="33">
        <f t="shared" si="167"/>
        <v>0</v>
      </c>
      <c r="N1845" s="33"/>
    </row>
    <row r="1846" spans="7:14" ht="16.5" customHeight="1">
      <c r="G1846" s="30">
        <f t="shared" si="168"/>
        <v>0</v>
      </c>
      <c r="H1846" s="31">
        <f t="shared" si="169"/>
        <v>0</v>
      </c>
      <c r="I1846" s="31">
        <f t="shared" si="170"/>
        <v>0</v>
      </c>
      <c r="J1846" s="31">
        <f t="shared" si="171"/>
        <v>0</v>
      </c>
      <c r="M1846" s="33">
        <f t="shared" si="167"/>
        <v>0</v>
      </c>
      <c r="N1846" s="33"/>
    </row>
    <row r="1847" spans="7:14" ht="16.5" customHeight="1">
      <c r="G1847" s="30">
        <f t="shared" si="168"/>
        <v>0</v>
      </c>
      <c r="H1847" s="31">
        <f t="shared" si="169"/>
        <v>0</v>
      </c>
      <c r="I1847" s="31">
        <f t="shared" si="170"/>
        <v>0</v>
      </c>
      <c r="J1847" s="31">
        <f t="shared" si="171"/>
        <v>0</v>
      </c>
      <c r="M1847" s="33">
        <f t="shared" si="167"/>
        <v>0</v>
      </c>
      <c r="N1847" s="33"/>
    </row>
    <row r="1848" spans="7:14" ht="16.5" customHeight="1">
      <c r="G1848" s="30">
        <f t="shared" si="168"/>
        <v>0</v>
      </c>
      <c r="H1848" s="31">
        <f t="shared" si="169"/>
        <v>0</v>
      </c>
      <c r="I1848" s="31">
        <f t="shared" si="170"/>
        <v>0</v>
      </c>
      <c r="J1848" s="31">
        <f t="shared" si="171"/>
        <v>0</v>
      </c>
      <c r="M1848" s="33">
        <f t="shared" si="167"/>
        <v>0</v>
      </c>
      <c r="N1848" s="33"/>
    </row>
    <row r="1849" spans="7:14" ht="16.5" customHeight="1">
      <c r="G1849" s="30">
        <f t="shared" si="168"/>
        <v>0</v>
      </c>
      <c r="H1849" s="31">
        <f t="shared" si="169"/>
        <v>0</v>
      </c>
      <c r="I1849" s="31">
        <f t="shared" si="170"/>
        <v>0</v>
      </c>
      <c r="J1849" s="31">
        <f t="shared" si="171"/>
        <v>0</v>
      </c>
      <c r="M1849" s="33">
        <f t="shared" si="167"/>
        <v>0</v>
      </c>
      <c r="N1849" s="33"/>
    </row>
    <row r="1850" spans="7:14" ht="16.5" customHeight="1">
      <c r="G1850" s="30">
        <f t="shared" si="168"/>
        <v>0</v>
      </c>
      <c r="H1850" s="31">
        <f t="shared" si="169"/>
        <v>0</v>
      </c>
      <c r="I1850" s="31">
        <f t="shared" si="170"/>
        <v>0</v>
      </c>
      <c r="J1850" s="31">
        <f t="shared" si="171"/>
        <v>0</v>
      </c>
      <c r="M1850" s="33">
        <f t="shared" si="167"/>
        <v>0</v>
      </c>
      <c r="N1850" s="33"/>
    </row>
    <row r="1851" spans="7:14" ht="16.5" customHeight="1">
      <c r="G1851" s="30">
        <f t="shared" si="168"/>
        <v>0</v>
      </c>
      <c r="H1851" s="31">
        <f t="shared" si="169"/>
        <v>0</v>
      </c>
      <c r="I1851" s="31">
        <f t="shared" si="170"/>
        <v>0</v>
      </c>
      <c r="J1851" s="31">
        <f t="shared" si="171"/>
        <v>0</v>
      </c>
      <c r="M1851" s="33">
        <f t="shared" si="167"/>
        <v>0</v>
      </c>
      <c r="N1851" s="33"/>
    </row>
    <row r="1852" spans="7:14" ht="16.5" customHeight="1">
      <c r="G1852" s="30">
        <f t="shared" si="168"/>
        <v>0</v>
      </c>
      <c r="H1852" s="31">
        <f t="shared" si="169"/>
        <v>0</v>
      </c>
      <c r="I1852" s="31">
        <f t="shared" si="170"/>
        <v>0</v>
      </c>
      <c r="J1852" s="31">
        <f t="shared" si="171"/>
        <v>0</v>
      </c>
      <c r="M1852" s="33">
        <f t="shared" si="167"/>
        <v>0</v>
      </c>
      <c r="N1852" s="33"/>
    </row>
    <row r="1853" spans="7:14" ht="16.5" customHeight="1">
      <c r="G1853" s="30">
        <f t="shared" si="168"/>
        <v>0</v>
      </c>
      <c r="H1853" s="31">
        <f t="shared" si="169"/>
        <v>0</v>
      </c>
      <c r="I1853" s="31">
        <f t="shared" si="170"/>
        <v>0</v>
      </c>
      <c r="J1853" s="31">
        <f t="shared" si="171"/>
        <v>0</v>
      </c>
      <c r="M1853" s="33">
        <f t="shared" si="167"/>
        <v>0</v>
      </c>
      <c r="N1853" s="33"/>
    </row>
    <row r="1854" spans="7:14" ht="16.5" customHeight="1">
      <c r="G1854" s="30">
        <f t="shared" si="168"/>
        <v>0</v>
      </c>
      <c r="H1854" s="31">
        <f t="shared" si="169"/>
        <v>0</v>
      </c>
      <c r="I1854" s="31">
        <f t="shared" si="170"/>
        <v>0</v>
      </c>
      <c r="J1854" s="31">
        <f t="shared" si="171"/>
        <v>0</v>
      </c>
      <c r="M1854" s="33">
        <f t="shared" ref="M1854:M1917" si="172">IF(P1854="TL tuyệt đối",0, IF(K1854&lt;5,0,IF(K1854&lt;50,K1854*9%,IF(K1854&lt;100,4.5,IF(K1854&lt;200,4.5%*K1854,IF(K1854&lt;300,9,IF(K1854&lt;500,K1854*3%,IF(K1854&lt;1000,15,))))))))</f>
        <v>0</v>
      </c>
      <c r="N1854" s="33"/>
    </row>
    <row r="1855" spans="7:14" ht="16.5" customHeight="1">
      <c r="G1855" s="30">
        <f t="shared" si="168"/>
        <v>0</v>
      </c>
      <c r="H1855" s="31">
        <f t="shared" si="169"/>
        <v>0</v>
      </c>
      <c r="I1855" s="31">
        <f t="shared" si="170"/>
        <v>0</v>
      </c>
      <c r="J1855" s="31">
        <f t="shared" si="171"/>
        <v>0</v>
      </c>
      <c r="M1855" s="33">
        <f t="shared" si="172"/>
        <v>0</v>
      </c>
      <c r="N1855" s="33"/>
    </row>
    <row r="1856" spans="7:14" ht="16.5" customHeight="1">
      <c r="G1856" s="30">
        <f t="shared" ref="G1856:G1919" si="173">IF(P1856="TL tuyệt đối",K1856*103%,K1856+1/3*M1856)</f>
        <v>0</v>
      </c>
      <c r="H1856" s="31">
        <f t="shared" ref="H1856:H1919" si="174">IF(P1856="TL tuyệt đối",K1856*101%,K1856-1/3*M1856)</f>
        <v>0</v>
      </c>
      <c r="I1856" s="31">
        <f t="shared" ref="I1856:I1919" si="175">IF(P1856="TL tuyệt đối", K1856*105%,K1856+M1856)</f>
        <v>0</v>
      </c>
      <c r="J1856" s="31">
        <f t="shared" si="171"/>
        <v>0</v>
      </c>
      <c r="M1856" s="33">
        <f t="shared" si="172"/>
        <v>0</v>
      </c>
      <c r="N1856" s="33"/>
    </row>
    <row r="1857" spans="7:14" ht="16.5" customHeight="1">
      <c r="G1857" s="30">
        <f t="shared" si="173"/>
        <v>0</v>
      </c>
      <c r="H1857" s="31">
        <f t="shared" si="174"/>
        <v>0</v>
      </c>
      <c r="I1857" s="31">
        <f t="shared" si="175"/>
        <v>0</v>
      </c>
      <c r="J1857" s="31">
        <f t="shared" si="171"/>
        <v>0</v>
      </c>
      <c r="M1857" s="33">
        <f t="shared" si="172"/>
        <v>0</v>
      </c>
      <c r="N1857" s="33"/>
    </row>
    <row r="1858" spans="7:14" ht="16.5" customHeight="1">
      <c r="G1858" s="30">
        <f t="shared" si="173"/>
        <v>0</v>
      </c>
      <c r="H1858" s="31">
        <f t="shared" si="174"/>
        <v>0</v>
      </c>
      <c r="I1858" s="31">
        <f t="shared" si="175"/>
        <v>0</v>
      </c>
      <c r="J1858" s="31">
        <f t="shared" si="171"/>
        <v>0</v>
      </c>
      <c r="M1858" s="33">
        <f t="shared" si="172"/>
        <v>0</v>
      </c>
      <c r="N1858" s="33"/>
    </row>
    <row r="1859" spans="7:14" ht="16.5" customHeight="1">
      <c r="G1859" s="30">
        <f t="shared" si="173"/>
        <v>0</v>
      </c>
      <c r="H1859" s="31">
        <f t="shared" si="174"/>
        <v>0</v>
      </c>
      <c r="I1859" s="31">
        <f t="shared" si="175"/>
        <v>0</v>
      </c>
      <c r="J1859" s="31">
        <f t="shared" si="171"/>
        <v>0</v>
      </c>
      <c r="M1859" s="33">
        <f t="shared" si="172"/>
        <v>0</v>
      </c>
      <c r="N1859" s="33"/>
    </row>
    <row r="1860" spans="7:14" ht="16.5" customHeight="1">
      <c r="G1860" s="30">
        <f t="shared" si="173"/>
        <v>0</v>
      </c>
      <c r="H1860" s="31">
        <f t="shared" si="174"/>
        <v>0</v>
      </c>
      <c r="I1860" s="31">
        <f t="shared" si="175"/>
        <v>0</v>
      </c>
      <c r="J1860" s="31">
        <f t="shared" ref="J1860:J1923" si="176">K1860-M1860</f>
        <v>0</v>
      </c>
      <c r="M1860" s="33">
        <f t="shared" si="172"/>
        <v>0</v>
      </c>
      <c r="N1860" s="33"/>
    </row>
    <row r="1861" spans="7:14" ht="16.5" customHeight="1">
      <c r="G1861" s="30">
        <f t="shared" si="173"/>
        <v>0</v>
      </c>
      <c r="H1861" s="31">
        <f t="shared" si="174"/>
        <v>0</v>
      </c>
      <c r="I1861" s="31">
        <f t="shared" si="175"/>
        <v>0</v>
      </c>
      <c r="J1861" s="31">
        <f t="shared" si="176"/>
        <v>0</v>
      </c>
      <c r="M1861" s="33">
        <f t="shared" si="172"/>
        <v>0</v>
      </c>
      <c r="N1861" s="33"/>
    </row>
    <row r="1862" spans="7:14" ht="16.5" customHeight="1">
      <c r="G1862" s="30">
        <f t="shared" si="173"/>
        <v>0</v>
      </c>
      <c r="H1862" s="31">
        <f t="shared" si="174"/>
        <v>0</v>
      </c>
      <c r="I1862" s="31">
        <f t="shared" si="175"/>
        <v>0</v>
      </c>
      <c r="J1862" s="31">
        <f t="shared" si="176"/>
        <v>0</v>
      </c>
      <c r="M1862" s="33">
        <f t="shared" si="172"/>
        <v>0</v>
      </c>
      <c r="N1862" s="33"/>
    </row>
    <row r="1863" spans="7:14" ht="16.5" customHeight="1">
      <c r="G1863" s="30">
        <f t="shared" si="173"/>
        <v>0</v>
      </c>
      <c r="H1863" s="31">
        <f t="shared" si="174"/>
        <v>0</v>
      </c>
      <c r="I1863" s="31">
        <f t="shared" si="175"/>
        <v>0</v>
      </c>
      <c r="J1863" s="31">
        <f t="shared" si="176"/>
        <v>0</v>
      </c>
      <c r="M1863" s="33">
        <f t="shared" si="172"/>
        <v>0</v>
      </c>
      <c r="N1863" s="33"/>
    </row>
    <row r="1864" spans="7:14" ht="16.5" customHeight="1">
      <c r="G1864" s="30">
        <f t="shared" si="173"/>
        <v>0</v>
      </c>
      <c r="H1864" s="31">
        <f t="shared" si="174"/>
        <v>0</v>
      </c>
      <c r="I1864" s="31">
        <f t="shared" si="175"/>
        <v>0</v>
      </c>
      <c r="J1864" s="31">
        <f t="shared" si="176"/>
        <v>0</v>
      </c>
      <c r="M1864" s="33">
        <f t="shared" si="172"/>
        <v>0</v>
      </c>
      <c r="N1864" s="33"/>
    </row>
    <row r="1865" spans="7:14" ht="16.5" customHeight="1">
      <c r="G1865" s="30">
        <f t="shared" si="173"/>
        <v>0</v>
      </c>
      <c r="H1865" s="31">
        <f t="shared" si="174"/>
        <v>0</v>
      </c>
      <c r="I1865" s="31">
        <f t="shared" si="175"/>
        <v>0</v>
      </c>
      <c r="J1865" s="31">
        <f t="shared" si="176"/>
        <v>0</v>
      </c>
      <c r="M1865" s="33">
        <f t="shared" si="172"/>
        <v>0</v>
      </c>
      <c r="N1865" s="33"/>
    </row>
    <row r="1866" spans="7:14" ht="16.5" customHeight="1">
      <c r="G1866" s="30">
        <f t="shared" si="173"/>
        <v>0</v>
      </c>
      <c r="H1866" s="31">
        <f t="shared" si="174"/>
        <v>0</v>
      </c>
      <c r="I1866" s="31">
        <f t="shared" si="175"/>
        <v>0</v>
      </c>
      <c r="J1866" s="31">
        <f t="shared" si="176"/>
        <v>0</v>
      </c>
      <c r="M1866" s="33">
        <f t="shared" si="172"/>
        <v>0</v>
      </c>
      <c r="N1866" s="33"/>
    </row>
    <row r="1867" spans="7:14" ht="16.5" customHeight="1">
      <c r="G1867" s="30">
        <f t="shared" si="173"/>
        <v>0</v>
      </c>
      <c r="H1867" s="31">
        <f t="shared" si="174"/>
        <v>0</v>
      </c>
      <c r="I1867" s="31">
        <f t="shared" si="175"/>
        <v>0</v>
      </c>
      <c r="J1867" s="31">
        <f t="shared" si="176"/>
        <v>0</v>
      </c>
      <c r="M1867" s="33">
        <f t="shared" si="172"/>
        <v>0</v>
      </c>
      <c r="N1867" s="33"/>
    </row>
    <row r="1868" spans="7:14" ht="16.5" customHeight="1">
      <c r="G1868" s="30">
        <f t="shared" si="173"/>
        <v>0</v>
      </c>
      <c r="H1868" s="31">
        <f t="shared" si="174"/>
        <v>0</v>
      </c>
      <c r="I1868" s="31">
        <f t="shared" si="175"/>
        <v>0</v>
      </c>
      <c r="J1868" s="31">
        <f t="shared" si="176"/>
        <v>0</v>
      </c>
      <c r="M1868" s="33">
        <f t="shared" si="172"/>
        <v>0</v>
      </c>
      <c r="N1868" s="33"/>
    </row>
    <row r="1869" spans="7:14" ht="16.5" customHeight="1">
      <c r="G1869" s="30">
        <f t="shared" si="173"/>
        <v>0</v>
      </c>
      <c r="H1869" s="31">
        <f t="shared" si="174"/>
        <v>0</v>
      </c>
      <c r="I1869" s="31">
        <f t="shared" si="175"/>
        <v>0</v>
      </c>
      <c r="J1869" s="31">
        <f t="shared" si="176"/>
        <v>0</v>
      </c>
      <c r="M1869" s="33">
        <f t="shared" si="172"/>
        <v>0</v>
      </c>
      <c r="N1869" s="33"/>
    </row>
    <row r="1870" spans="7:14" ht="16.5" customHeight="1">
      <c r="G1870" s="30">
        <f t="shared" si="173"/>
        <v>0</v>
      </c>
      <c r="H1870" s="31">
        <f t="shared" si="174"/>
        <v>0</v>
      </c>
      <c r="I1870" s="31">
        <f t="shared" si="175"/>
        <v>0</v>
      </c>
      <c r="J1870" s="31">
        <f t="shared" si="176"/>
        <v>0</v>
      </c>
      <c r="M1870" s="33">
        <f t="shared" si="172"/>
        <v>0</v>
      </c>
      <c r="N1870" s="33"/>
    </row>
    <row r="1871" spans="7:14" ht="16.5" customHeight="1">
      <c r="G1871" s="30">
        <f t="shared" si="173"/>
        <v>0</v>
      </c>
      <c r="H1871" s="31">
        <f t="shared" si="174"/>
        <v>0</v>
      </c>
      <c r="I1871" s="31">
        <f t="shared" si="175"/>
        <v>0</v>
      </c>
      <c r="J1871" s="31">
        <f t="shared" si="176"/>
        <v>0</v>
      </c>
      <c r="M1871" s="33">
        <f t="shared" si="172"/>
        <v>0</v>
      </c>
      <c r="N1871" s="33"/>
    </row>
    <row r="1872" spans="7:14" ht="16.5" customHeight="1">
      <c r="G1872" s="30">
        <f t="shared" si="173"/>
        <v>0</v>
      </c>
      <c r="H1872" s="31">
        <f t="shared" si="174"/>
        <v>0</v>
      </c>
      <c r="I1872" s="31">
        <f t="shared" si="175"/>
        <v>0</v>
      </c>
      <c r="J1872" s="31">
        <f t="shared" si="176"/>
        <v>0</v>
      </c>
      <c r="M1872" s="33">
        <f t="shared" si="172"/>
        <v>0</v>
      </c>
      <c r="N1872" s="33"/>
    </row>
    <row r="1873" spans="7:14" ht="16.5" customHeight="1">
      <c r="G1873" s="30">
        <f t="shared" si="173"/>
        <v>0</v>
      </c>
      <c r="H1873" s="31">
        <f t="shared" si="174"/>
        <v>0</v>
      </c>
      <c r="I1873" s="31">
        <f t="shared" si="175"/>
        <v>0</v>
      </c>
      <c r="J1873" s="31">
        <f t="shared" si="176"/>
        <v>0</v>
      </c>
      <c r="M1873" s="33">
        <f t="shared" si="172"/>
        <v>0</v>
      </c>
      <c r="N1873" s="33"/>
    </row>
    <row r="1874" spans="7:14" ht="16.5" customHeight="1">
      <c r="G1874" s="30">
        <f t="shared" si="173"/>
        <v>0</v>
      </c>
      <c r="H1874" s="31">
        <f t="shared" si="174"/>
        <v>0</v>
      </c>
      <c r="I1874" s="31">
        <f t="shared" si="175"/>
        <v>0</v>
      </c>
      <c r="J1874" s="31">
        <f t="shared" si="176"/>
        <v>0</v>
      </c>
      <c r="M1874" s="33">
        <f t="shared" si="172"/>
        <v>0</v>
      </c>
      <c r="N1874" s="33"/>
    </row>
    <row r="1875" spans="7:14" ht="16.5" customHeight="1">
      <c r="G1875" s="30">
        <f t="shared" si="173"/>
        <v>0</v>
      </c>
      <c r="H1875" s="31">
        <f t="shared" si="174"/>
        <v>0</v>
      </c>
      <c r="I1875" s="31">
        <f t="shared" si="175"/>
        <v>0</v>
      </c>
      <c r="J1875" s="31">
        <f t="shared" si="176"/>
        <v>0</v>
      </c>
      <c r="M1875" s="33">
        <f t="shared" si="172"/>
        <v>0</v>
      </c>
      <c r="N1875" s="33"/>
    </row>
    <row r="1876" spans="7:14" ht="16.5" customHeight="1">
      <c r="G1876" s="30">
        <f t="shared" si="173"/>
        <v>0</v>
      </c>
      <c r="H1876" s="31">
        <f t="shared" si="174"/>
        <v>0</v>
      </c>
      <c r="I1876" s="31">
        <f t="shared" si="175"/>
        <v>0</v>
      </c>
      <c r="J1876" s="31">
        <f t="shared" si="176"/>
        <v>0</v>
      </c>
      <c r="M1876" s="33">
        <f t="shared" si="172"/>
        <v>0</v>
      </c>
      <c r="N1876" s="33"/>
    </row>
    <row r="1877" spans="7:14" ht="16.5" customHeight="1">
      <c r="G1877" s="30">
        <f t="shared" si="173"/>
        <v>0</v>
      </c>
      <c r="H1877" s="31">
        <f t="shared" si="174"/>
        <v>0</v>
      </c>
      <c r="I1877" s="31">
        <f t="shared" si="175"/>
        <v>0</v>
      </c>
      <c r="J1877" s="31">
        <f t="shared" si="176"/>
        <v>0</v>
      </c>
      <c r="M1877" s="33">
        <f t="shared" si="172"/>
        <v>0</v>
      </c>
      <c r="N1877" s="33"/>
    </row>
    <row r="1878" spans="7:14" ht="16.5" customHeight="1">
      <c r="G1878" s="30">
        <f t="shared" si="173"/>
        <v>0</v>
      </c>
      <c r="H1878" s="31">
        <f t="shared" si="174"/>
        <v>0</v>
      </c>
      <c r="I1878" s="31">
        <f t="shared" si="175"/>
        <v>0</v>
      </c>
      <c r="J1878" s="31">
        <f t="shared" si="176"/>
        <v>0</v>
      </c>
      <c r="M1878" s="33">
        <f t="shared" si="172"/>
        <v>0</v>
      </c>
      <c r="N1878" s="33"/>
    </row>
    <row r="1879" spans="7:14" ht="16.5" customHeight="1">
      <c r="G1879" s="30">
        <f t="shared" si="173"/>
        <v>0</v>
      </c>
      <c r="H1879" s="31">
        <f t="shared" si="174"/>
        <v>0</v>
      </c>
      <c r="I1879" s="31">
        <f t="shared" si="175"/>
        <v>0</v>
      </c>
      <c r="J1879" s="31">
        <f t="shared" si="176"/>
        <v>0</v>
      </c>
      <c r="M1879" s="33">
        <f t="shared" si="172"/>
        <v>0</v>
      </c>
      <c r="N1879" s="33"/>
    </row>
    <row r="1880" spans="7:14" ht="16.5" customHeight="1">
      <c r="G1880" s="30">
        <f t="shared" si="173"/>
        <v>0</v>
      </c>
      <c r="H1880" s="31">
        <f t="shared" si="174"/>
        <v>0</v>
      </c>
      <c r="I1880" s="31">
        <f t="shared" si="175"/>
        <v>0</v>
      </c>
      <c r="J1880" s="31">
        <f t="shared" si="176"/>
        <v>0</v>
      </c>
      <c r="M1880" s="33">
        <f t="shared" si="172"/>
        <v>0</v>
      </c>
      <c r="N1880" s="33"/>
    </row>
    <row r="1881" spans="7:14" ht="16.5" customHeight="1">
      <c r="G1881" s="30">
        <f t="shared" si="173"/>
        <v>0</v>
      </c>
      <c r="H1881" s="31">
        <f t="shared" si="174"/>
        <v>0</v>
      </c>
      <c r="I1881" s="31">
        <f t="shared" si="175"/>
        <v>0</v>
      </c>
      <c r="J1881" s="31">
        <f t="shared" si="176"/>
        <v>0</v>
      </c>
      <c r="M1881" s="33">
        <f t="shared" si="172"/>
        <v>0</v>
      </c>
      <c r="N1881" s="33"/>
    </row>
    <row r="1882" spans="7:14" ht="16.5" customHeight="1">
      <c r="G1882" s="30">
        <f t="shared" si="173"/>
        <v>0</v>
      </c>
      <c r="H1882" s="31">
        <f t="shared" si="174"/>
        <v>0</v>
      </c>
      <c r="I1882" s="31">
        <f t="shared" si="175"/>
        <v>0</v>
      </c>
      <c r="J1882" s="31">
        <f t="shared" si="176"/>
        <v>0</v>
      </c>
      <c r="M1882" s="33">
        <f t="shared" si="172"/>
        <v>0</v>
      </c>
      <c r="N1882" s="33"/>
    </row>
    <row r="1883" spans="7:14" ht="16.5" customHeight="1">
      <c r="G1883" s="30">
        <f t="shared" si="173"/>
        <v>0</v>
      </c>
      <c r="H1883" s="31">
        <f t="shared" si="174"/>
        <v>0</v>
      </c>
      <c r="I1883" s="31">
        <f t="shared" si="175"/>
        <v>0</v>
      </c>
      <c r="J1883" s="31">
        <f t="shared" si="176"/>
        <v>0</v>
      </c>
      <c r="M1883" s="33">
        <f t="shared" si="172"/>
        <v>0</v>
      </c>
      <c r="N1883" s="33"/>
    </row>
    <row r="1884" spans="7:14" ht="16.5" customHeight="1">
      <c r="G1884" s="30">
        <f t="shared" si="173"/>
        <v>0</v>
      </c>
      <c r="H1884" s="31">
        <f t="shared" si="174"/>
        <v>0</v>
      </c>
      <c r="I1884" s="31">
        <f t="shared" si="175"/>
        <v>0</v>
      </c>
      <c r="J1884" s="31">
        <f t="shared" si="176"/>
        <v>0</v>
      </c>
      <c r="M1884" s="33">
        <f t="shared" si="172"/>
        <v>0</v>
      </c>
      <c r="N1884" s="33"/>
    </row>
    <row r="1885" spans="7:14" ht="16.5" customHeight="1">
      <c r="G1885" s="30">
        <f t="shared" si="173"/>
        <v>0</v>
      </c>
      <c r="H1885" s="31">
        <f t="shared" si="174"/>
        <v>0</v>
      </c>
      <c r="I1885" s="31">
        <f t="shared" si="175"/>
        <v>0</v>
      </c>
      <c r="J1885" s="31">
        <f t="shared" si="176"/>
        <v>0</v>
      </c>
      <c r="M1885" s="33">
        <f t="shared" si="172"/>
        <v>0</v>
      </c>
      <c r="N1885" s="33"/>
    </row>
    <row r="1886" spans="7:14" ht="16.5" customHeight="1">
      <c r="G1886" s="30">
        <f t="shared" si="173"/>
        <v>0</v>
      </c>
      <c r="H1886" s="31">
        <f t="shared" si="174"/>
        <v>0</v>
      </c>
      <c r="I1886" s="31">
        <f t="shared" si="175"/>
        <v>0</v>
      </c>
      <c r="J1886" s="31">
        <f t="shared" si="176"/>
        <v>0</v>
      </c>
      <c r="M1886" s="33">
        <f t="shared" si="172"/>
        <v>0</v>
      </c>
      <c r="N1886" s="33"/>
    </row>
    <row r="1887" spans="7:14" ht="16.5" customHeight="1">
      <c r="G1887" s="30">
        <f t="shared" si="173"/>
        <v>0</v>
      </c>
      <c r="H1887" s="31">
        <f t="shared" si="174"/>
        <v>0</v>
      </c>
      <c r="I1887" s="31">
        <f t="shared" si="175"/>
        <v>0</v>
      </c>
      <c r="J1887" s="31">
        <f t="shared" si="176"/>
        <v>0</v>
      </c>
      <c r="M1887" s="33">
        <f t="shared" si="172"/>
        <v>0</v>
      </c>
      <c r="N1887" s="33"/>
    </row>
    <row r="1888" spans="7:14" ht="16.5" customHeight="1">
      <c r="G1888" s="30">
        <f t="shared" si="173"/>
        <v>0</v>
      </c>
      <c r="H1888" s="31">
        <f t="shared" si="174"/>
        <v>0</v>
      </c>
      <c r="I1888" s="31">
        <f t="shared" si="175"/>
        <v>0</v>
      </c>
      <c r="J1888" s="31">
        <f t="shared" si="176"/>
        <v>0</v>
      </c>
      <c r="M1888" s="33">
        <f t="shared" si="172"/>
        <v>0</v>
      </c>
      <c r="N1888" s="33"/>
    </row>
    <row r="1889" spans="7:14" ht="16.5" customHeight="1">
      <c r="G1889" s="30">
        <f t="shared" si="173"/>
        <v>0</v>
      </c>
      <c r="H1889" s="31">
        <f t="shared" si="174"/>
        <v>0</v>
      </c>
      <c r="I1889" s="31">
        <f t="shared" si="175"/>
        <v>0</v>
      </c>
      <c r="J1889" s="31">
        <f t="shared" si="176"/>
        <v>0</v>
      </c>
      <c r="M1889" s="33">
        <f t="shared" si="172"/>
        <v>0</v>
      </c>
      <c r="N1889" s="33"/>
    </row>
    <row r="1890" spans="7:14" ht="16.5" customHeight="1">
      <c r="G1890" s="30">
        <f t="shared" si="173"/>
        <v>0</v>
      </c>
      <c r="H1890" s="31">
        <f t="shared" si="174"/>
        <v>0</v>
      </c>
      <c r="I1890" s="31">
        <f t="shared" si="175"/>
        <v>0</v>
      </c>
      <c r="J1890" s="31">
        <f t="shared" si="176"/>
        <v>0</v>
      </c>
      <c r="M1890" s="33">
        <f t="shared" si="172"/>
        <v>0</v>
      </c>
      <c r="N1890" s="33"/>
    </row>
    <row r="1891" spans="7:14" ht="16.5" customHeight="1">
      <c r="G1891" s="30">
        <f t="shared" si="173"/>
        <v>0</v>
      </c>
      <c r="H1891" s="31">
        <f t="shared" si="174"/>
        <v>0</v>
      </c>
      <c r="I1891" s="31">
        <f t="shared" si="175"/>
        <v>0</v>
      </c>
      <c r="J1891" s="31">
        <f t="shared" si="176"/>
        <v>0</v>
      </c>
      <c r="M1891" s="33">
        <f t="shared" si="172"/>
        <v>0</v>
      </c>
      <c r="N1891" s="33"/>
    </row>
    <row r="1892" spans="7:14" ht="16.5" customHeight="1">
      <c r="G1892" s="30">
        <f t="shared" si="173"/>
        <v>0</v>
      </c>
      <c r="H1892" s="31">
        <f t="shared" si="174"/>
        <v>0</v>
      </c>
      <c r="I1892" s="31">
        <f t="shared" si="175"/>
        <v>0</v>
      </c>
      <c r="J1892" s="31">
        <f t="shared" si="176"/>
        <v>0</v>
      </c>
      <c r="M1892" s="33">
        <f t="shared" si="172"/>
        <v>0</v>
      </c>
      <c r="N1892" s="33"/>
    </row>
    <row r="1893" spans="7:14" ht="16.5" customHeight="1">
      <c r="G1893" s="30">
        <f t="shared" si="173"/>
        <v>0</v>
      </c>
      <c r="H1893" s="31">
        <f t="shared" si="174"/>
        <v>0</v>
      </c>
      <c r="I1893" s="31">
        <f t="shared" si="175"/>
        <v>0</v>
      </c>
      <c r="J1893" s="31">
        <f t="shared" si="176"/>
        <v>0</v>
      </c>
      <c r="M1893" s="33">
        <f t="shared" si="172"/>
        <v>0</v>
      </c>
      <c r="N1893" s="33"/>
    </row>
    <row r="1894" spans="7:14" ht="16.5" customHeight="1">
      <c r="G1894" s="30">
        <f t="shared" si="173"/>
        <v>0</v>
      </c>
      <c r="H1894" s="31">
        <f t="shared" si="174"/>
        <v>0</v>
      </c>
      <c r="I1894" s="31">
        <f t="shared" si="175"/>
        <v>0</v>
      </c>
      <c r="J1894" s="31">
        <f t="shared" si="176"/>
        <v>0</v>
      </c>
      <c r="M1894" s="33">
        <f t="shared" si="172"/>
        <v>0</v>
      </c>
      <c r="N1894" s="33"/>
    </row>
    <row r="1895" spans="7:14" ht="16.5" customHeight="1">
      <c r="G1895" s="30">
        <f t="shared" si="173"/>
        <v>0</v>
      </c>
      <c r="H1895" s="31">
        <f t="shared" si="174"/>
        <v>0</v>
      </c>
      <c r="I1895" s="31">
        <f t="shared" si="175"/>
        <v>0</v>
      </c>
      <c r="J1895" s="31">
        <f t="shared" si="176"/>
        <v>0</v>
      </c>
      <c r="M1895" s="33">
        <f t="shared" si="172"/>
        <v>0</v>
      </c>
      <c r="N1895" s="33"/>
    </row>
    <row r="1896" spans="7:14" ht="16.5" customHeight="1">
      <c r="G1896" s="30">
        <f t="shared" si="173"/>
        <v>0</v>
      </c>
      <c r="H1896" s="31">
        <f t="shared" si="174"/>
        <v>0</v>
      </c>
      <c r="I1896" s="31">
        <f t="shared" si="175"/>
        <v>0</v>
      </c>
      <c r="J1896" s="31">
        <f t="shared" si="176"/>
        <v>0</v>
      </c>
      <c r="M1896" s="33">
        <f t="shared" si="172"/>
        <v>0</v>
      </c>
      <c r="N1896" s="33"/>
    </row>
    <row r="1897" spans="7:14" ht="16.5" customHeight="1">
      <c r="G1897" s="30">
        <f t="shared" si="173"/>
        <v>0</v>
      </c>
      <c r="H1897" s="31">
        <f t="shared" si="174"/>
        <v>0</v>
      </c>
      <c r="I1897" s="31">
        <f t="shared" si="175"/>
        <v>0</v>
      </c>
      <c r="J1897" s="31">
        <f t="shared" si="176"/>
        <v>0</v>
      </c>
      <c r="M1897" s="33">
        <f t="shared" si="172"/>
        <v>0</v>
      </c>
      <c r="N1897" s="33"/>
    </row>
    <row r="1898" spans="7:14" ht="16.5" customHeight="1">
      <c r="G1898" s="30">
        <f t="shared" si="173"/>
        <v>0</v>
      </c>
      <c r="H1898" s="31">
        <f t="shared" si="174"/>
        <v>0</v>
      </c>
      <c r="I1898" s="31">
        <f t="shared" si="175"/>
        <v>0</v>
      </c>
      <c r="J1898" s="31">
        <f t="shared" si="176"/>
        <v>0</v>
      </c>
      <c r="M1898" s="33">
        <f t="shared" si="172"/>
        <v>0</v>
      </c>
      <c r="N1898" s="33"/>
    </row>
    <row r="1899" spans="7:14" ht="16.5" customHeight="1">
      <c r="G1899" s="30">
        <f t="shared" si="173"/>
        <v>0</v>
      </c>
      <c r="H1899" s="31">
        <f t="shared" si="174"/>
        <v>0</v>
      </c>
      <c r="I1899" s="31">
        <f t="shared" si="175"/>
        <v>0</v>
      </c>
      <c r="J1899" s="31">
        <f t="shared" si="176"/>
        <v>0</v>
      </c>
      <c r="M1899" s="33">
        <f t="shared" si="172"/>
        <v>0</v>
      </c>
      <c r="N1899" s="33"/>
    </row>
    <row r="1900" spans="7:14" ht="16.5" customHeight="1">
      <c r="G1900" s="30">
        <f t="shared" si="173"/>
        <v>0</v>
      </c>
      <c r="H1900" s="31">
        <f t="shared" si="174"/>
        <v>0</v>
      </c>
      <c r="I1900" s="31">
        <f t="shared" si="175"/>
        <v>0</v>
      </c>
      <c r="J1900" s="31">
        <f t="shared" si="176"/>
        <v>0</v>
      </c>
      <c r="M1900" s="33">
        <f t="shared" si="172"/>
        <v>0</v>
      </c>
      <c r="N1900" s="33"/>
    </row>
    <row r="1901" spans="7:14" ht="16.5" customHeight="1">
      <c r="G1901" s="30">
        <f t="shared" si="173"/>
        <v>0</v>
      </c>
      <c r="H1901" s="31">
        <f t="shared" si="174"/>
        <v>0</v>
      </c>
      <c r="I1901" s="31">
        <f t="shared" si="175"/>
        <v>0</v>
      </c>
      <c r="J1901" s="31">
        <f t="shared" si="176"/>
        <v>0</v>
      </c>
      <c r="M1901" s="33">
        <f t="shared" si="172"/>
        <v>0</v>
      </c>
      <c r="N1901" s="33"/>
    </row>
    <row r="1902" spans="7:14" ht="16.5" customHeight="1">
      <c r="G1902" s="30">
        <f t="shared" si="173"/>
        <v>0</v>
      </c>
      <c r="H1902" s="31">
        <f t="shared" si="174"/>
        <v>0</v>
      </c>
      <c r="I1902" s="31">
        <f t="shared" si="175"/>
        <v>0</v>
      </c>
      <c r="J1902" s="31">
        <f t="shared" si="176"/>
        <v>0</v>
      </c>
      <c r="M1902" s="33">
        <f t="shared" si="172"/>
        <v>0</v>
      </c>
      <c r="N1902" s="33"/>
    </row>
    <row r="1903" spans="7:14" ht="16.5" customHeight="1">
      <c r="G1903" s="30">
        <f t="shared" si="173"/>
        <v>0</v>
      </c>
      <c r="H1903" s="31">
        <f t="shared" si="174"/>
        <v>0</v>
      </c>
      <c r="I1903" s="31">
        <f t="shared" si="175"/>
        <v>0</v>
      </c>
      <c r="J1903" s="31">
        <f t="shared" si="176"/>
        <v>0</v>
      </c>
      <c r="M1903" s="33">
        <f t="shared" si="172"/>
        <v>0</v>
      </c>
      <c r="N1903" s="33"/>
    </row>
    <row r="1904" spans="7:14" ht="16.5" customHeight="1">
      <c r="G1904" s="30">
        <f t="shared" si="173"/>
        <v>0</v>
      </c>
      <c r="H1904" s="31">
        <f t="shared" si="174"/>
        <v>0</v>
      </c>
      <c r="I1904" s="31">
        <f t="shared" si="175"/>
        <v>0</v>
      </c>
      <c r="J1904" s="31">
        <f t="shared" si="176"/>
        <v>0</v>
      </c>
      <c r="M1904" s="33">
        <f t="shared" si="172"/>
        <v>0</v>
      </c>
      <c r="N1904" s="33"/>
    </row>
    <row r="1905" spans="7:14" ht="16.5" customHeight="1">
      <c r="G1905" s="30">
        <f t="shared" si="173"/>
        <v>0</v>
      </c>
      <c r="H1905" s="31">
        <f t="shared" si="174"/>
        <v>0</v>
      </c>
      <c r="I1905" s="31">
        <f t="shared" si="175"/>
        <v>0</v>
      </c>
      <c r="J1905" s="31">
        <f t="shared" si="176"/>
        <v>0</v>
      </c>
      <c r="M1905" s="33">
        <f t="shared" si="172"/>
        <v>0</v>
      </c>
      <c r="N1905" s="33"/>
    </row>
    <row r="1906" spans="7:14" ht="16.5" customHeight="1">
      <c r="G1906" s="30">
        <f t="shared" si="173"/>
        <v>0</v>
      </c>
      <c r="H1906" s="31">
        <f t="shared" si="174"/>
        <v>0</v>
      </c>
      <c r="I1906" s="31">
        <f t="shared" si="175"/>
        <v>0</v>
      </c>
      <c r="J1906" s="31">
        <f t="shared" si="176"/>
        <v>0</v>
      </c>
      <c r="M1906" s="33">
        <f t="shared" si="172"/>
        <v>0</v>
      </c>
      <c r="N1906" s="33"/>
    </row>
    <row r="1907" spans="7:14" ht="16.5" customHeight="1">
      <c r="G1907" s="30">
        <f t="shared" si="173"/>
        <v>0</v>
      </c>
      <c r="H1907" s="31">
        <f t="shared" si="174"/>
        <v>0</v>
      </c>
      <c r="I1907" s="31">
        <f t="shared" si="175"/>
        <v>0</v>
      </c>
      <c r="J1907" s="31">
        <f t="shared" si="176"/>
        <v>0</v>
      </c>
      <c r="M1907" s="33">
        <f t="shared" si="172"/>
        <v>0</v>
      </c>
      <c r="N1907" s="33"/>
    </row>
    <row r="1908" spans="7:14" ht="16.5" customHeight="1">
      <c r="G1908" s="30">
        <f t="shared" si="173"/>
        <v>0</v>
      </c>
      <c r="H1908" s="31">
        <f t="shared" si="174"/>
        <v>0</v>
      </c>
      <c r="I1908" s="31">
        <f t="shared" si="175"/>
        <v>0</v>
      </c>
      <c r="J1908" s="31">
        <f t="shared" si="176"/>
        <v>0</v>
      </c>
      <c r="M1908" s="33">
        <f t="shared" si="172"/>
        <v>0</v>
      </c>
      <c r="N1908" s="33"/>
    </row>
    <row r="1909" spans="7:14" ht="16.5" customHeight="1">
      <c r="G1909" s="30">
        <f t="shared" si="173"/>
        <v>0</v>
      </c>
      <c r="H1909" s="31">
        <f t="shared" si="174"/>
        <v>0</v>
      </c>
      <c r="I1909" s="31">
        <f t="shared" si="175"/>
        <v>0</v>
      </c>
      <c r="J1909" s="31">
        <f t="shared" si="176"/>
        <v>0</v>
      </c>
      <c r="M1909" s="33">
        <f t="shared" si="172"/>
        <v>0</v>
      </c>
      <c r="N1909" s="33"/>
    </row>
    <row r="1910" spans="7:14" ht="16.5" customHeight="1">
      <c r="G1910" s="30">
        <f t="shared" si="173"/>
        <v>0</v>
      </c>
      <c r="H1910" s="31">
        <f t="shared" si="174"/>
        <v>0</v>
      </c>
      <c r="I1910" s="31">
        <f t="shared" si="175"/>
        <v>0</v>
      </c>
      <c r="J1910" s="31">
        <f t="shared" si="176"/>
        <v>0</v>
      </c>
      <c r="M1910" s="33">
        <f t="shared" si="172"/>
        <v>0</v>
      </c>
      <c r="N1910" s="33"/>
    </row>
    <row r="1911" spans="7:14" ht="16.5" customHeight="1">
      <c r="G1911" s="30">
        <f t="shared" si="173"/>
        <v>0</v>
      </c>
      <c r="H1911" s="31">
        <f t="shared" si="174"/>
        <v>0</v>
      </c>
      <c r="I1911" s="31">
        <f t="shared" si="175"/>
        <v>0</v>
      </c>
      <c r="J1911" s="31">
        <f t="shared" si="176"/>
        <v>0</v>
      </c>
      <c r="M1911" s="33">
        <f t="shared" si="172"/>
        <v>0</v>
      </c>
      <c r="N1911" s="33"/>
    </row>
    <row r="1912" spans="7:14" ht="16.5" customHeight="1">
      <c r="G1912" s="30">
        <f t="shared" si="173"/>
        <v>0</v>
      </c>
      <c r="H1912" s="31">
        <f t="shared" si="174"/>
        <v>0</v>
      </c>
      <c r="I1912" s="31">
        <f t="shared" si="175"/>
        <v>0</v>
      </c>
      <c r="J1912" s="31">
        <f t="shared" si="176"/>
        <v>0</v>
      </c>
      <c r="M1912" s="33">
        <f t="shared" si="172"/>
        <v>0</v>
      </c>
      <c r="N1912" s="33"/>
    </row>
    <row r="1913" spans="7:14" ht="16.5" customHeight="1">
      <c r="G1913" s="30">
        <f t="shared" si="173"/>
        <v>0</v>
      </c>
      <c r="H1913" s="31">
        <f t="shared" si="174"/>
        <v>0</v>
      </c>
      <c r="I1913" s="31">
        <f t="shared" si="175"/>
        <v>0</v>
      </c>
      <c r="J1913" s="31">
        <f t="shared" si="176"/>
        <v>0</v>
      </c>
      <c r="M1913" s="33">
        <f t="shared" si="172"/>
        <v>0</v>
      </c>
      <c r="N1913" s="33"/>
    </row>
    <row r="1914" spans="7:14" ht="16.5" customHeight="1">
      <c r="G1914" s="30">
        <f t="shared" si="173"/>
        <v>0</v>
      </c>
      <c r="H1914" s="31">
        <f t="shared" si="174"/>
        <v>0</v>
      </c>
      <c r="I1914" s="31">
        <f t="shared" si="175"/>
        <v>0</v>
      </c>
      <c r="J1914" s="31">
        <f t="shared" si="176"/>
        <v>0</v>
      </c>
      <c r="M1914" s="33">
        <f t="shared" si="172"/>
        <v>0</v>
      </c>
      <c r="N1914" s="33"/>
    </row>
    <row r="1915" spans="7:14" ht="16.5" customHeight="1">
      <c r="G1915" s="30">
        <f t="shared" si="173"/>
        <v>0</v>
      </c>
      <c r="H1915" s="31">
        <f t="shared" si="174"/>
        <v>0</v>
      </c>
      <c r="I1915" s="31">
        <f t="shared" si="175"/>
        <v>0</v>
      </c>
      <c r="J1915" s="31">
        <f t="shared" si="176"/>
        <v>0</v>
      </c>
      <c r="M1915" s="33">
        <f t="shared" si="172"/>
        <v>0</v>
      </c>
      <c r="N1915" s="33"/>
    </row>
    <row r="1916" spans="7:14" ht="16.5" customHeight="1">
      <c r="G1916" s="30">
        <f t="shared" si="173"/>
        <v>0</v>
      </c>
      <c r="H1916" s="31">
        <f t="shared" si="174"/>
        <v>0</v>
      </c>
      <c r="I1916" s="31">
        <f t="shared" si="175"/>
        <v>0</v>
      </c>
      <c r="J1916" s="31">
        <f t="shared" si="176"/>
        <v>0</v>
      </c>
      <c r="M1916" s="33">
        <f t="shared" si="172"/>
        <v>0</v>
      </c>
      <c r="N1916" s="33"/>
    </row>
    <row r="1917" spans="7:14" ht="16.5" customHeight="1">
      <c r="G1917" s="30">
        <f t="shared" si="173"/>
        <v>0</v>
      </c>
      <c r="H1917" s="31">
        <f t="shared" si="174"/>
        <v>0</v>
      </c>
      <c r="I1917" s="31">
        <f t="shared" si="175"/>
        <v>0</v>
      </c>
      <c r="J1917" s="31">
        <f t="shared" si="176"/>
        <v>0</v>
      </c>
      <c r="M1917" s="33">
        <f t="shared" si="172"/>
        <v>0</v>
      </c>
      <c r="N1917" s="33"/>
    </row>
    <row r="1918" spans="7:14" ht="16.5" customHeight="1">
      <c r="G1918" s="30">
        <f t="shared" si="173"/>
        <v>0</v>
      </c>
      <c r="H1918" s="31">
        <f t="shared" si="174"/>
        <v>0</v>
      </c>
      <c r="I1918" s="31">
        <f t="shared" si="175"/>
        <v>0</v>
      </c>
      <c r="J1918" s="31">
        <f t="shared" si="176"/>
        <v>0</v>
      </c>
      <c r="M1918" s="33">
        <f t="shared" ref="M1918:M1981" si="177">IF(P1918="TL tuyệt đối",0, IF(K1918&lt;5,0,IF(K1918&lt;50,K1918*9%,IF(K1918&lt;100,4.5,IF(K1918&lt;200,4.5%*K1918,IF(K1918&lt;300,9,IF(K1918&lt;500,K1918*3%,IF(K1918&lt;1000,15,))))))))</f>
        <v>0</v>
      </c>
      <c r="N1918" s="33"/>
    </row>
    <row r="1919" spans="7:14" ht="16.5" customHeight="1">
      <c r="G1919" s="30">
        <f t="shared" si="173"/>
        <v>0</v>
      </c>
      <c r="H1919" s="31">
        <f t="shared" si="174"/>
        <v>0</v>
      </c>
      <c r="I1919" s="31">
        <f t="shared" si="175"/>
        <v>0</v>
      </c>
      <c r="J1919" s="31">
        <f t="shared" si="176"/>
        <v>0</v>
      </c>
      <c r="M1919" s="33">
        <f t="shared" si="177"/>
        <v>0</v>
      </c>
      <c r="N1919" s="33"/>
    </row>
    <row r="1920" spans="7:14" ht="16.5" customHeight="1">
      <c r="G1920" s="30">
        <f t="shared" ref="G1920:G1983" si="178">IF(P1920="TL tuyệt đối",K1920*103%,K1920+1/3*M1920)</f>
        <v>0</v>
      </c>
      <c r="H1920" s="31">
        <f t="shared" ref="H1920:H1983" si="179">IF(P1920="TL tuyệt đối",K1920*101%,K1920-1/3*M1920)</f>
        <v>0</v>
      </c>
      <c r="I1920" s="31">
        <f t="shared" ref="I1920:I1983" si="180">IF(P1920="TL tuyệt đối", K1920*105%,K1920+M1920)</f>
        <v>0</v>
      </c>
      <c r="J1920" s="31">
        <f t="shared" si="176"/>
        <v>0</v>
      </c>
      <c r="M1920" s="33">
        <f t="shared" si="177"/>
        <v>0</v>
      </c>
      <c r="N1920" s="33"/>
    </row>
    <row r="1921" spans="7:14" ht="16.5" customHeight="1">
      <c r="G1921" s="30">
        <f t="shared" si="178"/>
        <v>0</v>
      </c>
      <c r="H1921" s="31">
        <f t="shared" si="179"/>
        <v>0</v>
      </c>
      <c r="I1921" s="31">
        <f t="shared" si="180"/>
        <v>0</v>
      </c>
      <c r="J1921" s="31">
        <f t="shared" si="176"/>
        <v>0</v>
      </c>
      <c r="M1921" s="33">
        <f t="shared" si="177"/>
        <v>0</v>
      </c>
      <c r="N1921" s="33"/>
    </row>
    <row r="1922" spans="7:14" ht="16.5" customHeight="1">
      <c r="G1922" s="30">
        <f t="shared" si="178"/>
        <v>0</v>
      </c>
      <c r="H1922" s="31">
        <f t="shared" si="179"/>
        <v>0</v>
      </c>
      <c r="I1922" s="31">
        <f t="shared" si="180"/>
        <v>0</v>
      </c>
      <c r="J1922" s="31">
        <f t="shared" si="176"/>
        <v>0</v>
      </c>
      <c r="M1922" s="33">
        <f t="shared" si="177"/>
        <v>0</v>
      </c>
      <c r="N1922" s="33"/>
    </row>
    <row r="1923" spans="7:14" ht="16.5" customHeight="1">
      <c r="G1923" s="30">
        <f t="shared" si="178"/>
        <v>0</v>
      </c>
      <c r="H1923" s="31">
        <f t="shared" si="179"/>
        <v>0</v>
      </c>
      <c r="I1923" s="31">
        <f t="shared" si="180"/>
        <v>0</v>
      </c>
      <c r="J1923" s="31">
        <f t="shared" si="176"/>
        <v>0</v>
      </c>
      <c r="M1923" s="33">
        <f t="shared" si="177"/>
        <v>0</v>
      </c>
      <c r="N1923" s="33"/>
    </row>
    <row r="1924" spans="7:14" ht="16.5" customHeight="1">
      <c r="G1924" s="30">
        <f t="shared" si="178"/>
        <v>0</v>
      </c>
      <c r="H1924" s="31">
        <f t="shared" si="179"/>
        <v>0</v>
      </c>
      <c r="I1924" s="31">
        <f t="shared" si="180"/>
        <v>0</v>
      </c>
      <c r="J1924" s="31">
        <f t="shared" ref="J1924:J1987" si="181">K1924-M1924</f>
        <v>0</v>
      </c>
      <c r="M1924" s="33">
        <f t="shared" si="177"/>
        <v>0</v>
      </c>
      <c r="N1924" s="33"/>
    </row>
    <row r="1925" spans="7:14" ht="16.5" customHeight="1">
      <c r="G1925" s="30">
        <f t="shared" si="178"/>
        <v>0</v>
      </c>
      <c r="H1925" s="31">
        <f t="shared" si="179"/>
        <v>0</v>
      </c>
      <c r="I1925" s="31">
        <f t="shared" si="180"/>
        <v>0</v>
      </c>
      <c r="J1925" s="31">
        <f t="shared" si="181"/>
        <v>0</v>
      </c>
      <c r="M1925" s="33">
        <f t="shared" si="177"/>
        <v>0</v>
      </c>
      <c r="N1925" s="33"/>
    </row>
    <row r="1926" spans="7:14" ht="16.5" customHeight="1">
      <c r="G1926" s="30">
        <f t="shared" si="178"/>
        <v>0</v>
      </c>
      <c r="H1926" s="31">
        <f t="shared" si="179"/>
        <v>0</v>
      </c>
      <c r="I1926" s="31">
        <f t="shared" si="180"/>
        <v>0</v>
      </c>
      <c r="J1926" s="31">
        <f t="shared" si="181"/>
        <v>0</v>
      </c>
      <c r="M1926" s="33">
        <f t="shared" si="177"/>
        <v>0</v>
      </c>
      <c r="N1926" s="33"/>
    </row>
    <row r="1927" spans="7:14" ht="16.5" customHeight="1">
      <c r="G1927" s="30">
        <f t="shared" si="178"/>
        <v>0</v>
      </c>
      <c r="H1927" s="31">
        <f t="shared" si="179"/>
        <v>0</v>
      </c>
      <c r="I1927" s="31">
        <f t="shared" si="180"/>
        <v>0</v>
      </c>
      <c r="J1927" s="31">
        <f t="shared" si="181"/>
        <v>0</v>
      </c>
      <c r="M1927" s="33">
        <f t="shared" si="177"/>
        <v>0</v>
      </c>
      <c r="N1927" s="33"/>
    </row>
    <row r="1928" spans="7:14" ht="16.5" customHeight="1">
      <c r="G1928" s="30">
        <f t="shared" si="178"/>
        <v>0</v>
      </c>
      <c r="H1928" s="31">
        <f t="shared" si="179"/>
        <v>0</v>
      </c>
      <c r="I1928" s="31">
        <f t="shared" si="180"/>
        <v>0</v>
      </c>
      <c r="J1928" s="31">
        <f t="shared" si="181"/>
        <v>0</v>
      </c>
      <c r="M1928" s="33">
        <f t="shared" si="177"/>
        <v>0</v>
      </c>
      <c r="N1928" s="33"/>
    </row>
    <row r="1929" spans="7:14" ht="16.5" customHeight="1">
      <c r="G1929" s="30">
        <f t="shared" si="178"/>
        <v>0</v>
      </c>
      <c r="H1929" s="31">
        <f t="shared" si="179"/>
        <v>0</v>
      </c>
      <c r="I1929" s="31">
        <f t="shared" si="180"/>
        <v>0</v>
      </c>
      <c r="J1929" s="31">
        <f t="shared" si="181"/>
        <v>0</v>
      </c>
      <c r="M1929" s="33">
        <f t="shared" si="177"/>
        <v>0</v>
      </c>
      <c r="N1929" s="33"/>
    </row>
    <row r="1930" spans="7:14" ht="16.5" customHeight="1">
      <c r="G1930" s="30">
        <f t="shared" si="178"/>
        <v>0</v>
      </c>
      <c r="H1930" s="31">
        <f t="shared" si="179"/>
        <v>0</v>
      </c>
      <c r="I1930" s="31">
        <f t="shared" si="180"/>
        <v>0</v>
      </c>
      <c r="J1930" s="31">
        <f t="shared" si="181"/>
        <v>0</v>
      </c>
      <c r="M1930" s="33">
        <f t="shared" si="177"/>
        <v>0</v>
      </c>
      <c r="N1930" s="33"/>
    </row>
    <row r="1931" spans="7:14" ht="16.5" customHeight="1">
      <c r="G1931" s="30">
        <f t="shared" si="178"/>
        <v>0</v>
      </c>
      <c r="H1931" s="31">
        <f t="shared" si="179"/>
        <v>0</v>
      </c>
      <c r="I1931" s="31">
        <f t="shared" si="180"/>
        <v>0</v>
      </c>
      <c r="J1931" s="31">
        <f t="shared" si="181"/>
        <v>0</v>
      </c>
      <c r="M1931" s="33">
        <f t="shared" si="177"/>
        <v>0</v>
      </c>
      <c r="N1931" s="33"/>
    </row>
    <row r="1932" spans="7:14" ht="16.5" customHeight="1">
      <c r="G1932" s="30">
        <f t="shared" si="178"/>
        <v>0</v>
      </c>
      <c r="H1932" s="31">
        <f t="shared" si="179"/>
        <v>0</v>
      </c>
      <c r="I1932" s="31">
        <f t="shared" si="180"/>
        <v>0</v>
      </c>
      <c r="J1932" s="31">
        <f t="shared" si="181"/>
        <v>0</v>
      </c>
      <c r="M1932" s="33">
        <f t="shared" si="177"/>
        <v>0</v>
      </c>
      <c r="N1932" s="33"/>
    </row>
    <row r="1933" spans="7:14" ht="16.5" customHeight="1">
      <c r="G1933" s="30">
        <f t="shared" si="178"/>
        <v>0</v>
      </c>
      <c r="H1933" s="31">
        <f t="shared" si="179"/>
        <v>0</v>
      </c>
      <c r="I1933" s="31">
        <f t="shared" si="180"/>
        <v>0</v>
      </c>
      <c r="J1933" s="31">
        <f t="shared" si="181"/>
        <v>0</v>
      </c>
      <c r="M1933" s="33">
        <f t="shared" si="177"/>
        <v>0</v>
      </c>
      <c r="N1933" s="33"/>
    </row>
    <row r="1934" spans="7:14" ht="16.5" customHeight="1">
      <c r="G1934" s="30">
        <f t="shared" si="178"/>
        <v>0</v>
      </c>
      <c r="H1934" s="31">
        <f t="shared" si="179"/>
        <v>0</v>
      </c>
      <c r="I1934" s="31">
        <f t="shared" si="180"/>
        <v>0</v>
      </c>
      <c r="J1934" s="31">
        <f t="shared" si="181"/>
        <v>0</v>
      </c>
      <c r="M1934" s="33">
        <f t="shared" si="177"/>
        <v>0</v>
      </c>
      <c r="N1934" s="33"/>
    </row>
    <row r="1935" spans="7:14" ht="16.5" customHeight="1">
      <c r="G1935" s="30">
        <f t="shared" si="178"/>
        <v>0</v>
      </c>
      <c r="H1935" s="31">
        <f t="shared" si="179"/>
        <v>0</v>
      </c>
      <c r="I1935" s="31">
        <f t="shared" si="180"/>
        <v>0</v>
      </c>
      <c r="J1935" s="31">
        <f t="shared" si="181"/>
        <v>0</v>
      </c>
      <c r="M1935" s="33">
        <f t="shared" si="177"/>
        <v>0</v>
      </c>
      <c r="N1935" s="33"/>
    </row>
    <row r="1936" spans="7:14" ht="16.5" customHeight="1">
      <c r="G1936" s="30">
        <f t="shared" si="178"/>
        <v>0</v>
      </c>
      <c r="H1936" s="31">
        <f t="shared" si="179"/>
        <v>0</v>
      </c>
      <c r="I1936" s="31">
        <f t="shared" si="180"/>
        <v>0</v>
      </c>
      <c r="J1936" s="31">
        <f t="shared" si="181"/>
        <v>0</v>
      </c>
      <c r="M1936" s="33">
        <f t="shared" si="177"/>
        <v>0</v>
      </c>
      <c r="N1936" s="33"/>
    </row>
    <row r="1937" spans="7:14" ht="16.5" customHeight="1">
      <c r="G1937" s="30">
        <f t="shared" si="178"/>
        <v>0</v>
      </c>
      <c r="H1937" s="31">
        <f t="shared" si="179"/>
        <v>0</v>
      </c>
      <c r="I1937" s="31">
        <f t="shared" si="180"/>
        <v>0</v>
      </c>
      <c r="J1937" s="31">
        <f t="shared" si="181"/>
        <v>0</v>
      </c>
      <c r="M1937" s="33">
        <f t="shared" si="177"/>
        <v>0</v>
      </c>
      <c r="N1937" s="33"/>
    </row>
    <row r="1938" spans="7:14" ht="16.5" customHeight="1">
      <c r="G1938" s="30">
        <f t="shared" si="178"/>
        <v>0</v>
      </c>
      <c r="H1938" s="31">
        <f t="shared" si="179"/>
        <v>0</v>
      </c>
      <c r="I1938" s="31">
        <f t="shared" si="180"/>
        <v>0</v>
      </c>
      <c r="J1938" s="31">
        <f t="shared" si="181"/>
        <v>0</v>
      </c>
      <c r="M1938" s="33">
        <f t="shared" si="177"/>
        <v>0</v>
      </c>
      <c r="N1938" s="33"/>
    </row>
    <row r="1939" spans="7:14" ht="16.5" customHeight="1">
      <c r="G1939" s="30">
        <f t="shared" si="178"/>
        <v>0</v>
      </c>
      <c r="H1939" s="31">
        <f t="shared" si="179"/>
        <v>0</v>
      </c>
      <c r="I1939" s="31">
        <f t="shared" si="180"/>
        <v>0</v>
      </c>
      <c r="J1939" s="31">
        <f t="shared" si="181"/>
        <v>0</v>
      </c>
      <c r="M1939" s="33">
        <f t="shared" si="177"/>
        <v>0</v>
      </c>
      <c r="N1939" s="33"/>
    </row>
    <row r="1940" spans="7:14" ht="16.5" customHeight="1">
      <c r="G1940" s="30">
        <f t="shared" si="178"/>
        <v>0</v>
      </c>
      <c r="H1940" s="31">
        <f t="shared" si="179"/>
        <v>0</v>
      </c>
      <c r="I1940" s="31">
        <f t="shared" si="180"/>
        <v>0</v>
      </c>
      <c r="J1940" s="31">
        <f t="shared" si="181"/>
        <v>0</v>
      </c>
      <c r="M1940" s="33">
        <f t="shared" si="177"/>
        <v>0</v>
      </c>
      <c r="N1940" s="33"/>
    </row>
    <row r="1941" spans="7:14" ht="16.5" customHeight="1">
      <c r="G1941" s="30">
        <f t="shared" si="178"/>
        <v>0</v>
      </c>
      <c r="H1941" s="31">
        <f t="shared" si="179"/>
        <v>0</v>
      </c>
      <c r="I1941" s="31">
        <f t="shared" si="180"/>
        <v>0</v>
      </c>
      <c r="J1941" s="31">
        <f t="shared" si="181"/>
        <v>0</v>
      </c>
      <c r="M1941" s="33">
        <f t="shared" si="177"/>
        <v>0</v>
      </c>
      <c r="N1941" s="33"/>
    </row>
    <row r="1942" spans="7:14" ht="16.5" customHeight="1">
      <c r="G1942" s="30">
        <f t="shared" si="178"/>
        <v>0</v>
      </c>
      <c r="H1942" s="31">
        <f t="shared" si="179"/>
        <v>0</v>
      </c>
      <c r="I1942" s="31">
        <f t="shared" si="180"/>
        <v>0</v>
      </c>
      <c r="J1942" s="31">
        <f t="shared" si="181"/>
        <v>0</v>
      </c>
      <c r="M1942" s="33">
        <f t="shared" si="177"/>
        <v>0</v>
      </c>
      <c r="N1942" s="33"/>
    </row>
    <row r="1943" spans="7:14" ht="16.5" customHeight="1">
      <c r="G1943" s="30">
        <f t="shared" si="178"/>
        <v>0</v>
      </c>
      <c r="H1943" s="31">
        <f t="shared" si="179"/>
        <v>0</v>
      </c>
      <c r="I1943" s="31">
        <f t="shared" si="180"/>
        <v>0</v>
      </c>
      <c r="J1943" s="31">
        <f t="shared" si="181"/>
        <v>0</v>
      </c>
      <c r="M1943" s="33">
        <f t="shared" si="177"/>
        <v>0</v>
      </c>
      <c r="N1943" s="33"/>
    </row>
    <row r="1944" spans="7:14" ht="16.5" customHeight="1">
      <c r="G1944" s="30">
        <f t="shared" si="178"/>
        <v>0</v>
      </c>
      <c r="H1944" s="31">
        <f t="shared" si="179"/>
        <v>0</v>
      </c>
      <c r="I1944" s="31">
        <f t="shared" si="180"/>
        <v>0</v>
      </c>
      <c r="J1944" s="31">
        <f t="shared" si="181"/>
        <v>0</v>
      </c>
      <c r="M1944" s="33">
        <f t="shared" si="177"/>
        <v>0</v>
      </c>
      <c r="N1944" s="33"/>
    </row>
    <row r="1945" spans="7:14" ht="16.5" customHeight="1">
      <c r="G1945" s="30">
        <f t="shared" si="178"/>
        <v>0</v>
      </c>
      <c r="H1945" s="31">
        <f t="shared" si="179"/>
        <v>0</v>
      </c>
      <c r="I1945" s="31">
        <f t="shared" si="180"/>
        <v>0</v>
      </c>
      <c r="J1945" s="31">
        <f t="shared" si="181"/>
        <v>0</v>
      </c>
      <c r="M1945" s="33">
        <f t="shared" si="177"/>
        <v>0</v>
      </c>
      <c r="N1945" s="33"/>
    </row>
    <row r="1946" spans="7:14" ht="16.5" customHeight="1">
      <c r="G1946" s="30">
        <f t="shared" si="178"/>
        <v>0</v>
      </c>
      <c r="H1946" s="31">
        <f t="shared" si="179"/>
        <v>0</v>
      </c>
      <c r="I1946" s="31">
        <f t="shared" si="180"/>
        <v>0</v>
      </c>
      <c r="J1946" s="31">
        <f t="shared" si="181"/>
        <v>0</v>
      </c>
      <c r="M1946" s="33">
        <f t="shared" si="177"/>
        <v>0</v>
      </c>
      <c r="N1946" s="33"/>
    </row>
    <row r="1947" spans="7:14" ht="16.5" customHeight="1">
      <c r="G1947" s="30">
        <f t="shared" si="178"/>
        <v>0</v>
      </c>
      <c r="H1947" s="31">
        <f t="shared" si="179"/>
        <v>0</v>
      </c>
      <c r="I1947" s="31">
        <f t="shared" si="180"/>
        <v>0</v>
      </c>
      <c r="J1947" s="31">
        <f t="shared" si="181"/>
        <v>0</v>
      </c>
      <c r="M1947" s="33">
        <f t="shared" si="177"/>
        <v>0</v>
      </c>
      <c r="N1947" s="33"/>
    </row>
    <row r="1948" spans="7:14" ht="16.5" customHeight="1">
      <c r="G1948" s="30">
        <f t="shared" si="178"/>
        <v>0</v>
      </c>
      <c r="H1948" s="31">
        <f t="shared" si="179"/>
        <v>0</v>
      </c>
      <c r="I1948" s="31">
        <f t="shared" si="180"/>
        <v>0</v>
      </c>
      <c r="J1948" s="31">
        <f t="shared" si="181"/>
        <v>0</v>
      </c>
      <c r="M1948" s="33">
        <f t="shared" si="177"/>
        <v>0</v>
      </c>
      <c r="N1948" s="33"/>
    </row>
    <row r="1949" spans="7:14" ht="16.5" customHeight="1">
      <c r="G1949" s="30">
        <f t="shared" si="178"/>
        <v>0</v>
      </c>
      <c r="H1949" s="31">
        <f t="shared" si="179"/>
        <v>0</v>
      </c>
      <c r="I1949" s="31">
        <f t="shared" si="180"/>
        <v>0</v>
      </c>
      <c r="J1949" s="31">
        <f t="shared" si="181"/>
        <v>0</v>
      </c>
      <c r="M1949" s="33">
        <f t="shared" si="177"/>
        <v>0</v>
      </c>
      <c r="N1949" s="33"/>
    </row>
    <row r="1950" spans="7:14" ht="16.5" customHeight="1">
      <c r="G1950" s="30">
        <f t="shared" si="178"/>
        <v>0</v>
      </c>
      <c r="H1950" s="31">
        <f t="shared" si="179"/>
        <v>0</v>
      </c>
      <c r="I1950" s="31">
        <f t="shared" si="180"/>
        <v>0</v>
      </c>
      <c r="J1950" s="31">
        <f t="shared" si="181"/>
        <v>0</v>
      </c>
      <c r="M1950" s="33">
        <f t="shared" si="177"/>
        <v>0</v>
      </c>
      <c r="N1950" s="33"/>
    </row>
    <row r="1951" spans="7:14" ht="16.5" customHeight="1">
      <c r="G1951" s="30">
        <f t="shared" si="178"/>
        <v>0</v>
      </c>
      <c r="H1951" s="31">
        <f t="shared" si="179"/>
        <v>0</v>
      </c>
      <c r="I1951" s="31">
        <f t="shared" si="180"/>
        <v>0</v>
      </c>
      <c r="J1951" s="31">
        <f t="shared" si="181"/>
        <v>0</v>
      </c>
      <c r="M1951" s="33">
        <f t="shared" si="177"/>
        <v>0</v>
      </c>
      <c r="N1951" s="33"/>
    </row>
    <row r="1952" spans="7:14" ht="16.5" customHeight="1">
      <c r="G1952" s="30">
        <f t="shared" si="178"/>
        <v>0</v>
      </c>
      <c r="H1952" s="31">
        <f t="shared" si="179"/>
        <v>0</v>
      </c>
      <c r="I1952" s="31">
        <f t="shared" si="180"/>
        <v>0</v>
      </c>
      <c r="J1952" s="31">
        <f t="shared" si="181"/>
        <v>0</v>
      </c>
      <c r="M1952" s="33">
        <f t="shared" si="177"/>
        <v>0</v>
      </c>
      <c r="N1952" s="33"/>
    </row>
    <row r="1953" spans="7:14" ht="16.5" customHeight="1">
      <c r="G1953" s="30">
        <f t="shared" si="178"/>
        <v>0</v>
      </c>
      <c r="H1953" s="31">
        <f t="shared" si="179"/>
        <v>0</v>
      </c>
      <c r="I1953" s="31">
        <f t="shared" si="180"/>
        <v>0</v>
      </c>
      <c r="J1953" s="31">
        <f t="shared" si="181"/>
        <v>0</v>
      </c>
      <c r="M1953" s="33">
        <f t="shared" si="177"/>
        <v>0</v>
      </c>
      <c r="N1953" s="33"/>
    </row>
    <row r="1954" spans="7:14" ht="16.5" customHeight="1">
      <c r="G1954" s="30">
        <f t="shared" si="178"/>
        <v>0</v>
      </c>
      <c r="H1954" s="31">
        <f t="shared" si="179"/>
        <v>0</v>
      </c>
      <c r="I1954" s="31">
        <f t="shared" si="180"/>
        <v>0</v>
      </c>
      <c r="J1954" s="31">
        <f t="shared" si="181"/>
        <v>0</v>
      </c>
      <c r="M1954" s="33">
        <f t="shared" si="177"/>
        <v>0</v>
      </c>
      <c r="N1954" s="33"/>
    </row>
    <row r="1955" spans="7:14" ht="16.5" customHeight="1">
      <c r="G1955" s="30">
        <f t="shared" si="178"/>
        <v>0</v>
      </c>
      <c r="H1955" s="31">
        <f t="shared" si="179"/>
        <v>0</v>
      </c>
      <c r="I1955" s="31">
        <f t="shared" si="180"/>
        <v>0</v>
      </c>
      <c r="J1955" s="31">
        <f t="shared" si="181"/>
        <v>0</v>
      </c>
      <c r="M1955" s="33">
        <f t="shared" si="177"/>
        <v>0</v>
      </c>
      <c r="N1955" s="33"/>
    </row>
    <row r="1956" spans="7:14" ht="16.5" customHeight="1">
      <c r="G1956" s="30">
        <f t="shared" si="178"/>
        <v>0</v>
      </c>
      <c r="H1956" s="31">
        <f t="shared" si="179"/>
        <v>0</v>
      </c>
      <c r="I1956" s="31">
        <f t="shared" si="180"/>
        <v>0</v>
      </c>
      <c r="J1956" s="31">
        <f t="shared" si="181"/>
        <v>0</v>
      </c>
      <c r="M1956" s="33">
        <f t="shared" si="177"/>
        <v>0</v>
      </c>
      <c r="N1956" s="33"/>
    </row>
    <row r="1957" spans="7:14" ht="16.5" customHeight="1">
      <c r="G1957" s="30">
        <f t="shared" si="178"/>
        <v>0</v>
      </c>
      <c r="H1957" s="31">
        <f t="shared" si="179"/>
        <v>0</v>
      </c>
      <c r="I1957" s="31">
        <f t="shared" si="180"/>
        <v>0</v>
      </c>
      <c r="J1957" s="31">
        <f t="shared" si="181"/>
        <v>0</v>
      </c>
      <c r="M1957" s="33">
        <f t="shared" si="177"/>
        <v>0</v>
      </c>
      <c r="N1957" s="33"/>
    </row>
    <row r="1958" spans="7:14" ht="16.5" customHeight="1">
      <c r="G1958" s="30">
        <f t="shared" si="178"/>
        <v>0</v>
      </c>
      <c r="H1958" s="31">
        <f t="shared" si="179"/>
        <v>0</v>
      </c>
      <c r="I1958" s="31">
        <f t="shared" si="180"/>
        <v>0</v>
      </c>
      <c r="J1958" s="31">
        <f t="shared" si="181"/>
        <v>0</v>
      </c>
      <c r="M1958" s="33">
        <f t="shared" si="177"/>
        <v>0</v>
      </c>
      <c r="N1958" s="33"/>
    </row>
    <row r="1959" spans="7:14" ht="16.5" customHeight="1">
      <c r="G1959" s="30">
        <f t="shared" si="178"/>
        <v>0</v>
      </c>
      <c r="H1959" s="31">
        <f t="shared" si="179"/>
        <v>0</v>
      </c>
      <c r="I1959" s="31">
        <f t="shared" si="180"/>
        <v>0</v>
      </c>
      <c r="J1959" s="31">
        <f t="shared" si="181"/>
        <v>0</v>
      </c>
      <c r="M1959" s="33">
        <f t="shared" si="177"/>
        <v>0</v>
      </c>
      <c r="N1959" s="33"/>
    </row>
    <row r="1960" spans="7:14" ht="16.5" customHeight="1">
      <c r="G1960" s="30">
        <f t="shared" si="178"/>
        <v>0</v>
      </c>
      <c r="H1960" s="31">
        <f t="shared" si="179"/>
        <v>0</v>
      </c>
      <c r="I1960" s="31">
        <f t="shared" si="180"/>
        <v>0</v>
      </c>
      <c r="J1960" s="31">
        <f t="shared" si="181"/>
        <v>0</v>
      </c>
      <c r="M1960" s="33">
        <f t="shared" si="177"/>
        <v>0</v>
      </c>
      <c r="N1960" s="33"/>
    </row>
    <row r="1961" spans="7:14" ht="16.5" customHeight="1">
      <c r="G1961" s="30">
        <f t="shared" si="178"/>
        <v>0</v>
      </c>
      <c r="H1961" s="31">
        <f t="shared" si="179"/>
        <v>0</v>
      </c>
      <c r="I1961" s="31">
        <f t="shared" si="180"/>
        <v>0</v>
      </c>
      <c r="J1961" s="31">
        <f t="shared" si="181"/>
        <v>0</v>
      </c>
      <c r="M1961" s="33">
        <f t="shared" si="177"/>
        <v>0</v>
      </c>
      <c r="N1961" s="33"/>
    </row>
    <row r="1962" spans="7:14" ht="16.5" customHeight="1">
      <c r="G1962" s="30">
        <f t="shared" si="178"/>
        <v>0</v>
      </c>
      <c r="H1962" s="31">
        <f t="shared" si="179"/>
        <v>0</v>
      </c>
      <c r="I1962" s="31">
        <f t="shared" si="180"/>
        <v>0</v>
      </c>
      <c r="J1962" s="31">
        <f t="shared" si="181"/>
        <v>0</v>
      </c>
      <c r="M1962" s="33">
        <f t="shared" si="177"/>
        <v>0</v>
      </c>
      <c r="N1962" s="33"/>
    </row>
    <row r="1963" spans="7:14" ht="16.5" customHeight="1">
      <c r="G1963" s="30">
        <f t="shared" si="178"/>
        <v>0</v>
      </c>
      <c r="H1963" s="31">
        <f t="shared" si="179"/>
        <v>0</v>
      </c>
      <c r="I1963" s="31">
        <f t="shared" si="180"/>
        <v>0</v>
      </c>
      <c r="J1963" s="31">
        <f t="shared" si="181"/>
        <v>0</v>
      </c>
      <c r="M1963" s="33">
        <f t="shared" si="177"/>
        <v>0</v>
      </c>
      <c r="N1963" s="33"/>
    </row>
    <row r="1964" spans="7:14" ht="16.5" customHeight="1">
      <c r="G1964" s="30">
        <f t="shared" si="178"/>
        <v>0</v>
      </c>
      <c r="H1964" s="31">
        <f t="shared" si="179"/>
        <v>0</v>
      </c>
      <c r="I1964" s="31">
        <f t="shared" si="180"/>
        <v>0</v>
      </c>
      <c r="J1964" s="31">
        <f t="shared" si="181"/>
        <v>0</v>
      </c>
      <c r="M1964" s="33">
        <f t="shared" si="177"/>
        <v>0</v>
      </c>
      <c r="N1964" s="33"/>
    </row>
    <row r="1965" spans="7:14" ht="16.5" customHeight="1">
      <c r="G1965" s="30">
        <f t="shared" si="178"/>
        <v>0</v>
      </c>
      <c r="H1965" s="31">
        <f t="shared" si="179"/>
        <v>0</v>
      </c>
      <c r="I1965" s="31">
        <f t="shared" si="180"/>
        <v>0</v>
      </c>
      <c r="J1965" s="31">
        <f t="shared" si="181"/>
        <v>0</v>
      </c>
      <c r="M1965" s="33">
        <f t="shared" si="177"/>
        <v>0</v>
      </c>
      <c r="N1965" s="33"/>
    </row>
    <row r="1966" spans="7:14" ht="16.5" customHeight="1">
      <c r="G1966" s="30">
        <f t="shared" si="178"/>
        <v>0</v>
      </c>
      <c r="H1966" s="31">
        <f t="shared" si="179"/>
        <v>0</v>
      </c>
      <c r="I1966" s="31">
        <f t="shared" si="180"/>
        <v>0</v>
      </c>
      <c r="J1966" s="31">
        <f t="shared" si="181"/>
        <v>0</v>
      </c>
      <c r="M1966" s="33">
        <f t="shared" si="177"/>
        <v>0</v>
      </c>
      <c r="N1966" s="33"/>
    </row>
    <row r="1967" spans="7:14" ht="16.5" customHeight="1">
      <c r="G1967" s="30">
        <f t="shared" si="178"/>
        <v>0</v>
      </c>
      <c r="H1967" s="31">
        <f t="shared" si="179"/>
        <v>0</v>
      </c>
      <c r="I1967" s="31">
        <f t="shared" si="180"/>
        <v>0</v>
      </c>
      <c r="J1967" s="31">
        <f t="shared" si="181"/>
        <v>0</v>
      </c>
      <c r="M1967" s="33">
        <f t="shared" si="177"/>
        <v>0</v>
      </c>
      <c r="N1967" s="33"/>
    </row>
    <row r="1968" spans="7:14" ht="16.5" customHeight="1">
      <c r="G1968" s="30">
        <f t="shared" si="178"/>
        <v>0</v>
      </c>
      <c r="H1968" s="31">
        <f t="shared" si="179"/>
        <v>0</v>
      </c>
      <c r="I1968" s="31">
        <f t="shared" si="180"/>
        <v>0</v>
      </c>
      <c r="J1968" s="31">
        <f t="shared" si="181"/>
        <v>0</v>
      </c>
      <c r="M1968" s="33">
        <f t="shared" si="177"/>
        <v>0</v>
      </c>
      <c r="N1968" s="33"/>
    </row>
    <row r="1969" spans="7:14" ht="16.5" customHeight="1">
      <c r="G1969" s="30">
        <f t="shared" si="178"/>
        <v>0</v>
      </c>
      <c r="H1969" s="31">
        <f t="shared" si="179"/>
        <v>0</v>
      </c>
      <c r="I1969" s="31">
        <f t="shared" si="180"/>
        <v>0</v>
      </c>
      <c r="J1969" s="31">
        <f t="shared" si="181"/>
        <v>0</v>
      </c>
      <c r="M1969" s="33">
        <f t="shared" si="177"/>
        <v>0</v>
      </c>
      <c r="N1969" s="33"/>
    </row>
    <row r="1970" spans="7:14" ht="16.5" customHeight="1">
      <c r="G1970" s="30">
        <f t="shared" si="178"/>
        <v>0</v>
      </c>
      <c r="H1970" s="31">
        <f t="shared" si="179"/>
        <v>0</v>
      </c>
      <c r="I1970" s="31">
        <f t="shared" si="180"/>
        <v>0</v>
      </c>
      <c r="J1970" s="31">
        <f t="shared" si="181"/>
        <v>0</v>
      </c>
      <c r="M1970" s="33">
        <f t="shared" si="177"/>
        <v>0</v>
      </c>
      <c r="N1970" s="33"/>
    </row>
    <row r="1971" spans="7:14" ht="16.5" customHeight="1">
      <c r="G1971" s="30">
        <f t="shared" si="178"/>
        <v>0</v>
      </c>
      <c r="H1971" s="31">
        <f t="shared" si="179"/>
        <v>0</v>
      </c>
      <c r="I1971" s="31">
        <f t="shared" si="180"/>
        <v>0</v>
      </c>
      <c r="J1971" s="31">
        <f t="shared" si="181"/>
        <v>0</v>
      </c>
      <c r="M1971" s="33">
        <f t="shared" si="177"/>
        <v>0</v>
      </c>
      <c r="N1971" s="33"/>
    </row>
    <row r="1972" spans="7:14" ht="16.5" customHeight="1">
      <c r="G1972" s="30">
        <f t="shared" si="178"/>
        <v>0</v>
      </c>
      <c r="H1972" s="31">
        <f t="shared" si="179"/>
        <v>0</v>
      </c>
      <c r="I1972" s="31">
        <f t="shared" si="180"/>
        <v>0</v>
      </c>
      <c r="J1972" s="31">
        <f t="shared" si="181"/>
        <v>0</v>
      </c>
      <c r="M1972" s="33">
        <f t="shared" si="177"/>
        <v>0</v>
      </c>
      <c r="N1972" s="33"/>
    </row>
    <row r="1973" spans="7:14" ht="16.5" customHeight="1">
      <c r="G1973" s="30">
        <f t="shared" si="178"/>
        <v>0</v>
      </c>
      <c r="H1973" s="31">
        <f t="shared" si="179"/>
        <v>0</v>
      </c>
      <c r="I1973" s="31">
        <f t="shared" si="180"/>
        <v>0</v>
      </c>
      <c r="J1973" s="31">
        <f t="shared" si="181"/>
        <v>0</v>
      </c>
      <c r="M1973" s="33">
        <f t="shared" si="177"/>
        <v>0</v>
      </c>
      <c r="N1973" s="33"/>
    </row>
    <row r="1974" spans="7:14" ht="16.5" customHeight="1">
      <c r="G1974" s="30">
        <f t="shared" si="178"/>
        <v>0</v>
      </c>
      <c r="H1974" s="31">
        <f t="shared" si="179"/>
        <v>0</v>
      </c>
      <c r="I1974" s="31">
        <f t="shared" si="180"/>
        <v>0</v>
      </c>
      <c r="J1974" s="31">
        <f t="shared" si="181"/>
        <v>0</v>
      </c>
      <c r="M1974" s="33">
        <f t="shared" si="177"/>
        <v>0</v>
      </c>
      <c r="N1974" s="33"/>
    </row>
    <row r="1975" spans="7:14" ht="16.5" customHeight="1">
      <c r="G1975" s="30">
        <f t="shared" si="178"/>
        <v>0</v>
      </c>
      <c r="H1975" s="31">
        <f t="shared" si="179"/>
        <v>0</v>
      </c>
      <c r="I1975" s="31">
        <f t="shared" si="180"/>
        <v>0</v>
      </c>
      <c r="J1975" s="31">
        <f t="shared" si="181"/>
        <v>0</v>
      </c>
      <c r="M1975" s="33">
        <f t="shared" si="177"/>
        <v>0</v>
      </c>
      <c r="N1975" s="33"/>
    </row>
    <row r="1976" spans="7:14" ht="16.5" customHeight="1">
      <c r="G1976" s="30">
        <f t="shared" si="178"/>
        <v>0</v>
      </c>
      <c r="H1976" s="31">
        <f t="shared" si="179"/>
        <v>0</v>
      </c>
      <c r="I1976" s="31">
        <f t="shared" si="180"/>
        <v>0</v>
      </c>
      <c r="J1976" s="31">
        <f t="shared" si="181"/>
        <v>0</v>
      </c>
      <c r="M1976" s="33">
        <f t="shared" si="177"/>
        <v>0</v>
      </c>
      <c r="N1976" s="33"/>
    </row>
    <row r="1977" spans="7:14" ht="16.5" customHeight="1">
      <c r="G1977" s="30">
        <f t="shared" si="178"/>
        <v>0</v>
      </c>
      <c r="H1977" s="31">
        <f t="shared" si="179"/>
        <v>0</v>
      </c>
      <c r="I1977" s="31">
        <f t="shared" si="180"/>
        <v>0</v>
      </c>
      <c r="J1977" s="31">
        <f t="shared" si="181"/>
        <v>0</v>
      </c>
      <c r="M1977" s="33">
        <f t="shared" si="177"/>
        <v>0</v>
      </c>
      <c r="N1977" s="33"/>
    </row>
    <row r="1978" spans="7:14" ht="16.5" customHeight="1">
      <c r="G1978" s="30">
        <f t="shared" si="178"/>
        <v>0</v>
      </c>
      <c r="H1978" s="31">
        <f t="shared" si="179"/>
        <v>0</v>
      </c>
      <c r="I1978" s="31">
        <f t="shared" si="180"/>
        <v>0</v>
      </c>
      <c r="J1978" s="31">
        <f t="shared" si="181"/>
        <v>0</v>
      </c>
      <c r="M1978" s="33">
        <f t="shared" si="177"/>
        <v>0</v>
      </c>
      <c r="N1978" s="33"/>
    </row>
    <row r="1979" spans="7:14" ht="16.5" customHeight="1">
      <c r="G1979" s="30">
        <f t="shared" si="178"/>
        <v>0</v>
      </c>
      <c r="H1979" s="31">
        <f t="shared" si="179"/>
        <v>0</v>
      </c>
      <c r="I1979" s="31">
        <f t="shared" si="180"/>
        <v>0</v>
      </c>
      <c r="J1979" s="31">
        <f t="shared" si="181"/>
        <v>0</v>
      </c>
      <c r="M1979" s="33">
        <f t="shared" si="177"/>
        <v>0</v>
      </c>
      <c r="N1979" s="33"/>
    </row>
    <row r="1980" spans="7:14" ht="16.5" customHeight="1">
      <c r="G1980" s="30">
        <f t="shared" si="178"/>
        <v>0</v>
      </c>
      <c r="H1980" s="31">
        <f t="shared" si="179"/>
        <v>0</v>
      </c>
      <c r="I1980" s="31">
        <f t="shared" si="180"/>
        <v>0</v>
      </c>
      <c r="J1980" s="31">
        <f t="shared" si="181"/>
        <v>0</v>
      </c>
      <c r="M1980" s="33">
        <f t="shared" si="177"/>
        <v>0</v>
      </c>
      <c r="N1980" s="33"/>
    </row>
    <row r="1981" spans="7:14" ht="16.5" customHeight="1">
      <c r="G1981" s="30">
        <f t="shared" si="178"/>
        <v>0</v>
      </c>
      <c r="H1981" s="31">
        <f t="shared" si="179"/>
        <v>0</v>
      </c>
      <c r="I1981" s="31">
        <f t="shared" si="180"/>
        <v>0</v>
      </c>
      <c r="J1981" s="31">
        <f t="shared" si="181"/>
        <v>0</v>
      </c>
      <c r="M1981" s="33">
        <f t="shared" si="177"/>
        <v>0</v>
      </c>
      <c r="N1981" s="33"/>
    </row>
    <row r="1982" spans="7:14" ht="16.5" customHeight="1">
      <c r="G1982" s="30">
        <f t="shared" si="178"/>
        <v>0</v>
      </c>
      <c r="H1982" s="31">
        <f t="shared" si="179"/>
        <v>0</v>
      </c>
      <c r="I1982" s="31">
        <f t="shared" si="180"/>
        <v>0</v>
      </c>
      <c r="J1982" s="31">
        <f t="shared" si="181"/>
        <v>0</v>
      </c>
      <c r="M1982" s="33">
        <f t="shared" ref="M1982:M2045" si="182">IF(P1982="TL tuyệt đối",0, IF(K1982&lt;5,0,IF(K1982&lt;50,K1982*9%,IF(K1982&lt;100,4.5,IF(K1982&lt;200,4.5%*K1982,IF(K1982&lt;300,9,IF(K1982&lt;500,K1982*3%,IF(K1982&lt;1000,15,))))))))</f>
        <v>0</v>
      </c>
      <c r="N1982" s="33"/>
    </row>
    <row r="1983" spans="7:14" ht="16.5" customHeight="1">
      <c r="G1983" s="30">
        <f t="shared" si="178"/>
        <v>0</v>
      </c>
      <c r="H1983" s="31">
        <f t="shared" si="179"/>
        <v>0</v>
      </c>
      <c r="I1983" s="31">
        <f t="shared" si="180"/>
        <v>0</v>
      </c>
      <c r="J1983" s="31">
        <f t="shared" si="181"/>
        <v>0</v>
      </c>
      <c r="M1983" s="33">
        <f t="shared" si="182"/>
        <v>0</v>
      </c>
      <c r="N1983" s="33"/>
    </row>
    <row r="1984" spans="7:14" ht="16.5" customHeight="1">
      <c r="G1984" s="30">
        <f t="shared" ref="G1984:G2047" si="183">IF(P1984="TL tuyệt đối",K1984*103%,K1984+1/3*M1984)</f>
        <v>0</v>
      </c>
      <c r="H1984" s="31">
        <f t="shared" ref="H1984:H2047" si="184">IF(P1984="TL tuyệt đối",K1984*101%,K1984-1/3*M1984)</f>
        <v>0</v>
      </c>
      <c r="I1984" s="31">
        <f t="shared" ref="I1984:I2047" si="185">IF(P1984="TL tuyệt đối", K1984*105%,K1984+M1984)</f>
        <v>0</v>
      </c>
      <c r="J1984" s="31">
        <f t="shared" si="181"/>
        <v>0</v>
      </c>
      <c r="M1984" s="33">
        <f t="shared" si="182"/>
        <v>0</v>
      </c>
      <c r="N1984" s="33"/>
    </row>
    <row r="1985" spans="7:14" ht="16.5" customHeight="1">
      <c r="G1985" s="30">
        <f t="shared" si="183"/>
        <v>0</v>
      </c>
      <c r="H1985" s="31">
        <f t="shared" si="184"/>
        <v>0</v>
      </c>
      <c r="I1985" s="31">
        <f t="shared" si="185"/>
        <v>0</v>
      </c>
      <c r="J1985" s="31">
        <f t="shared" si="181"/>
        <v>0</v>
      </c>
      <c r="M1985" s="33">
        <f t="shared" si="182"/>
        <v>0</v>
      </c>
      <c r="N1985" s="33"/>
    </row>
    <row r="1986" spans="7:14" ht="16.5" customHeight="1">
      <c r="G1986" s="30">
        <f t="shared" si="183"/>
        <v>0</v>
      </c>
      <c r="H1986" s="31">
        <f t="shared" si="184"/>
        <v>0</v>
      </c>
      <c r="I1986" s="31">
        <f t="shared" si="185"/>
        <v>0</v>
      </c>
      <c r="J1986" s="31">
        <f t="shared" si="181"/>
        <v>0</v>
      </c>
      <c r="M1986" s="33">
        <f t="shared" si="182"/>
        <v>0</v>
      </c>
      <c r="N1986" s="33"/>
    </row>
    <row r="1987" spans="7:14" ht="16.5" customHeight="1">
      <c r="G1987" s="30">
        <f t="shared" si="183"/>
        <v>0</v>
      </c>
      <c r="H1987" s="31">
        <f t="shared" si="184"/>
        <v>0</v>
      </c>
      <c r="I1987" s="31">
        <f t="shared" si="185"/>
        <v>0</v>
      </c>
      <c r="J1987" s="31">
        <f t="shared" si="181"/>
        <v>0</v>
      </c>
      <c r="M1987" s="33">
        <f t="shared" si="182"/>
        <v>0</v>
      </c>
      <c r="N1987" s="33"/>
    </row>
    <row r="1988" spans="7:14" ht="16.5" customHeight="1">
      <c r="G1988" s="30">
        <f t="shared" si="183"/>
        <v>0</v>
      </c>
      <c r="H1988" s="31">
        <f t="shared" si="184"/>
        <v>0</v>
      </c>
      <c r="I1988" s="31">
        <f t="shared" si="185"/>
        <v>0</v>
      </c>
      <c r="J1988" s="31">
        <f t="shared" ref="J1988:J2051" si="186">K1988-M1988</f>
        <v>0</v>
      </c>
      <c r="M1988" s="33">
        <f t="shared" si="182"/>
        <v>0</v>
      </c>
      <c r="N1988" s="33"/>
    </row>
    <row r="1989" spans="7:14" ht="16.5" customHeight="1">
      <c r="G1989" s="30">
        <f t="shared" si="183"/>
        <v>0</v>
      </c>
      <c r="H1989" s="31">
        <f t="shared" si="184"/>
        <v>0</v>
      </c>
      <c r="I1989" s="31">
        <f t="shared" si="185"/>
        <v>0</v>
      </c>
      <c r="J1989" s="31">
        <f t="shared" si="186"/>
        <v>0</v>
      </c>
      <c r="M1989" s="33">
        <f t="shared" si="182"/>
        <v>0</v>
      </c>
      <c r="N1989" s="33"/>
    </row>
    <row r="1990" spans="7:14" ht="16.5" customHeight="1">
      <c r="G1990" s="30">
        <f t="shared" si="183"/>
        <v>0</v>
      </c>
      <c r="H1990" s="31">
        <f t="shared" si="184"/>
        <v>0</v>
      </c>
      <c r="I1990" s="31">
        <f t="shared" si="185"/>
        <v>0</v>
      </c>
      <c r="J1990" s="31">
        <f t="shared" si="186"/>
        <v>0</v>
      </c>
      <c r="M1990" s="33">
        <f t="shared" si="182"/>
        <v>0</v>
      </c>
      <c r="N1990" s="33"/>
    </row>
    <row r="1991" spans="7:14" ht="16.5" customHeight="1">
      <c r="G1991" s="30">
        <f t="shared" si="183"/>
        <v>0</v>
      </c>
      <c r="H1991" s="31">
        <f t="shared" si="184"/>
        <v>0</v>
      </c>
      <c r="I1991" s="31">
        <f t="shared" si="185"/>
        <v>0</v>
      </c>
      <c r="J1991" s="31">
        <f t="shared" si="186"/>
        <v>0</v>
      </c>
      <c r="M1991" s="33">
        <f t="shared" si="182"/>
        <v>0</v>
      </c>
      <c r="N1991" s="33"/>
    </row>
    <row r="1992" spans="7:14" ht="16.5" customHeight="1">
      <c r="G1992" s="30">
        <f t="shared" si="183"/>
        <v>0</v>
      </c>
      <c r="H1992" s="31">
        <f t="shared" si="184"/>
        <v>0</v>
      </c>
      <c r="I1992" s="31">
        <f t="shared" si="185"/>
        <v>0</v>
      </c>
      <c r="J1992" s="31">
        <f t="shared" si="186"/>
        <v>0</v>
      </c>
      <c r="M1992" s="33">
        <f t="shared" si="182"/>
        <v>0</v>
      </c>
      <c r="N1992" s="33"/>
    </row>
    <row r="1993" spans="7:14" ht="16.5" customHeight="1">
      <c r="G1993" s="30">
        <f t="shared" si="183"/>
        <v>0</v>
      </c>
      <c r="H1993" s="31">
        <f t="shared" si="184"/>
        <v>0</v>
      </c>
      <c r="I1993" s="31">
        <f t="shared" si="185"/>
        <v>0</v>
      </c>
      <c r="J1993" s="31">
        <f t="shared" si="186"/>
        <v>0</v>
      </c>
      <c r="M1993" s="33">
        <f t="shared" si="182"/>
        <v>0</v>
      </c>
      <c r="N1993" s="33"/>
    </row>
    <row r="1994" spans="7:14" ht="16.5" customHeight="1">
      <c r="G1994" s="30">
        <f t="shared" si="183"/>
        <v>0</v>
      </c>
      <c r="H1994" s="31">
        <f t="shared" si="184"/>
        <v>0</v>
      </c>
      <c r="I1994" s="31">
        <f t="shared" si="185"/>
        <v>0</v>
      </c>
      <c r="J1994" s="31">
        <f t="shared" si="186"/>
        <v>0</v>
      </c>
      <c r="M1994" s="33">
        <f t="shared" si="182"/>
        <v>0</v>
      </c>
      <c r="N1994" s="33"/>
    </row>
    <row r="1995" spans="7:14" ht="16.5" customHeight="1">
      <c r="G1995" s="30">
        <f t="shared" si="183"/>
        <v>0</v>
      </c>
      <c r="H1995" s="31">
        <f t="shared" si="184"/>
        <v>0</v>
      </c>
      <c r="I1995" s="31">
        <f t="shared" si="185"/>
        <v>0</v>
      </c>
      <c r="J1995" s="31">
        <f t="shared" si="186"/>
        <v>0</v>
      </c>
      <c r="M1995" s="33">
        <f t="shared" si="182"/>
        <v>0</v>
      </c>
      <c r="N1995" s="33"/>
    </row>
    <row r="1996" spans="7:14" ht="16.5" customHeight="1">
      <c r="G1996" s="30">
        <f t="shared" si="183"/>
        <v>0</v>
      </c>
      <c r="H1996" s="31">
        <f t="shared" si="184"/>
        <v>0</v>
      </c>
      <c r="I1996" s="31">
        <f t="shared" si="185"/>
        <v>0</v>
      </c>
      <c r="J1996" s="31">
        <f t="shared" si="186"/>
        <v>0</v>
      </c>
      <c r="M1996" s="33">
        <f t="shared" si="182"/>
        <v>0</v>
      </c>
      <c r="N1996" s="33"/>
    </row>
    <row r="1997" spans="7:14" ht="16.5" customHeight="1">
      <c r="G1997" s="30">
        <f t="shared" si="183"/>
        <v>0</v>
      </c>
      <c r="H1997" s="31">
        <f t="shared" si="184"/>
        <v>0</v>
      </c>
      <c r="I1997" s="31">
        <f t="shared" si="185"/>
        <v>0</v>
      </c>
      <c r="J1997" s="31">
        <f t="shared" si="186"/>
        <v>0</v>
      </c>
      <c r="M1997" s="33">
        <f t="shared" si="182"/>
        <v>0</v>
      </c>
      <c r="N1997" s="33"/>
    </row>
    <row r="1998" spans="7:14" ht="16.5" customHeight="1">
      <c r="G1998" s="30">
        <f t="shared" si="183"/>
        <v>0</v>
      </c>
      <c r="H1998" s="31">
        <f t="shared" si="184"/>
        <v>0</v>
      </c>
      <c r="I1998" s="31">
        <f t="shared" si="185"/>
        <v>0</v>
      </c>
      <c r="J1998" s="31">
        <f t="shared" si="186"/>
        <v>0</v>
      </c>
      <c r="M1998" s="33">
        <f t="shared" si="182"/>
        <v>0</v>
      </c>
      <c r="N1998" s="33"/>
    </row>
    <row r="1999" spans="7:14" ht="16.5" customHeight="1">
      <c r="G1999" s="30">
        <f t="shared" si="183"/>
        <v>0</v>
      </c>
      <c r="H1999" s="31">
        <f t="shared" si="184"/>
        <v>0</v>
      </c>
      <c r="I1999" s="31">
        <f t="shared" si="185"/>
        <v>0</v>
      </c>
      <c r="J1999" s="31">
        <f t="shared" si="186"/>
        <v>0</v>
      </c>
      <c r="M1999" s="33">
        <f t="shared" si="182"/>
        <v>0</v>
      </c>
      <c r="N1999" s="33"/>
    </row>
    <row r="2000" spans="7:14" ht="16.5" customHeight="1">
      <c r="G2000" s="30">
        <f t="shared" si="183"/>
        <v>0</v>
      </c>
      <c r="H2000" s="31">
        <f t="shared" si="184"/>
        <v>0</v>
      </c>
      <c r="I2000" s="31">
        <f t="shared" si="185"/>
        <v>0</v>
      </c>
      <c r="J2000" s="31">
        <f t="shared" si="186"/>
        <v>0</v>
      </c>
      <c r="M2000" s="33">
        <f t="shared" si="182"/>
        <v>0</v>
      </c>
      <c r="N2000" s="33"/>
    </row>
    <row r="2001" spans="7:14" ht="16.5" customHeight="1">
      <c r="G2001" s="30">
        <f t="shared" si="183"/>
        <v>0</v>
      </c>
      <c r="H2001" s="31">
        <f t="shared" si="184"/>
        <v>0</v>
      </c>
      <c r="I2001" s="31">
        <f t="shared" si="185"/>
        <v>0</v>
      </c>
      <c r="J2001" s="31">
        <f t="shared" si="186"/>
        <v>0</v>
      </c>
      <c r="M2001" s="33">
        <f t="shared" si="182"/>
        <v>0</v>
      </c>
      <c r="N2001" s="33"/>
    </row>
    <row r="2002" spans="7:14" ht="16.5" customHeight="1">
      <c r="G2002" s="30">
        <f t="shared" si="183"/>
        <v>0</v>
      </c>
      <c r="H2002" s="31">
        <f t="shared" si="184"/>
        <v>0</v>
      </c>
      <c r="I2002" s="31">
        <f t="shared" si="185"/>
        <v>0</v>
      </c>
      <c r="J2002" s="31">
        <f t="shared" si="186"/>
        <v>0</v>
      </c>
      <c r="M2002" s="33">
        <f t="shared" si="182"/>
        <v>0</v>
      </c>
      <c r="N2002" s="33"/>
    </row>
    <row r="2003" spans="7:14" ht="16.5" customHeight="1">
      <c r="G2003" s="30">
        <f t="shared" si="183"/>
        <v>0</v>
      </c>
      <c r="H2003" s="31">
        <f t="shared" si="184"/>
        <v>0</v>
      </c>
      <c r="I2003" s="31">
        <f t="shared" si="185"/>
        <v>0</v>
      </c>
      <c r="J2003" s="31">
        <f t="shared" si="186"/>
        <v>0</v>
      </c>
      <c r="M2003" s="33">
        <f t="shared" si="182"/>
        <v>0</v>
      </c>
      <c r="N2003" s="33"/>
    </row>
    <row r="2004" spans="7:14" ht="16.5" customHeight="1">
      <c r="G2004" s="30">
        <f t="shared" si="183"/>
        <v>0</v>
      </c>
      <c r="H2004" s="31">
        <f t="shared" si="184"/>
        <v>0</v>
      </c>
      <c r="I2004" s="31">
        <f t="shared" si="185"/>
        <v>0</v>
      </c>
      <c r="J2004" s="31">
        <f t="shared" si="186"/>
        <v>0</v>
      </c>
      <c r="M2004" s="33">
        <f t="shared" si="182"/>
        <v>0</v>
      </c>
      <c r="N2004" s="33"/>
    </row>
    <row r="2005" spans="7:14" ht="16.5" customHeight="1">
      <c r="G2005" s="30">
        <f t="shared" si="183"/>
        <v>0</v>
      </c>
      <c r="H2005" s="31">
        <f t="shared" si="184"/>
        <v>0</v>
      </c>
      <c r="I2005" s="31">
        <f t="shared" si="185"/>
        <v>0</v>
      </c>
      <c r="J2005" s="31">
        <f t="shared" si="186"/>
        <v>0</v>
      </c>
      <c r="M2005" s="33">
        <f t="shared" si="182"/>
        <v>0</v>
      </c>
      <c r="N2005" s="33"/>
    </row>
    <row r="2006" spans="7:14" ht="16.5" customHeight="1">
      <c r="G2006" s="30">
        <f t="shared" si="183"/>
        <v>0</v>
      </c>
      <c r="H2006" s="31">
        <f t="shared" si="184"/>
        <v>0</v>
      </c>
      <c r="I2006" s="31">
        <f t="shared" si="185"/>
        <v>0</v>
      </c>
      <c r="J2006" s="31">
        <f t="shared" si="186"/>
        <v>0</v>
      </c>
      <c r="M2006" s="33">
        <f t="shared" si="182"/>
        <v>0</v>
      </c>
      <c r="N2006" s="33"/>
    </row>
    <row r="2007" spans="7:14" ht="16.5" customHeight="1">
      <c r="G2007" s="30">
        <f t="shared" si="183"/>
        <v>0</v>
      </c>
      <c r="H2007" s="31">
        <f t="shared" si="184"/>
        <v>0</v>
      </c>
      <c r="I2007" s="31">
        <f t="shared" si="185"/>
        <v>0</v>
      </c>
      <c r="J2007" s="31">
        <f t="shared" si="186"/>
        <v>0</v>
      </c>
      <c r="M2007" s="33">
        <f t="shared" si="182"/>
        <v>0</v>
      </c>
      <c r="N2007" s="33"/>
    </row>
    <row r="2008" spans="7:14" ht="16.5" customHeight="1">
      <c r="G2008" s="30">
        <f t="shared" si="183"/>
        <v>0</v>
      </c>
      <c r="H2008" s="31">
        <f t="shared" si="184"/>
        <v>0</v>
      </c>
      <c r="I2008" s="31">
        <f t="shared" si="185"/>
        <v>0</v>
      </c>
      <c r="J2008" s="31">
        <f t="shared" si="186"/>
        <v>0</v>
      </c>
      <c r="M2008" s="33">
        <f t="shared" si="182"/>
        <v>0</v>
      </c>
      <c r="N2008" s="33"/>
    </row>
    <row r="2009" spans="7:14" ht="16.5" customHeight="1">
      <c r="G2009" s="30">
        <f t="shared" si="183"/>
        <v>0</v>
      </c>
      <c r="H2009" s="31">
        <f t="shared" si="184"/>
        <v>0</v>
      </c>
      <c r="I2009" s="31">
        <f t="shared" si="185"/>
        <v>0</v>
      </c>
      <c r="J2009" s="31">
        <f t="shared" si="186"/>
        <v>0</v>
      </c>
      <c r="M2009" s="33">
        <f t="shared" si="182"/>
        <v>0</v>
      </c>
      <c r="N2009" s="33"/>
    </row>
    <row r="2010" spans="7:14" ht="16.5" customHeight="1">
      <c r="G2010" s="30">
        <f t="shared" si="183"/>
        <v>0</v>
      </c>
      <c r="H2010" s="31">
        <f t="shared" si="184"/>
        <v>0</v>
      </c>
      <c r="I2010" s="31">
        <f t="shared" si="185"/>
        <v>0</v>
      </c>
      <c r="J2010" s="31">
        <f t="shared" si="186"/>
        <v>0</v>
      </c>
      <c r="M2010" s="33">
        <f t="shared" si="182"/>
        <v>0</v>
      </c>
      <c r="N2010" s="33"/>
    </row>
    <row r="2011" spans="7:14" ht="16.5" customHeight="1">
      <c r="G2011" s="30">
        <f t="shared" si="183"/>
        <v>0</v>
      </c>
      <c r="H2011" s="31">
        <f t="shared" si="184"/>
        <v>0</v>
      </c>
      <c r="I2011" s="31">
        <f t="shared" si="185"/>
        <v>0</v>
      </c>
      <c r="J2011" s="31">
        <f t="shared" si="186"/>
        <v>0</v>
      </c>
      <c r="M2011" s="33">
        <f t="shared" si="182"/>
        <v>0</v>
      </c>
      <c r="N2011" s="33"/>
    </row>
    <row r="2012" spans="7:14" ht="16.5" customHeight="1">
      <c r="G2012" s="30">
        <f t="shared" si="183"/>
        <v>0</v>
      </c>
      <c r="H2012" s="31">
        <f t="shared" si="184"/>
        <v>0</v>
      </c>
      <c r="I2012" s="31">
        <f t="shared" si="185"/>
        <v>0</v>
      </c>
      <c r="J2012" s="31">
        <f t="shared" si="186"/>
        <v>0</v>
      </c>
      <c r="M2012" s="33">
        <f t="shared" si="182"/>
        <v>0</v>
      </c>
      <c r="N2012" s="33"/>
    </row>
    <row r="2013" spans="7:14" ht="16.5" customHeight="1">
      <c r="G2013" s="30">
        <f t="shared" si="183"/>
        <v>0</v>
      </c>
      <c r="H2013" s="31">
        <f t="shared" si="184"/>
        <v>0</v>
      </c>
      <c r="I2013" s="31">
        <f t="shared" si="185"/>
        <v>0</v>
      </c>
      <c r="J2013" s="31">
        <f t="shared" si="186"/>
        <v>0</v>
      </c>
      <c r="M2013" s="33">
        <f t="shared" si="182"/>
        <v>0</v>
      </c>
      <c r="N2013" s="33"/>
    </row>
    <row r="2014" spans="7:14" ht="16.5" customHeight="1">
      <c r="G2014" s="30">
        <f t="shared" si="183"/>
        <v>0</v>
      </c>
      <c r="H2014" s="31">
        <f t="shared" si="184"/>
        <v>0</v>
      </c>
      <c r="I2014" s="31">
        <f t="shared" si="185"/>
        <v>0</v>
      </c>
      <c r="J2014" s="31">
        <f t="shared" si="186"/>
        <v>0</v>
      </c>
      <c r="M2014" s="33">
        <f t="shared" si="182"/>
        <v>0</v>
      </c>
      <c r="N2014" s="33"/>
    </row>
    <row r="2015" spans="7:14" ht="16.5" customHeight="1">
      <c r="G2015" s="30">
        <f t="shared" si="183"/>
        <v>0</v>
      </c>
      <c r="H2015" s="31">
        <f t="shared" si="184"/>
        <v>0</v>
      </c>
      <c r="I2015" s="31">
        <f t="shared" si="185"/>
        <v>0</v>
      </c>
      <c r="J2015" s="31">
        <f t="shared" si="186"/>
        <v>0</v>
      </c>
      <c r="M2015" s="33">
        <f t="shared" si="182"/>
        <v>0</v>
      </c>
      <c r="N2015" s="33"/>
    </row>
    <row r="2016" spans="7:14" ht="16.5" customHeight="1">
      <c r="G2016" s="30">
        <f t="shared" si="183"/>
        <v>0</v>
      </c>
      <c r="H2016" s="31">
        <f t="shared" si="184"/>
        <v>0</v>
      </c>
      <c r="I2016" s="31">
        <f t="shared" si="185"/>
        <v>0</v>
      </c>
      <c r="J2016" s="31">
        <f t="shared" si="186"/>
        <v>0</v>
      </c>
      <c r="M2016" s="33">
        <f t="shared" si="182"/>
        <v>0</v>
      </c>
      <c r="N2016" s="33"/>
    </row>
    <row r="2017" spans="7:14" ht="16.5" customHeight="1">
      <c r="G2017" s="30">
        <f t="shared" si="183"/>
        <v>0</v>
      </c>
      <c r="H2017" s="31">
        <f t="shared" si="184"/>
        <v>0</v>
      </c>
      <c r="I2017" s="31">
        <f t="shared" si="185"/>
        <v>0</v>
      </c>
      <c r="J2017" s="31">
        <f t="shared" si="186"/>
        <v>0</v>
      </c>
      <c r="M2017" s="33">
        <f t="shared" si="182"/>
        <v>0</v>
      </c>
      <c r="N2017" s="33"/>
    </row>
    <row r="2018" spans="7:14" ht="16.5" customHeight="1">
      <c r="G2018" s="30">
        <f t="shared" si="183"/>
        <v>0</v>
      </c>
      <c r="H2018" s="31">
        <f t="shared" si="184"/>
        <v>0</v>
      </c>
      <c r="I2018" s="31">
        <f t="shared" si="185"/>
        <v>0</v>
      </c>
      <c r="J2018" s="31">
        <f t="shared" si="186"/>
        <v>0</v>
      </c>
      <c r="M2018" s="33">
        <f t="shared" si="182"/>
        <v>0</v>
      </c>
      <c r="N2018" s="33"/>
    </row>
    <row r="2019" spans="7:14" ht="16.5" customHeight="1">
      <c r="G2019" s="30">
        <f t="shared" si="183"/>
        <v>0</v>
      </c>
      <c r="H2019" s="31">
        <f t="shared" si="184"/>
        <v>0</v>
      </c>
      <c r="I2019" s="31">
        <f t="shared" si="185"/>
        <v>0</v>
      </c>
      <c r="J2019" s="31">
        <f t="shared" si="186"/>
        <v>0</v>
      </c>
      <c r="M2019" s="33">
        <f t="shared" si="182"/>
        <v>0</v>
      </c>
      <c r="N2019" s="33"/>
    </row>
    <row r="2020" spans="7:14" ht="16.5" customHeight="1">
      <c r="G2020" s="30">
        <f t="shared" si="183"/>
        <v>0</v>
      </c>
      <c r="H2020" s="31">
        <f t="shared" si="184"/>
        <v>0</v>
      </c>
      <c r="I2020" s="31">
        <f t="shared" si="185"/>
        <v>0</v>
      </c>
      <c r="J2020" s="31">
        <f t="shared" si="186"/>
        <v>0</v>
      </c>
      <c r="M2020" s="33">
        <f t="shared" si="182"/>
        <v>0</v>
      </c>
      <c r="N2020" s="33"/>
    </row>
    <row r="2021" spans="7:14" ht="16.5" customHeight="1">
      <c r="G2021" s="30">
        <f t="shared" si="183"/>
        <v>0</v>
      </c>
      <c r="H2021" s="31">
        <f t="shared" si="184"/>
        <v>0</v>
      </c>
      <c r="I2021" s="31">
        <f t="shared" si="185"/>
        <v>0</v>
      </c>
      <c r="J2021" s="31">
        <f t="shared" si="186"/>
        <v>0</v>
      </c>
      <c r="M2021" s="33">
        <f t="shared" si="182"/>
        <v>0</v>
      </c>
      <c r="N2021" s="33"/>
    </row>
    <row r="2022" spans="7:14" ht="16.5" customHeight="1">
      <c r="G2022" s="30">
        <f t="shared" si="183"/>
        <v>0</v>
      </c>
      <c r="H2022" s="31">
        <f t="shared" si="184"/>
        <v>0</v>
      </c>
      <c r="I2022" s="31">
        <f t="shared" si="185"/>
        <v>0</v>
      </c>
      <c r="J2022" s="31">
        <f t="shared" si="186"/>
        <v>0</v>
      </c>
      <c r="M2022" s="33">
        <f t="shared" si="182"/>
        <v>0</v>
      </c>
      <c r="N2022" s="33"/>
    </row>
    <row r="2023" spans="7:14" ht="16.5" customHeight="1">
      <c r="G2023" s="30">
        <f t="shared" si="183"/>
        <v>0</v>
      </c>
      <c r="H2023" s="31">
        <f t="shared" si="184"/>
        <v>0</v>
      </c>
      <c r="I2023" s="31">
        <f t="shared" si="185"/>
        <v>0</v>
      </c>
      <c r="J2023" s="31">
        <f t="shared" si="186"/>
        <v>0</v>
      </c>
      <c r="M2023" s="33">
        <f t="shared" si="182"/>
        <v>0</v>
      </c>
      <c r="N2023" s="33"/>
    </row>
    <row r="2024" spans="7:14" ht="16.5" customHeight="1">
      <c r="G2024" s="30">
        <f t="shared" si="183"/>
        <v>0</v>
      </c>
      <c r="H2024" s="31">
        <f t="shared" si="184"/>
        <v>0</v>
      </c>
      <c r="I2024" s="31">
        <f t="shared" si="185"/>
        <v>0</v>
      </c>
      <c r="J2024" s="31">
        <f t="shared" si="186"/>
        <v>0</v>
      </c>
      <c r="M2024" s="33">
        <f t="shared" si="182"/>
        <v>0</v>
      </c>
      <c r="N2024" s="33"/>
    </row>
    <row r="2025" spans="7:14" ht="16.5" customHeight="1">
      <c r="G2025" s="30">
        <f t="shared" si="183"/>
        <v>0</v>
      </c>
      <c r="H2025" s="31">
        <f t="shared" si="184"/>
        <v>0</v>
      </c>
      <c r="I2025" s="31">
        <f t="shared" si="185"/>
        <v>0</v>
      </c>
      <c r="J2025" s="31">
        <f t="shared" si="186"/>
        <v>0</v>
      </c>
      <c r="M2025" s="33">
        <f t="shared" si="182"/>
        <v>0</v>
      </c>
      <c r="N2025" s="33"/>
    </row>
    <row r="2026" spans="7:14" ht="16.5" customHeight="1">
      <c r="G2026" s="30">
        <f t="shared" si="183"/>
        <v>0</v>
      </c>
      <c r="H2026" s="31">
        <f t="shared" si="184"/>
        <v>0</v>
      </c>
      <c r="I2026" s="31">
        <f t="shared" si="185"/>
        <v>0</v>
      </c>
      <c r="J2026" s="31">
        <f t="shared" si="186"/>
        <v>0</v>
      </c>
      <c r="M2026" s="33">
        <f t="shared" si="182"/>
        <v>0</v>
      </c>
      <c r="N2026" s="33"/>
    </row>
    <row r="2027" spans="7:14" ht="16.5" customHeight="1">
      <c r="G2027" s="30">
        <f t="shared" si="183"/>
        <v>0</v>
      </c>
      <c r="H2027" s="31">
        <f t="shared" si="184"/>
        <v>0</v>
      </c>
      <c r="I2027" s="31">
        <f t="shared" si="185"/>
        <v>0</v>
      </c>
      <c r="J2027" s="31">
        <f t="shared" si="186"/>
        <v>0</v>
      </c>
      <c r="M2027" s="33">
        <f t="shared" si="182"/>
        <v>0</v>
      </c>
      <c r="N2027" s="33"/>
    </row>
    <row r="2028" spans="7:14" ht="16.5" customHeight="1">
      <c r="G2028" s="30">
        <f t="shared" si="183"/>
        <v>0</v>
      </c>
      <c r="H2028" s="31">
        <f t="shared" si="184"/>
        <v>0</v>
      </c>
      <c r="I2028" s="31">
        <f t="shared" si="185"/>
        <v>0</v>
      </c>
      <c r="J2028" s="31">
        <f t="shared" si="186"/>
        <v>0</v>
      </c>
      <c r="M2028" s="33">
        <f t="shared" si="182"/>
        <v>0</v>
      </c>
      <c r="N2028" s="33"/>
    </row>
    <row r="2029" spans="7:14" ht="16.5" customHeight="1">
      <c r="G2029" s="30">
        <f t="shared" si="183"/>
        <v>0</v>
      </c>
      <c r="H2029" s="31">
        <f t="shared" si="184"/>
        <v>0</v>
      </c>
      <c r="I2029" s="31">
        <f t="shared" si="185"/>
        <v>0</v>
      </c>
      <c r="J2029" s="31">
        <f t="shared" si="186"/>
        <v>0</v>
      </c>
      <c r="M2029" s="33">
        <f t="shared" si="182"/>
        <v>0</v>
      </c>
      <c r="N2029" s="33"/>
    </row>
    <row r="2030" spans="7:14" ht="16.5" customHeight="1">
      <c r="G2030" s="30">
        <f t="shared" si="183"/>
        <v>0</v>
      </c>
      <c r="H2030" s="31">
        <f t="shared" si="184"/>
        <v>0</v>
      </c>
      <c r="I2030" s="31">
        <f t="shared" si="185"/>
        <v>0</v>
      </c>
      <c r="J2030" s="31">
        <f t="shared" si="186"/>
        <v>0</v>
      </c>
      <c r="M2030" s="33">
        <f t="shared" si="182"/>
        <v>0</v>
      </c>
      <c r="N2030" s="33"/>
    </row>
    <row r="2031" spans="7:14" ht="16.5" customHeight="1">
      <c r="G2031" s="30">
        <f t="shared" si="183"/>
        <v>0</v>
      </c>
      <c r="H2031" s="31">
        <f t="shared" si="184"/>
        <v>0</v>
      </c>
      <c r="I2031" s="31">
        <f t="shared" si="185"/>
        <v>0</v>
      </c>
      <c r="J2031" s="31">
        <f t="shared" si="186"/>
        <v>0</v>
      </c>
      <c r="M2031" s="33">
        <f t="shared" si="182"/>
        <v>0</v>
      </c>
      <c r="N2031" s="33"/>
    </row>
    <row r="2032" spans="7:14" ht="16.5" customHeight="1">
      <c r="G2032" s="30">
        <f t="shared" si="183"/>
        <v>0</v>
      </c>
      <c r="H2032" s="31">
        <f t="shared" si="184"/>
        <v>0</v>
      </c>
      <c r="I2032" s="31">
        <f t="shared" si="185"/>
        <v>0</v>
      </c>
      <c r="J2032" s="31">
        <f t="shared" si="186"/>
        <v>0</v>
      </c>
      <c r="M2032" s="33">
        <f t="shared" si="182"/>
        <v>0</v>
      </c>
      <c r="N2032" s="33"/>
    </row>
    <row r="2033" spans="7:14" ht="16.5" customHeight="1">
      <c r="G2033" s="30">
        <f t="shared" si="183"/>
        <v>0</v>
      </c>
      <c r="H2033" s="31">
        <f t="shared" si="184"/>
        <v>0</v>
      </c>
      <c r="I2033" s="31">
        <f t="shared" si="185"/>
        <v>0</v>
      </c>
      <c r="J2033" s="31">
        <f t="shared" si="186"/>
        <v>0</v>
      </c>
      <c r="M2033" s="33">
        <f t="shared" si="182"/>
        <v>0</v>
      </c>
      <c r="N2033" s="33"/>
    </row>
    <row r="2034" spans="7:14" ht="16.5" customHeight="1">
      <c r="G2034" s="30">
        <f t="shared" si="183"/>
        <v>0</v>
      </c>
      <c r="H2034" s="31">
        <f t="shared" si="184"/>
        <v>0</v>
      </c>
      <c r="I2034" s="31">
        <f t="shared" si="185"/>
        <v>0</v>
      </c>
      <c r="J2034" s="31">
        <f t="shared" si="186"/>
        <v>0</v>
      </c>
      <c r="M2034" s="33">
        <f t="shared" si="182"/>
        <v>0</v>
      </c>
      <c r="N2034" s="33"/>
    </row>
    <row r="2035" spans="7:14" ht="16.5" customHeight="1">
      <c r="G2035" s="30">
        <f t="shared" si="183"/>
        <v>0</v>
      </c>
      <c r="H2035" s="31">
        <f t="shared" si="184"/>
        <v>0</v>
      </c>
      <c r="I2035" s="31">
        <f t="shared" si="185"/>
        <v>0</v>
      </c>
      <c r="J2035" s="31">
        <f t="shared" si="186"/>
        <v>0</v>
      </c>
      <c r="M2035" s="33">
        <f t="shared" si="182"/>
        <v>0</v>
      </c>
      <c r="N2035" s="33"/>
    </row>
    <row r="2036" spans="7:14" ht="16.5" customHeight="1">
      <c r="G2036" s="30">
        <f t="shared" si="183"/>
        <v>0</v>
      </c>
      <c r="H2036" s="31">
        <f t="shared" si="184"/>
        <v>0</v>
      </c>
      <c r="I2036" s="31">
        <f t="shared" si="185"/>
        <v>0</v>
      </c>
      <c r="J2036" s="31">
        <f t="shared" si="186"/>
        <v>0</v>
      </c>
      <c r="M2036" s="33">
        <f t="shared" si="182"/>
        <v>0</v>
      </c>
      <c r="N2036" s="33"/>
    </row>
    <row r="2037" spans="7:14" ht="16.5" customHeight="1">
      <c r="G2037" s="30">
        <f t="shared" si="183"/>
        <v>0</v>
      </c>
      <c r="H2037" s="31">
        <f t="shared" si="184"/>
        <v>0</v>
      </c>
      <c r="I2037" s="31">
        <f t="shared" si="185"/>
        <v>0</v>
      </c>
      <c r="J2037" s="31">
        <f t="shared" si="186"/>
        <v>0</v>
      </c>
      <c r="M2037" s="33">
        <f t="shared" si="182"/>
        <v>0</v>
      </c>
      <c r="N2037" s="33"/>
    </row>
    <row r="2038" spans="7:14" ht="16.5" customHeight="1">
      <c r="G2038" s="30">
        <f t="shared" si="183"/>
        <v>0</v>
      </c>
      <c r="H2038" s="31">
        <f t="shared" si="184"/>
        <v>0</v>
      </c>
      <c r="I2038" s="31">
        <f t="shared" si="185"/>
        <v>0</v>
      </c>
      <c r="J2038" s="31">
        <f t="shared" si="186"/>
        <v>0</v>
      </c>
      <c r="M2038" s="33">
        <f t="shared" si="182"/>
        <v>0</v>
      </c>
      <c r="N2038" s="33"/>
    </row>
    <row r="2039" spans="7:14" ht="16.5" customHeight="1">
      <c r="G2039" s="30">
        <f t="shared" si="183"/>
        <v>0</v>
      </c>
      <c r="H2039" s="31">
        <f t="shared" si="184"/>
        <v>0</v>
      </c>
      <c r="I2039" s="31">
        <f t="shared" si="185"/>
        <v>0</v>
      </c>
      <c r="J2039" s="31">
        <f t="shared" si="186"/>
        <v>0</v>
      </c>
      <c r="M2039" s="33">
        <f t="shared" si="182"/>
        <v>0</v>
      </c>
      <c r="N2039" s="33"/>
    </row>
    <row r="2040" spans="7:14" ht="16.5" customHeight="1">
      <c r="G2040" s="30">
        <f t="shared" si="183"/>
        <v>0</v>
      </c>
      <c r="H2040" s="31">
        <f t="shared" si="184"/>
        <v>0</v>
      </c>
      <c r="I2040" s="31">
        <f t="shared" si="185"/>
        <v>0</v>
      </c>
      <c r="J2040" s="31">
        <f t="shared" si="186"/>
        <v>0</v>
      </c>
      <c r="M2040" s="33">
        <f t="shared" si="182"/>
        <v>0</v>
      </c>
      <c r="N2040" s="33"/>
    </row>
    <row r="2041" spans="7:14" ht="16.5" customHeight="1">
      <c r="G2041" s="30">
        <f t="shared" si="183"/>
        <v>0</v>
      </c>
      <c r="H2041" s="31">
        <f t="shared" si="184"/>
        <v>0</v>
      </c>
      <c r="I2041" s="31">
        <f t="shared" si="185"/>
        <v>0</v>
      </c>
      <c r="J2041" s="31">
        <f t="shared" si="186"/>
        <v>0</v>
      </c>
      <c r="M2041" s="33">
        <f t="shared" si="182"/>
        <v>0</v>
      </c>
      <c r="N2041" s="33"/>
    </row>
    <row r="2042" spans="7:14" ht="16.5" customHeight="1">
      <c r="G2042" s="30">
        <f t="shared" si="183"/>
        <v>0</v>
      </c>
      <c r="H2042" s="31">
        <f t="shared" si="184"/>
        <v>0</v>
      </c>
      <c r="I2042" s="31">
        <f t="shared" si="185"/>
        <v>0</v>
      </c>
      <c r="J2042" s="31">
        <f t="shared" si="186"/>
        <v>0</v>
      </c>
      <c r="M2042" s="33">
        <f t="shared" si="182"/>
        <v>0</v>
      </c>
      <c r="N2042" s="33"/>
    </row>
    <row r="2043" spans="7:14" ht="16.5" customHeight="1">
      <c r="G2043" s="30">
        <f t="shared" si="183"/>
        <v>0</v>
      </c>
      <c r="H2043" s="31">
        <f t="shared" si="184"/>
        <v>0</v>
      </c>
      <c r="I2043" s="31">
        <f t="shared" si="185"/>
        <v>0</v>
      </c>
      <c r="J2043" s="31">
        <f t="shared" si="186"/>
        <v>0</v>
      </c>
      <c r="M2043" s="33">
        <f t="shared" si="182"/>
        <v>0</v>
      </c>
      <c r="N2043" s="33"/>
    </row>
    <row r="2044" spans="7:14" ht="16.5" customHeight="1">
      <c r="G2044" s="30">
        <f t="shared" si="183"/>
        <v>0</v>
      </c>
      <c r="H2044" s="31">
        <f t="shared" si="184"/>
        <v>0</v>
      </c>
      <c r="I2044" s="31">
        <f t="shared" si="185"/>
        <v>0</v>
      </c>
      <c r="J2044" s="31">
        <f t="shared" si="186"/>
        <v>0</v>
      </c>
      <c r="M2044" s="33">
        <f t="shared" si="182"/>
        <v>0</v>
      </c>
      <c r="N2044" s="33"/>
    </row>
    <row r="2045" spans="7:14" ht="16.5" customHeight="1">
      <c r="G2045" s="30">
        <f t="shared" si="183"/>
        <v>0</v>
      </c>
      <c r="H2045" s="31">
        <f t="shared" si="184"/>
        <v>0</v>
      </c>
      <c r="I2045" s="31">
        <f t="shared" si="185"/>
        <v>0</v>
      </c>
      <c r="J2045" s="31">
        <f t="shared" si="186"/>
        <v>0</v>
      </c>
      <c r="M2045" s="33">
        <f t="shared" si="182"/>
        <v>0</v>
      </c>
      <c r="N2045" s="33"/>
    </row>
    <row r="2046" spans="7:14" ht="16.5" customHeight="1">
      <c r="G2046" s="30">
        <f t="shared" si="183"/>
        <v>0</v>
      </c>
      <c r="H2046" s="31">
        <f t="shared" si="184"/>
        <v>0</v>
      </c>
      <c r="I2046" s="31">
        <f t="shared" si="185"/>
        <v>0</v>
      </c>
      <c r="J2046" s="31">
        <f t="shared" si="186"/>
        <v>0</v>
      </c>
      <c r="M2046" s="33">
        <f t="shared" ref="M2046:M2109" si="187">IF(P2046="TL tuyệt đối",0, IF(K2046&lt;5,0,IF(K2046&lt;50,K2046*9%,IF(K2046&lt;100,4.5,IF(K2046&lt;200,4.5%*K2046,IF(K2046&lt;300,9,IF(K2046&lt;500,K2046*3%,IF(K2046&lt;1000,15,))))))))</f>
        <v>0</v>
      </c>
      <c r="N2046" s="33"/>
    </row>
    <row r="2047" spans="7:14" ht="16.5" customHeight="1">
      <c r="G2047" s="30">
        <f t="shared" si="183"/>
        <v>0</v>
      </c>
      <c r="H2047" s="31">
        <f t="shared" si="184"/>
        <v>0</v>
      </c>
      <c r="I2047" s="31">
        <f t="shared" si="185"/>
        <v>0</v>
      </c>
      <c r="J2047" s="31">
        <f t="shared" si="186"/>
        <v>0</v>
      </c>
      <c r="M2047" s="33">
        <f t="shared" si="187"/>
        <v>0</v>
      </c>
      <c r="N2047" s="33"/>
    </row>
    <row r="2048" spans="7:14" ht="16.5" customHeight="1">
      <c r="G2048" s="30">
        <f t="shared" ref="G2048:G2111" si="188">IF(P2048="TL tuyệt đối",K2048*103%,K2048+1/3*M2048)</f>
        <v>0</v>
      </c>
      <c r="H2048" s="31">
        <f t="shared" ref="H2048:H2111" si="189">IF(P2048="TL tuyệt đối",K2048*101%,K2048-1/3*M2048)</f>
        <v>0</v>
      </c>
      <c r="I2048" s="31">
        <f t="shared" ref="I2048:I2111" si="190">IF(P2048="TL tuyệt đối", K2048*105%,K2048+M2048)</f>
        <v>0</v>
      </c>
      <c r="J2048" s="31">
        <f t="shared" si="186"/>
        <v>0</v>
      </c>
      <c r="M2048" s="33">
        <f t="shared" si="187"/>
        <v>0</v>
      </c>
      <c r="N2048" s="33"/>
    </row>
    <row r="2049" spans="7:14" ht="16.5" customHeight="1">
      <c r="G2049" s="30">
        <f t="shared" si="188"/>
        <v>0</v>
      </c>
      <c r="H2049" s="31">
        <f t="shared" si="189"/>
        <v>0</v>
      </c>
      <c r="I2049" s="31">
        <f t="shared" si="190"/>
        <v>0</v>
      </c>
      <c r="J2049" s="31">
        <f t="shared" si="186"/>
        <v>0</v>
      </c>
      <c r="M2049" s="33">
        <f t="shared" si="187"/>
        <v>0</v>
      </c>
      <c r="N2049" s="33"/>
    </row>
    <row r="2050" spans="7:14" ht="16.5" customHeight="1">
      <c r="G2050" s="30">
        <f t="shared" si="188"/>
        <v>0</v>
      </c>
      <c r="H2050" s="31">
        <f t="shared" si="189"/>
        <v>0</v>
      </c>
      <c r="I2050" s="31">
        <f t="shared" si="190"/>
        <v>0</v>
      </c>
      <c r="J2050" s="31">
        <f t="shared" si="186"/>
        <v>0</v>
      </c>
      <c r="M2050" s="33">
        <f t="shared" si="187"/>
        <v>0</v>
      </c>
      <c r="N2050" s="33"/>
    </row>
    <row r="2051" spans="7:14" ht="16.5" customHeight="1">
      <c r="G2051" s="30">
        <f t="shared" si="188"/>
        <v>0</v>
      </c>
      <c r="H2051" s="31">
        <f t="shared" si="189"/>
        <v>0</v>
      </c>
      <c r="I2051" s="31">
        <f t="shared" si="190"/>
        <v>0</v>
      </c>
      <c r="J2051" s="31">
        <f t="shared" si="186"/>
        <v>0</v>
      </c>
      <c r="M2051" s="33">
        <f t="shared" si="187"/>
        <v>0</v>
      </c>
      <c r="N2051" s="33"/>
    </row>
    <row r="2052" spans="7:14" ht="16.5" customHeight="1">
      <c r="G2052" s="30">
        <f t="shared" si="188"/>
        <v>0</v>
      </c>
      <c r="H2052" s="31">
        <f t="shared" si="189"/>
        <v>0</v>
      </c>
      <c r="I2052" s="31">
        <f t="shared" si="190"/>
        <v>0</v>
      </c>
      <c r="J2052" s="31">
        <f t="shared" ref="J2052:J2115" si="191">K2052-M2052</f>
        <v>0</v>
      </c>
      <c r="M2052" s="33">
        <f t="shared" si="187"/>
        <v>0</v>
      </c>
      <c r="N2052" s="33"/>
    </row>
    <row r="2053" spans="7:14" ht="16.5" customHeight="1">
      <c r="G2053" s="30">
        <f t="shared" si="188"/>
        <v>0</v>
      </c>
      <c r="H2053" s="31">
        <f t="shared" si="189"/>
        <v>0</v>
      </c>
      <c r="I2053" s="31">
        <f t="shared" si="190"/>
        <v>0</v>
      </c>
      <c r="J2053" s="31">
        <f t="shared" si="191"/>
        <v>0</v>
      </c>
      <c r="M2053" s="33">
        <f t="shared" si="187"/>
        <v>0</v>
      </c>
      <c r="N2053" s="33"/>
    </row>
    <row r="2054" spans="7:14" ht="16.5" customHeight="1">
      <c r="G2054" s="30">
        <f t="shared" si="188"/>
        <v>0</v>
      </c>
      <c r="H2054" s="31">
        <f t="shared" si="189"/>
        <v>0</v>
      </c>
      <c r="I2054" s="31">
        <f t="shared" si="190"/>
        <v>0</v>
      </c>
      <c r="J2054" s="31">
        <f t="shared" si="191"/>
        <v>0</v>
      </c>
      <c r="M2054" s="33">
        <f t="shared" si="187"/>
        <v>0</v>
      </c>
      <c r="N2054" s="33"/>
    </row>
    <row r="2055" spans="7:14" ht="16.5" customHeight="1">
      <c r="G2055" s="30">
        <f t="shared" si="188"/>
        <v>0</v>
      </c>
      <c r="H2055" s="31">
        <f t="shared" si="189"/>
        <v>0</v>
      </c>
      <c r="I2055" s="31">
        <f t="shared" si="190"/>
        <v>0</v>
      </c>
      <c r="J2055" s="31">
        <f t="shared" si="191"/>
        <v>0</v>
      </c>
      <c r="M2055" s="33">
        <f t="shared" si="187"/>
        <v>0</v>
      </c>
      <c r="N2055" s="33"/>
    </row>
    <row r="2056" spans="7:14" ht="16.5" customHeight="1">
      <c r="G2056" s="30">
        <f t="shared" si="188"/>
        <v>0</v>
      </c>
      <c r="H2056" s="31">
        <f t="shared" si="189"/>
        <v>0</v>
      </c>
      <c r="I2056" s="31">
        <f t="shared" si="190"/>
        <v>0</v>
      </c>
      <c r="J2056" s="31">
        <f t="shared" si="191"/>
        <v>0</v>
      </c>
      <c r="M2056" s="33">
        <f t="shared" si="187"/>
        <v>0</v>
      </c>
      <c r="N2056" s="33"/>
    </row>
    <row r="2057" spans="7:14" ht="16.5" customHeight="1">
      <c r="G2057" s="30">
        <f t="shared" si="188"/>
        <v>0</v>
      </c>
      <c r="H2057" s="31">
        <f t="shared" si="189"/>
        <v>0</v>
      </c>
      <c r="I2057" s="31">
        <f t="shared" si="190"/>
        <v>0</v>
      </c>
      <c r="J2057" s="31">
        <f t="shared" si="191"/>
        <v>0</v>
      </c>
      <c r="M2057" s="33">
        <f t="shared" si="187"/>
        <v>0</v>
      </c>
      <c r="N2057" s="33"/>
    </row>
    <row r="2058" spans="7:14" ht="16.5" customHeight="1">
      <c r="G2058" s="30">
        <f t="shared" si="188"/>
        <v>0</v>
      </c>
      <c r="H2058" s="31">
        <f t="shared" si="189"/>
        <v>0</v>
      </c>
      <c r="I2058" s="31">
        <f t="shared" si="190"/>
        <v>0</v>
      </c>
      <c r="J2058" s="31">
        <f t="shared" si="191"/>
        <v>0</v>
      </c>
      <c r="M2058" s="33">
        <f t="shared" si="187"/>
        <v>0</v>
      </c>
      <c r="N2058" s="33"/>
    </row>
    <row r="2059" spans="7:14" ht="16.5" customHeight="1">
      <c r="G2059" s="30">
        <f t="shared" si="188"/>
        <v>0</v>
      </c>
      <c r="H2059" s="31">
        <f t="shared" si="189"/>
        <v>0</v>
      </c>
      <c r="I2059" s="31">
        <f t="shared" si="190"/>
        <v>0</v>
      </c>
      <c r="J2059" s="31">
        <f t="shared" si="191"/>
        <v>0</v>
      </c>
      <c r="M2059" s="33">
        <f t="shared" si="187"/>
        <v>0</v>
      </c>
      <c r="N2059" s="33"/>
    </row>
    <row r="2060" spans="7:14" ht="16.5" customHeight="1">
      <c r="G2060" s="30">
        <f t="shared" si="188"/>
        <v>0</v>
      </c>
      <c r="H2060" s="31">
        <f t="shared" si="189"/>
        <v>0</v>
      </c>
      <c r="I2060" s="31">
        <f t="shared" si="190"/>
        <v>0</v>
      </c>
      <c r="J2060" s="31">
        <f t="shared" si="191"/>
        <v>0</v>
      </c>
      <c r="M2060" s="33">
        <f t="shared" si="187"/>
        <v>0</v>
      </c>
      <c r="N2060" s="33"/>
    </row>
    <row r="2061" spans="7:14" ht="16.5" customHeight="1">
      <c r="G2061" s="30">
        <f t="shared" si="188"/>
        <v>0</v>
      </c>
      <c r="H2061" s="31">
        <f t="shared" si="189"/>
        <v>0</v>
      </c>
      <c r="I2061" s="31">
        <f t="shared" si="190"/>
        <v>0</v>
      </c>
      <c r="J2061" s="31">
        <f t="shared" si="191"/>
        <v>0</v>
      </c>
      <c r="M2061" s="33">
        <f t="shared" si="187"/>
        <v>0</v>
      </c>
      <c r="N2061" s="33"/>
    </row>
    <row r="2062" spans="7:14" ht="16.5" customHeight="1">
      <c r="G2062" s="30">
        <f t="shared" si="188"/>
        <v>0</v>
      </c>
      <c r="H2062" s="31">
        <f t="shared" si="189"/>
        <v>0</v>
      </c>
      <c r="I2062" s="31">
        <f t="shared" si="190"/>
        <v>0</v>
      </c>
      <c r="J2062" s="31">
        <f t="shared" si="191"/>
        <v>0</v>
      </c>
      <c r="M2062" s="33">
        <f t="shared" si="187"/>
        <v>0</v>
      </c>
      <c r="N2062" s="33"/>
    </row>
    <row r="2063" spans="7:14" ht="16.5" customHeight="1">
      <c r="G2063" s="30">
        <f t="shared" si="188"/>
        <v>0</v>
      </c>
      <c r="H2063" s="31">
        <f t="shared" si="189"/>
        <v>0</v>
      </c>
      <c r="I2063" s="31">
        <f t="shared" si="190"/>
        <v>0</v>
      </c>
      <c r="J2063" s="31">
        <f t="shared" si="191"/>
        <v>0</v>
      </c>
      <c r="M2063" s="33">
        <f t="shared" si="187"/>
        <v>0</v>
      </c>
      <c r="N2063" s="33"/>
    </row>
    <row r="2064" spans="7:14" ht="16.5" customHeight="1">
      <c r="G2064" s="30">
        <f t="shared" si="188"/>
        <v>0</v>
      </c>
      <c r="H2064" s="31">
        <f t="shared" si="189"/>
        <v>0</v>
      </c>
      <c r="I2064" s="31">
        <f t="shared" si="190"/>
        <v>0</v>
      </c>
      <c r="J2064" s="31">
        <f t="shared" si="191"/>
        <v>0</v>
      </c>
      <c r="M2064" s="33">
        <f t="shared" si="187"/>
        <v>0</v>
      </c>
      <c r="N2064" s="33"/>
    </row>
    <row r="2065" spans="7:14" ht="16.5" customHeight="1">
      <c r="G2065" s="30">
        <f t="shared" si="188"/>
        <v>0</v>
      </c>
      <c r="H2065" s="31">
        <f t="shared" si="189"/>
        <v>0</v>
      </c>
      <c r="I2065" s="31">
        <f t="shared" si="190"/>
        <v>0</v>
      </c>
      <c r="J2065" s="31">
        <f t="shared" si="191"/>
        <v>0</v>
      </c>
      <c r="M2065" s="33">
        <f t="shared" si="187"/>
        <v>0</v>
      </c>
      <c r="N2065" s="33"/>
    </row>
    <row r="2066" spans="7:14" ht="16.5" customHeight="1">
      <c r="G2066" s="30">
        <f t="shared" si="188"/>
        <v>0</v>
      </c>
      <c r="H2066" s="31">
        <f t="shared" si="189"/>
        <v>0</v>
      </c>
      <c r="I2066" s="31">
        <f t="shared" si="190"/>
        <v>0</v>
      </c>
      <c r="J2066" s="31">
        <f t="shared" si="191"/>
        <v>0</v>
      </c>
      <c r="M2066" s="33">
        <f t="shared" si="187"/>
        <v>0</v>
      </c>
      <c r="N2066" s="33"/>
    </row>
    <row r="2067" spans="7:14" ht="16.5" customHeight="1">
      <c r="G2067" s="30">
        <f t="shared" si="188"/>
        <v>0</v>
      </c>
      <c r="H2067" s="31">
        <f t="shared" si="189"/>
        <v>0</v>
      </c>
      <c r="I2067" s="31">
        <f t="shared" si="190"/>
        <v>0</v>
      </c>
      <c r="J2067" s="31">
        <f t="shared" si="191"/>
        <v>0</v>
      </c>
      <c r="M2067" s="33">
        <f t="shared" si="187"/>
        <v>0</v>
      </c>
      <c r="N2067" s="33"/>
    </row>
    <row r="2068" spans="7:14" ht="16.5" customHeight="1">
      <c r="G2068" s="30">
        <f t="shared" si="188"/>
        <v>0</v>
      </c>
      <c r="H2068" s="31">
        <f t="shared" si="189"/>
        <v>0</v>
      </c>
      <c r="I2068" s="31">
        <f t="shared" si="190"/>
        <v>0</v>
      </c>
      <c r="J2068" s="31">
        <f t="shared" si="191"/>
        <v>0</v>
      </c>
      <c r="M2068" s="33">
        <f t="shared" si="187"/>
        <v>0</v>
      </c>
      <c r="N2068" s="33"/>
    </row>
    <row r="2069" spans="7:14" ht="16.5" customHeight="1">
      <c r="G2069" s="30">
        <f t="shared" si="188"/>
        <v>0</v>
      </c>
      <c r="H2069" s="31">
        <f t="shared" si="189"/>
        <v>0</v>
      </c>
      <c r="I2069" s="31">
        <f t="shared" si="190"/>
        <v>0</v>
      </c>
      <c r="J2069" s="31">
        <f t="shared" si="191"/>
        <v>0</v>
      </c>
      <c r="M2069" s="33">
        <f t="shared" si="187"/>
        <v>0</v>
      </c>
      <c r="N2069" s="33"/>
    </row>
    <row r="2070" spans="7:14" ht="16.5" customHeight="1">
      <c r="G2070" s="30">
        <f t="shared" si="188"/>
        <v>0</v>
      </c>
      <c r="H2070" s="31">
        <f t="shared" si="189"/>
        <v>0</v>
      </c>
      <c r="I2070" s="31">
        <f t="shared" si="190"/>
        <v>0</v>
      </c>
      <c r="J2070" s="31">
        <f t="shared" si="191"/>
        <v>0</v>
      </c>
      <c r="M2070" s="33">
        <f t="shared" si="187"/>
        <v>0</v>
      </c>
      <c r="N2070" s="33"/>
    </row>
    <row r="2071" spans="7:14" ht="16.5" customHeight="1">
      <c r="G2071" s="30">
        <f t="shared" si="188"/>
        <v>0</v>
      </c>
      <c r="H2071" s="31">
        <f t="shared" si="189"/>
        <v>0</v>
      </c>
      <c r="I2071" s="31">
        <f t="shared" si="190"/>
        <v>0</v>
      </c>
      <c r="J2071" s="31">
        <f t="shared" si="191"/>
        <v>0</v>
      </c>
      <c r="M2071" s="33">
        <f t="shared" si="187"/>
        <v>0</v>
      </c>
      <c r="N2071" s="33"/>
    </row>
    <row r="2072" spans="7:14" ht="16.5" customHeight="1">
      <c r="G2072" s="30">
        <f t="shared" si="188"/>
        <v>0</v>
      </c>
      <c r="H2072" s="31">
        <f t="shared" si="189"/>
        <v>0</v>
      </c>
      <c r="I2072" s="31">
        <f t="shared" si="190"/>
        <v>0</v>
      </c>
      <c r="J2072" s="31">
        <f t="shared" si="191"/>
        <v>0</v>
      </c>
      <c r="M2072" s="33">
        <f t="shared" si="187"/>
        <v>0</v>
      </c>
      <c r="N2072" s="33"/>
    </row>
    <row r="2073" spans="7:14" ht="16.5" customHeight="1">
      <c r="G2073" s="30">
        <f t="shared" si="188"/>
        <v>0</v>
      </c>
      <c r="H2073" s="31">
        <f t="shared" si="189"/>
        <v>0</v>
      </c>
      <c r="I2073" s="31">
        <f t="shared" si="190"/>
        <v>0</v>
      </c>
      <c r="J2073" s="31">
        <f t="shared" si="191"/>
        <v>0</v>
      </c>
      <c r="M2073" s="33">
        <f t="shared" si="187"/>
        <v>0</v>
      </c>
      <c r="N2073" s="33"/>
    </row>
    <row r="2074" spans="7:14" ht="16.5" customHeight="1">
      <c r="G2074" s="30">
        <f t="shared" si="188"/>
        <v>0</v>
      </c>
      <c r="H2074" s="31">
        <f t="shared" si="189"/>
        <v>0</v>
      </c>
      <c r="I2074" s="31">
        <f t="shared" si="190"/>
        <v>0</v>
      </c>
      <c r="J2074" s="31">
        <f t="shared" si="191"/>
        <v>0</v>
      </c>
      <c r="M2074" s="33">
        <f t="shared" si="187"/>
        <v>0</v>
      </c>
      <c r="N2074" s="33"/>
    </row>
    <row r="2075" spans="7:14" ht="16.5" customHeight="1">
      <c r="G2075" s="30">
        <f t="shared" si="188"/>
        <v>0</v>
      </c>
      <c r="H2075" s="31">
        <f t="shared" si="189"/>
        <v>0</v>
      </c>
      <c r="I2075" s="31">
        <f t="shared" si="190"/>
        <v>0</v>
      </c>
      <c r="J2075" s="31">
        <f t="shared" si="191"/>
        <v>0</v>
      </c>
      <c r="M2075" s="33">
        <f t="shared" si="187"/>
        <v>0</v>
      </c>
      <c r="N2075" s="33"/>
    </row>
    <row r="2076" spans="7:14" ht="16.5" customHeight="1">
      <c r="G2076" s="30">
        <f t="shared" si="188"/>
        <v>0</v>
      </c>
      <c r="H2076" s="31">
        <f t="shared" si="189"/>
        <v>0</v>
      </c>
      <c r="I2076" s="31">
        <f t="shared" si="190"/>
        <v>0</v>
      </c>
      <c r="J2076" s="31">
        <f t="shared" si="191"/>
        <v>0</v>
      </c>
      <c r="M2076" s="33">
        <f t="shared" si="187"/>
        <v>0</v>
      </c>
      <c r="N2076" s="33"/>
    </row>
    <row r="2077" spans="7:14" ht="16.5" customHeight="1">
      <c r="G2077" s="30">
        <f t="shared" si="188"/>
        <v>0</v>
      </c>
      <c r="H2077" s="31">
        <f t="shared" si="189"/>
        <v>0</v>
      </c>
      <c r="I2077" s="31">
        <f t="shared" si="190"/>
        <v>0</v>
      </c>
      <c r="J2077" s="31">
        <f t="shared" si="191"/>
        <v>0</v>
      </c>
      <c r="M2077" s="33">
        <f t="shared" si="187"/>
        <v>0</v>
      </c>
      <c r="N2077" s="33"/>
    </row>
    <row r="2078" spans="7:14" ht="16.5" customHeight="1">
      <c r="G2078" s="30">
        <f t="shared" si="188"/>
        <v>0</v>
      </c>
      <c r="H2078" s="31">
        <f t="shared" si="189"/>
        <v>0</v>
      </c>
      <c r="I2078" s="31">
        <f t="shared" si="190"/>
        <v>0</v>
      </c>
      <c r="J2078" s="31">
        <f t="shared" si="191"/>
        <v>0</v>
      </c>
      <c r="M2078" s="33">
        <f t="shared" si="187"/>
        <v>0</v>
      </c>
      <c r="N2078" s="33"/>
    </row>
    <row r="2079" spans="7:14" ht="16.5" customHeight="1">
      <c r="G2079" s="30">
        <f t="shared" si="188"/>
        <v>0</v>
      </c>
      <c r="H2079" s="31">
        <f t="shared" si="189"/>
        <v>0</v>
      </c>
      <c r="I2079" s="31">
        <f t="shared" si="190"/>
        <v>0</v>
      </c>
      <c r="J2079" s="31">
        <f t="shared" si="191"/>
        <v>0</v>
      </c>
      <c r="M2079" s="33">
        <f t="shared" si="187"/>
        <v>0</v>
      </c>
      <c r="N2079" s="33"/>
    </row>
    <row r="2080" spans="7:14" ht="16.5" customHeight="1">
      <c r="G2080" s="30">
        <f t="shared" si="188"/>
        <v>0</v>
      </c>
      <c r="H2080" s="31">
        <f t="shared" si="189"/>
        <v>0</v>
      </c>
      <c r="I2080" s="31">
        <f t="shared" si="190"/>
        <v>0</v>
      </c>
      <c r="J2080" s="31">
        <f t="shared" si="191"/>
        <v>0</v>
      </c>
      <c r="M2080" s="33">
        <f t="shared" si="187"/>
        <v>0</v>
      </c>
      <c r="N2080" s="33"/>
    </row>
    <row r="2081" spans="7:14" ht="16.5" customHeight="1">
      <c r="G2081" s="30">
        <f t="shared" si="188"/>
        <v>0</v>
      </c>
      <c r="H2081" s="31">
        <f t="shared" si="189"/>
        <v>0</v>
      </c>
      <c r="I2081" s="31">
        <f t="shared" si="190"/>
        <v>0</v>
      </c>
      <c r="J2081" s="31">
        <f t="shared" si="191"/>
        <v>0</v>
      </c>
      <c r="M2081" s="33">
        <f t="shared" si="187"/>
        <v>0</v>
      </c>
      <c r="N2081" s="33"/>
    </row>
    <row r="2082" spans="7:14" ht="16.5" customHeight="1">
      <c r="G2082" s="30">
        <f t="shared" si="188"/>
        <v>0</v>
      </c>
      <c r="H2082" s="31">
        <f t="shared" si="189"/>
        <v>0</v>
      </c>
      <c r="I2082" s="31">
        <f t="shared" si="190"/>
        <v>0</v>
      </c>
      <c r="J2082" s="31">
        <f t="shared" si="191"/>
        <v>0</v>
      </c>
      <c r="M2082" s="33">
        <f t="shared" si="187"/>
        <v>0</v>
      </c>
      <c r="N2082" s="33"/>
    </row>
    <row r="2083" spans="7:14" ht="16.5" customHeight="1">
      <c r="G2083" s="30">
        <f t="shared" si="188"/>
        <v>0</v>
      </c>
      <c r="H2083" s="31">
        <f t="shared" si="189"/>
        <v>0</v>
      </c>
      <c r="I2083" s="31">
        <f t="shared" si="190"/>
        <v>0</v>
      </c>
      <c r="J2083" s="31">
        <f t="shared" si="191"/>
        <v>0</v>
      </c>
      <c r="M2083" s="33">
        <f t="shared" si="187"/>
        <v>0</v>
      </c>
      <c r="N2083" s="33"/>
    </row>
    <row r="2084" spans="7:14" ht="16.5" customHeight="1">
      <c r="G2084" s="30">
        <f t="shared" si="188"/>
        <v>0</v>
      </c>
      <c r="H2084" s="31">
        <f t="shared" si="189"/>
        <v>0</v>
      </c>
      <c r="I2084" s="31">
        <f t="shared" si="190"/>
        <v>0</v>
      </c>
      <c r="J2084" s="31">
        <f t="shared" si="191"/>
        <v>0</v>
      </c>
      <c r="M2084" s="33">
        <f t="shared" si="187"/>
        <v>0</v>
      </c>
      <c r="N2084" s="33"/>
    </row>
    <row r="2085" spans="7:14" ht="16.5" customHeight="1">
      <c r="G2085" s="30">
        <f t="shared" si="188"/>
        <v>0</v>
      </c>
      <c r="H2085" s="31">
        <f t="shared" si="189"/>
        <v>0</v>
      </c>
      <c r="I2085" s="31">
        <f t="shared" si="190"/>
        <v>0</v>
      </c>
      <c r="J2085" s="31">
        <f t="shared" si="191"/>
        <v>0</v>
      </c>
      <c r="M2085" s="33">
        <f t="shared" si="187"/>
        <v>0</v>
      </c>
      <c r="N2085" s="33"/>
    </row>
    <row r="2086" spans="7:14" ht="16.5" customHeight="1">
      <c r="G2086" s="30">
        <f t="shared" si="188"/>
        <v>0</v>
      </c>
      <c r="H2086" s="31">
        <f t="shared" si="189"/>
        <v>0</v>
      </c>
      <c r="I2086" s="31">
        <f t="shared" si="190"/>
        <v>0</v>
      </c>
      <c r="J2086" s="31">
        <f t="shared" si="191"/>
        <v>0</v>
      </c>
      <c r="M2086" s="33">
        <f t="shared" si="187"/>
        <v>0</v>
      </c>
      <c r="N2086" s="33"/>
    </row>
    <row r="2087" spans="7:14" ht="16.5" customHeight="1">
      <c r="G2087" s="30">
        <f t="shared" si="188"/>
        <v>0</v>
      </c>
      <c r="H2087" s="31">
        <f t="shared" si="189"/>
        <v>0</v>
      </c>
      <c r="I2087" s="31">
        <f t="shared" si="190"/>
        <v>0</v>
      </c>
      <c r="J2087" s="31">
        <f t="shared" si="191"/>
        <v>0</v>
      </c>
      <c r="M2087" s="33">
        <f t="shared" si="187"/>
        <v>0</v>
      </c>
      <c r="N2087" s="33"/>
    </row>
    <row r="2088" spans="7:14" ht="16.5" customHeight="1">
      <c r="G2088" s="30">
        <f t="shared" si="188"/>
        <v>0</v>
      </c>
      <c r="H2088" s="31">
        <f t="shared" si="189"/>
        <v>0</v>
      </c>
      <c r="I2088" s="31">
        <f t="shared" si="190"/>
        <v>0</v>
      </c>
      <c r="J2088" s="31">
        <f t="shared" si="191"/>
        <v>0</v>
      </c>
      <c r="M2088" s="33">
        <f t="shared" si="187"/>
        <v>0</v>
      </c>
      <c r="N2088" s="33"/>
    </row>
    <row r="2089" spans="7:14" ht="16.5" customHeight="1">
      <c r="G2089" s="30">
        <f t="shared" si="188"/>
        <v>0</v>
      </c>
      <c r="H2089" s="31">
        <f t="shared" si="189"/>
        <v>0</v>
      </c>
      <c r="I2089" s="31">
        <f t="shared" si="190"/>
        <v>0</v>
      </c>
      <c r="J2089" s="31">
        <f t="shared" si="191"/>
        <v>0</v>
      </c>
      <c r="M2089" s="33">
        <f t="shared" si="187"/>
        <v>0</v>
      </c>
      <c r="N2089" s="33"/>
    </row>
    <row r="2090" spans="7:14" ht="16.5" customHeight="1">
      <c r="G2090" s="30">
        <f t="shared" si="188"/>
        <v>0</v>
      </c>
      <c r="H2090" s="31">
        <f t="shared" si="189"/>
        <v>0</v>
      </c>
      <c r="I2090" s="31">
        <f t="shared" si="190"/>
        <v>0</v>
      </c>
      <c r="J2090" s="31">
        <f t="shared" si="191"/>
        <v>0</v>
      </c>
      <c r="M2090" s="33">
        <f t="shared" si="187"/>
        <v>0</v>
      </c>
      <c r="N2090" s="33"/>
    </row>
    <row r="2091" spans="7:14" ht="16.5" customHeight="1">
      <c r="G2091" s="30">
        <f t="shared" si="188"/>
        <v>0</v>
      </c>
      <c r="H2091" s="31">
        <f t="shared" si="189"/>
        <v>0</v>
      </c>
      <c r="I2091" s="31">
        <f t="shared" si="190"/>
        <v>0</v>
      </c>
      <c r="J2091" s="31">
        <f t="shared" si="191"/>
        <v>0</v>
      </c>
      <c r="M2091" s="33">
        <f t="shared" si="187"/>
        <v>0</v>
      </c>
      <c r="N2091" s="33"/>
    </row>
    <row r="2092" spans="7:14" ht="16.5" customHeight="1">
      <c r="G2092" s="30">
        <f t="shared" si="188"/>
        <v>0</v>
      </c>
      <c r="H2092" s="31">
        <f t="shared" si="189"/>
        <v>0</v>
      </c>
      <c r="I2092" s="31">
        <f t="shared" si="190"/>
        <v>0</v>
      </c>
      <c r="J2092" s="31">
        <f t="shared" si="191"/>
        <v>0</v>
      </c>
      <c r="M2092" s="33">
        <f t="shared" si="187"/>
        <v>0</v>
      </c>
      <c r="N2092" s="33"/>
    </row>
    <row r="2093" spans="7:14" ht="16.5" customHeight="1">
      <c r="G2093" s="30">
        <f t="shared" si="188"/>
        <v>0</v>
      </c>
      <c r="H2093" s="31">
        <f t="shared" si="189"/>
        <v>0</v>
      </c>
      <c r="I2093" s="31">
        <f t="shared" si="190"/>
        <v>0</v>
      </c>
      <c r="J2093" s="31">
        <f t="shared" si="191"/>
        <v>0</v>
      </c>
      <c r="M2093" s="33">
        <f t="shared" si="187"/>
        <v>0</v>
      </c>
      <c r="N2093" s="33"/>
    </row>
    <row r="2094" spans="7:14" ht="16.5" customHeight="1">
      <c r="G2094" s="30">
        <f t="shared" si="188"/>
        <v>0</v>
      </c>
      <c r="H2094" s="31">
        <f t="shared" si="189"/>
        <v>0</v>
      </c>
      <c r="I2094" s="31">
        <f t="shared" si="190"/>
        <v>0</v>
      </c>
      <c r="J2094" s="31">
        <f t="shared" si="191"/>
        <v>0</v>
      </c>
      <c r="M2094" s="33">
        <f t="shared" si="187"/>
        <v>0</v>
      </c>
      <c r="N2094" s="33"/>
    </row>
    <row r="2095" spans="7:14" ht="16.5" customHeight="1">
      <c r="G2095" s="30">
        <f t="shared" si="188"/>
        <v>0</v>
      </c>
      <c r="H2095" s="31">
        <f t="shared" si="189"/>
        <v>0</v>
      </c>
      <c r="I2095" s="31">
        <f t="shared" si="190"/>
        <v>0</v>
      </c>
      <c r="J2095" s="31">
        <f t="shared" si="191"/>
        <v>0</v>
      </c>
      <c r="M2095" s="33">
        <f t="shared" si="187"/>
        <v>0</v>
      </c>
      <c r="N2095" s="33"/>
    </row>
    <row r="2096" spans="7:14" ht="16.5" customHeight="1">
      <c r="G2096" s="30">
        <f t="shared" si="188"/>
        <v>0</v>
      </c>
      <c r="H2096" s="31">
        <f t="shared" si="189"/>
        <v>0</v>
      </c>
      <c r="I2096" s="31">
        <f t="shared" si="190"/>
        <v>0</v>
      </c>
      <c r="J2096" s="31">
        <f t="shared" si="191"/>
        <v>0</v>
      </c>
      <c r="M2096" s="33">
        <f t="shared" si="187"/>
        <v>0</v>
      </c>
      <c r="N2096" s="33"/>
    </row>
    <row r="2097" spans="7:14" ht="16.5" customHeight="1">
      <c r="G2097" s="30">
        <f t="shared" si="188"/>
        <v>0</v>
      </c>
      <c r="H2097" s="31">
        <f t="shared" si="189"/>
        <v>0</v>
      </c>
      <c r="I2097" s="31">
        <f t="shared" si="190"/>
        <v>0</v>
      </c>
      <c r="J2097" s="31">
        <f t="shared" si="191"/>
        <v>0</v>
      </c>
      <c r="M2097" s="33">
        <f t="shared" si="187"/>
        <v>0</v>
      </c>
      <c r="N2097" s="33"/>
    </row>
    <row r="2098" spans="7:14" ht="16.5" customHeight="1">
      <c r="G2098" s="30">
        <f t="shared" si="188"/>
        <v>0</v>
      </c>
      <c r="H2098" s="31">
        <f t="shared" si="189"/>
        <v>0</v>
      </c>
      <c r="I2098" s="31">
        <f t="shared" si="190"/>
        <v>0</v>
      </c>
      <c r="J2098" s="31">
        <f t="shared" si="191"/>
        <v>0</v>
      </c>
      <c r="M2098" s="33">
        <f t="shared" si="187"/>
        <v>0</v>
      </c>
      <c r="N2098" s="33"/>
    </row>
    <row r="2099" spans="7:14" ht="16.5" customHeight="1">
      <c r="G2099" s="30">
        <f t="shared" si="188"/>
        <v>0</v>
      </c>
      <c r="H2099" s="31">
        <f t="shared" si="189"/>
        <v>0</v>
      </c>
      <c r="I2099" s="31">
        <f t="shared" si="190"/>
        <v>0</v>
      </c>
      <c r="J2099" s="31">
        <f t="shared" si="191"/>
        <v>0</v>
      </c>
      <c r="M2099" s="33">
        <f t="shared" si="187"/>
        <v>0</v>
      </c>
      <c r="N2099" s="33"/>
    </row>
    <row r="2100" spans="7:14" ht="16.5" customHeight="1">
      <c r="G2100" s="30">
        <f t="shared" si="188"/>
        <v>0</v>
      </c>
      <c r="H2100" s="31">
        <f t="shared" si="189"/>
        <v>0</v>
      </c>
      <c r="I2100" s="31">
        <f t="shared" si="190"/>
        <v>0</v>
      </c>
      <c r="J2100" s="31">
        <f t="shared" si="191"/>
        <v>0</v>
      </c>
      <c r="M2100" s="33">
        <f t="shared" si="187"/>
        <v>0</v>
      </c>
      <c r="N2100" s="33"/>
    </row>
    <row r="2101" spans="7:14" ht="16.5" customHeight="1">
      <c r="G2101" s="30">
        <f t="shared" si="188"/>
        <v>0</v>
      </c>
      <c r="H2101" s="31">
        <f t="shared" si="189"/>
        <v>0</v>
      </c>
      <c r="I2101" s="31">
        <f t="shared" si="190"/>
        <v>0</v>
      </c>
      <c r="J2101" s="31">
        <f t="shared" si="191"/>
        <v>0</v>
      </c>
      <c r="M2101" s="33">
        <f t="shared" si="187"/>
        <v>0</v>
      </c>
      <c r="N2101" s="33"/>
    </row>
    <row r="2102" spans="7:14" ht="16.5" customHeight="1">
      <c r="G2102" s="30">
        <f t="shared" si="188"/>
        <v>0</v>
      </c>
      <c r="H2102" s="31">
        <f t="shared" si="189"/>
        <v>0</v>
      </c>
      <c r="I2102" s="31">
        <f t="shared" si="190"/>
        <v>0</v>
      </c>
      <c r="J2102" s="31">
        <f t="shared" si="191"/>
        <v>0</v>
      </c>
      <c r="M2102" s="33">
        <f t="shared" si="187"/>
        <v>0</v>
      </c>
      <c r="N2102" s="33"/>
    </row>
    <row r="2103" spans="7:14" ht="16.5" customHeight="1">
      <c r="G2103" s="30">
        <f t="shared" si="188"/>
        <v>0</v>
      </c>
      <c r="H2103" s="31">
        <f t="shared" si="189"/>
        <v>0</v>
      </c>
      <c r="I2103" s="31">
        <f t="shared" si="190"/>
        <v>0</v>
      </c>
      <c r="J2103" s="31">
        <f t="shared" si="191"/>
        <v>0</v>
      </c>
      <c r="M2103" s="33">
        <f t="shared" si="187"/>
        <v>0</v>
      </c>
      <c r="N2103" s="33"/>
    </row>
    <row r="2104" spans="7:14" ht="16.5" customHeight="1">
      <c r="G2104" s="30">
        <f t="shared" si="188"/>
        <v>0</v>
      </c>
      <c r="H2104" s="31">
        <f t="shared" si="189"/>
        <v>0</v>
      </c>
      <c r="I2104" s="31">
        <f t="shared" si="190"/>
        <v>0</v>
      </c>
      <c r="J2104" s="31">
        <f t="shared" si="191"/>
        <v>0</v>
      </c>
      <c r="M2104" s="33">
        <f t="shared" si="187"/>
        <v>0</v>
      </c>
      <c r="N2104" s="33"/>
    </row>
    <row r="2105" spans="7:14" ht="16.5" customHeight="1">
      <c r="G2105" s="30">
        <f t="shared" si="188"/>
        <v>0</v>
      </c>
      <c r="H2105" s="31">
        <f t="shared" si="189"/>
        <v>0</v>
      </c>
      <c r="I2105" s="31">
        <f t="shared" si="190"/>
        <v>0</v>
      </c>
      <c r="J2105" s="31">
        <f t="shared" si="191"/>
        <v>0</v>
      </c>
      <c r="M2105" s="33">
        <f t="shared" si="187"/>
        <v>0</v>
      </c>
      <c r="N2105" s="33"/>
    </row>
    <row r="2106" spans="7:14" ht="16.5" customHeight="1">
      <c r="G2106" s="30">
        <f t="shared" si="188"/>
        <v>0</v>
      </c>
      <c r="H2106" s="31">
        <f t="shared" si="189"/>
        <v>0</v>
      </c>
      <c r="I2106" s="31">
        <f t="shared" si="190"/>
        <v>0</v>
      </c>
      <c r="J2106" s="31">
        <f t="shared" si="191"/>
        <v>0</v>
      </c>
      <c r="M2106" s="33">
        <f t="shared" si="187"/>
        <v>0</v>
      </c>
      <c r="N2106" s="33"/>
    </row>
    <row r="2107" spans="7:14" ht="16.5" customHeight="1">
      <c r="G2107" s="30">
        <f t="shared" si="188"/>
        <v>0</v>
      </c>
      <c r="H2107" s="31">
        <f t="shared" si="189"/>
        <v>0</v>
      </c>
      <c r="I2107" s="31">
        <f t="shared" si="190"/>
        <v>0</v>
      </c>
      <c r="J2107" s="31">
        <f t="shared" si="191"/>
        <v>0</v>
      </c>
      <c r="M2107" s="33">
        <f t="shared" si="187"/>
        <v>0</v>
      </c>
      <c r="N2107" s="33"/>
    </row>
    <row r="2108" spans="7:14" ht="16.5" customHeight="1">
      <c r="G2108" s="30">
        <f t="shared" si="188"/>
        <v>0</v>
      </c>
      <c r="H2108" s="31">
        <f t="shared" si="189"/>
        <v>0</v>
      </c>
      <c r="I2108" s="31">
        <f t="shared" si="190"/>
        <v>0</v>
      </c>
      <c r="J2108" s="31">
        <f t="shared" si="191"/>
        <v>0</v>
      </c>
      <c r="M2108" s="33">
        <f t="shared" si="187"/>
        <v>0</v>
      </c>
      <c r="N2108" s="33"/>
    </row>
    <row r="2109" spans="7:14" ht="16.5" customHeight="1">
      <c r="G2109" s="30">
        <f t="shared" si="188"/>
        <v>0</v>
      </c>
      <c r="H2109" s="31">
        <f t="shared" si="189"/>
        <v>0</v>
      </c>
      <c r="I2109" s="31">
        <f t="shared" si="190"/>
        <v>0</v>
      </c>
      <c r="J2109" s="31">
        <f t="shared" si="191"/>
        <v>0</v>
      </c>
      <c r="M2109" s="33">
        <f t="shared" si="187"/>
        <v>0</v>
      </c>
      <c r="N2109" s="33"/>
    </row>
    <row r="2110" spans="7:14" ht="16.5" customHeight="1">
      <c r="G2110" s="30">
        <f t="shared" si="188"/>
        <v>0</v>
      </c>
      <c r="H2110" s="31">
        <f t="shared" si="189"/>
        <v>0</v>
      </c>
      <c r="I2110" s="31">
        <f t="shared" si="190"/>
        <v>0</v>
      </c>
      <c r="J2110" s="31">
        <f t="shared" si="191"/>
        <v>0</v>
      </c>
      <c r="M2110" s="33">
        <f t="shared" ref="M2110:M2173" si="192">IF(P2110="TL tuyệt đối",0, IF(K2110&lt;5,0,IF(K2110&lt;50,K2110*9%,IF(K2110&lt;100,4.5,IF(K2110&lt;200,4.5%*K2110,IF(K2110&lt;300,9,IF(K2110&lt;500,K2110*3%,IF(K2110&lt;1000,15,))))))))</f>
        <v>0</v>
      </c>
      <c r="N2110" s="33"/>
    </row>
    <row r="2111" spans="7:14" ht="16.5" customHeight="1">
      <c r="G2111" s="30">
        <f t="shared" si="188"/>
        <v>0</v>
      </c>
      <c r="H2111" s="31">
        <f t="shared" si="189"/>
        <v>0</v>
      </c>
      <c r="I2111" s="31">
        <f t="shared" si="190"/>
        <v>0</v>
      </c>
      <c r="J2111" s="31">
        <f t="shared" si="191"/>
        <v>0</v>
      </c>
      <c r="M2111" s="33">
        <f t="shared" si="192"/>
        <v>0</v>
      </c>
      <c r="N2111" s="33"/>
    </row>
    <row r="2112" spans="7:14" ht="16.5" customHeight="1">
      <c r="G2112" s="30">
        <f t="shared" ref="G2112:G2175" si="193">IF(P2112="TL tuyệt đối",K2112*103%,K2112+1/3*M2112)</f>
        <v>0</v>
      </c>
      <c r="H2112" s="31">
        <f t="shared" ref="H2112:H2175" si="194">IF(P2112="TL tuyệt đối",K2112*101%,K2112-1/3*M2112)</f>
        <v>0</v>
      </c>
      <c r="I2112" s="31">
        <f t="shared" ref="I2112:I2175" si="195">IF(P2112="TL tuyệt đối", K2112*105%,K2112+M2112)</f>
        <v>0</v>
      </c>
      <c r="J2112" s="31">
        <f t="shared" si="191"/>
        <v>0</v>
      </c>
      <c r="M2112" s="33">
        <f t="shared" si="192"/>
        <v>0</v>
      </c>
      <c r="N2112" s="33"/>
    </row>
    <row r="2113" spans="7:14" ht="16.5" customHeight="1">
      <c r="G2113" s="30">
        <f t="shared" si="193"/>
        <v>0</v>
      </c>
      <c r="H2113" s="31">
        <f t="shared" si="194"/>
        <v>0</v>
      </c>
      <c r="I2113" s="31">
        <f t="shared" si="195"/>
        <v>0</v>
      </c>
      <c r="J2113" s="31">
        <f t="shared" si="191"/>
        <v>0</v>
      </c>
      <c r="M2113" s="33">
        <f t="shared" si="192"/>
        <v>0</v>
      </c>
      <c r="N2113" s="33"/>
    </row>
    <row r="2114" spans="7:14" ht="16.5" customHeight="1">
      <c r="G2114" s="30">
        <f t="shared" si="193"/>
        <v>0</v>
      </c>
      <c r="H2114" s="31">
        <f t="shared" si="194"/>
        <v>0</v>
      </c>
      <c r="I2114" s="31">
        <f t="shared" si="195"/>
        <v>0</v>
      </c>
      <c r="J2114" s="31">
        <f t="shared" si="191"/>
        <v>0</v>
      </c>
      <c r="M2114" s="33">
        <f t="shared" si="192"/>
        <v>0</v>
      </c>
      <c r="N2114" s="33"/>
    </row>
    <row r="2115" spans="7:14" ht="16.5" customHeight="1">
      <c r="G2115" s="30">
        <f t="shared" si="193"/>
        <v>0</v>
      </c>
      <c r="H2115" s="31">
        <f t="shared" si="194"/>
        <v>0</v>
      </c>
      <c r="I2115" s="31">
        <f t="shared" si="195"/>
        <v>0</v>
      </c>
      <c r="J2115" s="31">
        <f t="shared" si="191"/>
        <v>0</v>
      </c>
      <c r="M2115" s="33">
        <f t="shared" si="192"/>
        <v>0</v>
      </c>
      <c r="N2115" s="33"/>
    </row>
    <row r="2116" spans="7:14" ht="16.5" customHeight="1">
      <c r="G2116" s="30">
        <f t="shared" si="193"/>
        <v>0</v>
      </c>
      <c r="H2116" s="31">
        <f t="shared" si="194"/>
        <v>0</v>
      </c>
      <c r="I2116" s="31">
        <f t="shared" si="195"/>
        <v>0</v>
      </c>
      <c r="J2116" s="31">
        <f t="shared" ref="J2116:J2179" si="196">K2116-M2116</f>
        <v>0</v>
      </c>
      <c r="M2116" s="33">
        <f t="shared" si="192"/>
        <v>0</v>
      </c>
      <c r="N2116" s="33"/>
    </row>
    <row r="2117" spans="7:14" ht="16.5" customHeight="1">
      <c r="G2117" s="30">
        <f t="shared" si="193"/>
        <v>0</v>
      </c>
      <c r="H2117" s="31">
        <f t="shared" si="194"/>
        <v>0</v>
      </c>
      <c r="I2117" s="31">
        <f t="shared" si="195"/>
        <v>0</v>
      </c>
      <c r="J2117" s="31">
        <f t="shared" si="196"/>
        <v>0</v>
      </c>
      <c r="M2117" s="33">
        <f t="shared" si="192"/>
        <v>0</v>
      </c>
      <c r="N2117" s="33"/>
    </row>
    <row r="2118" spans="7:14" ht="16.5" customHeight="1">
      <c r="G2118" s="30">
        <f t="shared" si="193"/>
        <v>0</v>
      </c>
      <c r="H2118" s="31">
        <f t="shared" si="194"/>
        <v>0</v>
      </c>
      <c r="I2118" s="31">
        <f t="shared" si="195"/>
        <v>0</v>
      </c>
      <c r="J2118" s="31">
        <f t="shared" si="196"/>
        <v>0</v>
      </c>
      <c r="M2118" s="33">
        <f t="shared" si="192"/>
        <v>0</v>
      </c>
      <c r="N2118" s="33"/>
    </row>
    <row r="2119" spans="7:14" ht="16.5" customHeight="1">
      <c r="G2119" s="30">
        <f t="shared" si="193"/>
        <v>0</v>
      </c>
      <c r="H2119" s="31">
        <f t="shared" si="194"/>
        <v>0</v>
      </c>
      <c r="I2119" s="31">
        <f t="shared" si="195"/>
        <v>0</v>
      </c>
      <c r="J2119" s="31">
        <f t="shared" si="196"/>
        <v>0</v>
      </c>
      <c r="M2119" s="33">
        <f t="shared" si="192"/>
        <v>0</v>
      </c>
      <c r="N2119" s="33"/>
    </row>
    <row r="2120" spans="7:14" ht="16.5" customHeight="1">
      <c r="G2120" s="30">
        <f t="shared" si="193"/>
        <v>0</v>
      </c>
      <c r="H2120" s="31">
        <f t="shared" si="194"/>
        <v>0</v>
      </c>
      <c r="I2120" s="31">
        <f t="shared" si="195"/>
        <v>0</v>
      </c>
      <c r="J2120" s="31">
        <f t="shared" si="196"/>
        <v>0</v>
      </c>
      <c r="M2120" s="33">
        <f t="shared" si="192"/>
        <v>0</v>
      </c>
      <c r="N2120" s="33"/>
    </row>
    <row r="2121" spans="7:14" ht="16.5" customHeight="1">
      <c r="G2121" s="30">
        <f t="shared" si="193"/>
        <v>0</v>
      </c>
      <c r="H2121" s="31">
        <f t="shared" si="194"/>
        <v>0</v>
      </c>
      <c r="I2121" s="31">
        <f t="shared" si="195"/>
        <v>0</v>
      </c>
      <c r="J2121" s="31">
        <f t="shared" si="196"/>
        <v>0</v>
      </c>
      <c r="M2121" s="33">
        <f t="shared" si="192"/>
        <v>0</v>
      </c>
      <c r="N2121" s="33"/>
    </row>
    <row r="2122" spans="7:14" ht="16.5" customHeight="1">
      <c r="G2122" s="30">
        <f t="shared" si="193"/>
        <v>0</v>
      </c>
      <c r="H2122" s="31">
        <f t="shared" si="194"/>
        <v>0</v>
      </c>
      <c r="I2122" s="31">
        <f t="shared" si="195"/>
        <v>0</v>
      </c>
      <c r="J2122" s="31">
        <f t="shared" si="196"/>
        <v>0</v>
      </c>
      <c r="M2122" s="33">
        <f t="shared" si="192"/>
        <v>0</v>
      </c>
      <c r="N2122" s="33"/>
    </row>
    <row r="2123" spans="7:14" ht="16.5" customHeight="1">
      <c r="G2123" s="30">
        <f t="shared" si="193"/>
        <v>0</v>
      </c>
      <c r="H2123" s="31">
        <f t="shared" si="194"/>
        <v>0</v>
      </c>
      <c r="I2123" s="31">
        <f t="shared" si="195"/>
        <v>0</v>
      </c>
      <c r="J2123" s="31">
        <f t="shared" si="196"/>
        <v>0</v>
      </c>
      <c r="M2123" s="33">
        <f t="shared" si="192"/>
        <v>0</v>
      </c>
      <c r="N2123" s="33"/>
    </row>
    <row r="2124" spans="7:14" ht="16.5" customHeight="1">
      <c r="G2124" s="30">
        <f t="shared" si="193"/>
        <v>0</v>
      </c>
      <c r="H2124" s="31">
        <f t="shared" si="194"/>
        <v>0</v>
      </c>
      <c r="I2124" s="31">
        <f t="shared" si="195"/>
        <v>0</v>
      </c>
      <c r="J2124" s="31">
        <f t="shared" si="196"/>
        <v>0</v>
      </c>
      <c r="M2124" s="33">
        <f t="shared" si="192"/>
        <v>0</v>
      </c>
      <c r="N2124" s="33"/>
    </row>
    <row r="2125" spans="7:14" ht="16.5" customHeight="1">
      <c r="G2125" s="30">
        <f t="shared" si="193"/>
        <v>0</v>
      </c>
      <c r="H2125" s="31">
        <f t="shared" si="194"/>
        <v>0</v>
      </c>
      <c r="I2125" s="31">
        <f t="shared" si="195"/>
        <v>0</v>
      </c>
      <c r="J2125" s="31">
        <f t="shared" si="196"/>
        <v>0</v>
      </c>
      <c r="M2125" s="33">
        <f t="shared" si="192"/>
        <v>0</v>
      </c>
      <c r="N2125" s="33"/>
    </row>
    <row r="2126" spans="7:14" ht="16.5" customHeight="1">
      <c r="G2126" s="30">
        <f t="shared" si="193"/>
        <v>0</v>
      </c>
      <c r="H2126" s="31">
        <f t="shared" si="194"/>
        <v>0</v>
      </c>
      <c r="I2126" s="31">
        <f t="shared" si="195"/>
        <v>0</v>
      </c>
      <c r="J2126" s="31">
        <f t="shared" si="196"/>
        <v>0</v>
      </c>
      <c r="M2126" s="33">
        <f t="shared" si="192"/>
        <v>0</v>
      </c>
      <c r="N2126" s="33"/>
    </row>
    <row r="2127" spans="7:14" ht="16.5" customHeight="1">
      <c r="G2127" s="30">
        <f t="shared" si="193"/>
        <v>0</v>
      </c>
      <c r="H2127" s="31">
        <f t="shared" si="194"/>
        <v>0</v>
      </c>
      <c r="I2127" s="31">
        <f t="shared" si="195"/>
        <v>0</v>
      </c>
      <c r="J2127" s="31">
        <f t="shared" si="196"/>
        <v>0</v>
      </c>
      <c r="M2127" s="33">
        <f t="shared" si="192"/>
        <v>0</v>
      </c>
      <c r="N2127" s="33"/>
    </row>
    <row r="2128" spans="7:14" ht="16.5" customHeight="1">
      <c r="G2128" s="30">
        <f t="shared" si="193"/>
        <v>0</v>
      </c>
      <c r="H2128" s="31">
        <f t="shared" si="194"/>
        <v>0</v>
      </c>
      <c r="I2128" s="31">
        <f t="shared" si="195"/>
        <v>0</v>
      </c>
      <c r="J2128" s="31">
        <f t="shared" si="196"/>
        <v>0</v>
      </c>
      <c r="M2128" s="33">
        <f t="shared" si="192"/>
        <v>0</v>
      </c>
      <c r="N2128" s="33"/>
    </row>
    <row r="2129" spans="7:14" ht="16.5" customHeight="1">
      <c r="G2129" s="30">
        <f t="shared" si="193"/>
        <v>0</v>
      </c>
      <c r="H2129" s="31">
        <f t="shared" si="194"/>
        <v>0</v>
      </c>
      <c r="I2129" s="31">
        <f t="shared" si="195"/>
        <v>0</v>
      </c>
      <c r="J2129" s="31">
        <f t="shared" si="196"/>
        <v>0</v>
      </c>
      <c r="M2129" s="33">
        <f t="shared" si="192"/>
        <v>0</v>
      </c>
      <c r="N2129" s="33"/>
    </row>
    <row r="2130" spans="7:14" ht="16.5" customHeight="1">
      <c r="G2130" s="30">
        <f t="shared" si="193"/>
        <v>0</v>
      </c>
      <c r="H2130" s="31">
        <f t="shared" si="194"/>
        <v>0</v>
      </c>
      <c r="I2130" s="31">
        <f t="shared" si="195"/>
        <v>0</v>
      </c>
      <c r="J2130" s="31">
        <f t="shared" si="196"/>
        <v>0</v>
      </c>
      <c r="M2130" s="33">
        <f t="shared" si="192"/>
        <v>0</v>
      </c>
      <c r="N2130" s="33"/>
    </row>
    <row r="2131" spans="7:14" ht="16.5" customHeight="1">
      <c r="G2131" s="30">
        <f t="shared" si="193"/>
        <v>0</v>
      </c>
      <c r="H2131" s="31">
        <f t="shared" si="194"/>
        <v>0</v>
      </c>
      <c r="I2131" s="31">
        <f t="shared" si="195"/>
        <v>0</v>
      </c>
      <c r="J2131" s="31">
        <f t="shared" si="196"/>
        <v>0</v>
      </c>
      <c r="M2131" s="33">
        <f t="shared" si="192"/>
        <v>0</v>
      </c>
      <c r="N2131" s="33"/>
    </row>
    <row r="2132" spans="7:14" ht="16.5" customHeight="1">
      <c r="G2132" s="30">
        <f t="shared" si="193"/>
        <v>0</v>
      </c>
      <c r="H2132" s="31">
        <f t="shared" si="194"/>
        <v>0</v>
      </c>
      <c r="I2132" s="31">
        <f t="shared" si="195"/>
        <v>0</v>
      </c>
      <c r="J2132" s="31">
        <f t="shared" si="196"/>
        <v>0</v>
      </c>
      <c r="M2132" s="33">
        <f t="shared" si="192"/>
        <v>0</v>
      </c>
      <c r="N2132" s="33"/>
    </row>
    <row r="2133" spans="7:14" ht="16.5" customHeight="1">
      <c r="G2133" s="30">
        <f t="shared" si="193"/>
        <v>0</v>
      </c>
      <c r="H2133" s="31">
        <f t="shared" si="194"/>
        <v>0</v>
      </c>
      <c r="I2133" s="31">
        <f t="shared" si="195"/>
        <v>0</v>
      </c>
      <c r="J2133" s="31">
        <f t="shared" si="196"/>
        <v>0</v>
      </c>
      <c r="M2133" s="33">
        <f t="shared" si="192"/>
        <v>0</v>
      </c>
      <c r="N2133" s="33"/>
    </row>
    <row r="2134" spans="7:14" ht="16.5" customHeight="1">
      <c r="G2134" s="30">
        <f t="shared" si="193"/>
        <v>0</v>
      </c>
      <c r="H2134" s="31">
        <f t="shared" si="194"/>
        <v>0</v>
      </c>
      <c r="I2134" s="31">
        <f t="shared" si="195"/>
        <v>0</v>
      </c>
      <c r="J2134" s="31">
        <f t="shared" si="196"/>
        <v>0</v>
      </c>
      <c r="M2134" s="33">
        <f t="shared" si="192"/>
        <v>0</v>
      </c>
      <c r="N2134" s="33"/>
    </row>
    <row r="2135" spans="7:14" ht="16.5" customHeight="1">
      <c r="G2135" s="30">
        <f t="shared" si="193"/>
        <v>0</v>
      </c>
      <c r="H2135" s="31">
        <f t="shared" si="194"/>
        <v>0</v>
      </c>
      <c r="I2135" s="31">
        <f t="shared" si="195"/>
        <v>0</v>
      </c>
      <c r="J2135" s="31">
        <f t="shared" si="196"/>
        <v>0</v>
      </c>
      <c r="M2135" s="33">
        <f t="shared" si="192"/>
        <v>0</v>
      </c>
      <c r="N2135" s="33"/>
    </row>
    <row r="2136" spans="7:14" ht="16.5" customHeight="1">
      <c r="G2136" s="30">
        <f t="shared" si="193"/>
        <v>0</v>
      </c>
      <c r="H2136" s="31">
        <f t="shared" si="194"/>
        <v>0</v>
      </c>
      <c r="I2136" s="31">
        <f t="shared" si="195"/>
        <v>0</v>
      </c>
      <c r="J2136" s="31">
        <f t="shared" si="196"/>
        <v>0</v>
      </c>
      <c r="M2136" s="33">
        <f t="shared" si="192"/>
        <v>0</v>
      </c>
      <c r="N2136" s="33"/>
    </row>
    <row r="2137" spans="7:14" ht="16.5" customHeight="1">
      <c r="G2137" s="30">
        <f t="shared" si="193"/>
        <v>0</v>
      </c>
      <c r="H2137" s="31">
        <f t="shared" si="194"/>
        <v>0</v>
      </c>
      <c r="I2137" s="31">
        <f t="shared" si="195"/>
        <v>0</v>
      </c>
      <c r="J2137" s="31">
        <f t="shared" si="196"/>
        <v>0</v>
      </c>
      <c r="M2137" s="33">
        <f t="shared" si="192"/>
        <v>0</v>
      </c>
      <c r="N2137" s="33"/>
    </row>
    <row r="2138" spans="7:14" ht="16.5" customHeight="1">
      <c r="G2138" s="30">
        <f t="shared" si="193"/>
        <v>0</v>
      </c>
      <c r="H2138" s="31">
        <f t="shared" si="194"/>
        <v>0</v>
      </c>
      <c r="I2138" s="31">
        <f t="shared" si="195"/>
        <v>0</v>
      </c>
      <c r="J2138" s="31">
        <f t="shared" si="196"/>
        <v>0</v>
      </c>
      <c r="M2138" s="33">
        <f t="shared" si="192"/>
        <v>0</v>
      </c>
      <c r="N2138" s="33"/>
    </row>
    <row r="2139" spans="7:14" ht="16.5" customHeight="1">
      <c r="G2139" s="30">
        <f t="shared" si="193"/>
        <v>0</v>
      </c>
      <c r="H2139" s="31">
        <f t="shared" si="194"/>
        <v>0</v>
      </c>
      <c r="I2139" s="31">
        <f t="shared" si="195"/>
        <v>0</v>
      </c>
      <c r="J2139" s="31">
        <f t="shared" si="196"/>
        <v>0</v>
      </c>
      <c r="M2139" s="33">
        <f t="shared" si="192"/>
        <v>0</v>
      </c>
      <c r="N2139" s="33"/>
    </row>
    <row r="2140" spans="7:14" ht="16.5" customHeight="1">
      <c r="G2140" s="30">
        <f t="shared" si="193"/>
        <v>0</v>
      </c>
      <c r="H2140" s="31">
        <f t="shared" si="194"/>
        <v>0</v>
      </c>
      <c r="I2140" s="31">
        <f t="shared" si="195"/>
        <v>0</v>
      </c>
      <c r="J2140" s="31">
        <f t="shared" si="196"/>
        <v>0</v>
      </c>
      <c r="M2140" s="33">
        <f t="shared" si="192"/>
        <v>0</v>
      </c>
      <c r="N2140" s="33"/>
    </row>
    <row r="2141" spans="7:14" ht="16.5" customHeight="1">
      <c r="G2141" s="30">
        <f t="shared" si="193"/>
        <v>0</v>
      </c>
      <c r="H2141" s="31">
        <f t="shared" si="194"/>
        <v>0</v>
      </c>
      <c r="I2141" s="31">
        <f t="shared" si="195"/>
        <v>0</v>
      </c>
      <c r="J2141" s="31">
        <f t="shared" si="196"/>
        <v>0</v>
      </c>
      <c r="M2141" s="33">
        <f t="shared" si="192"/>
        <v>0</v>
      </c>
      <c r="N2141" s="33"/>
    </row>
    <row r="2142" spans="7:14" ht="16.5" customHeight="1">
      <c r="G2142" s="30">
        <f t="shared" si="193"/>
        <v>0</v>
      </c>
      <c r="H2142" s="31">
        <f t="shared" si="194"/>
        <v>0</v>
      </c>
      <c r="I2142" s="31">
        <f t="shared" si="195"/>
        <v>0</v>
      </c>
      <c r="J2142" s="31">
        <f t="shared" si="196"/>
        <v>0</v>
      </c>
      <c r="M2142" s="33">
        <f t="shared" si="192"/>
        <v>0</v>
      </c>
      <c r="N2142" s="33"/>
    </row>
    <row r="2143" spans="7:14" ht="16.5" customHeight="1">
      <c r="G2143" s="30">
        <f t="shared" si="193"/>
        <v>0</v>
      </c>
      <c r="H2143" s="31">
        <f t="shared" si="194"/>
        <v>0</v>
      </c>
      <c r="I2143" s="31">
        <f t="shared" si="195"/>
        <v>0</v>
      </c>
      <c r="J2143" s="31">
        <f t="shared" si="196"/>
        <v>0</v>
      </c>
      <c r="M2143" s="33">
        <f t="shared" si="192"/>
        <v>0</v>
      </c>
      <c r="N2143" s="33"/>
    </row>
    <row r="2144" spans="7:14" ht="16.5" customHeight="1">
      <c r="G2144" s="30">
        <f t="shared" si="193"/>
        <v>0</v>
      </c>
      <c r="H2144" s="31">
        <f t="shared" si="194"/>
        <v>0</v>
      </c>
      <c r="I2144" s="31">
        <f t="shared" si="195"/>
        <v>0</v>
      </c>
      <c r="J2144" s="31">
        <f t="shared" si="196"/>
        <v>0</v>
      </c>
      <c r="M2144" s="33">
        <f t="shared" si="192"/>
        <v>0</v>
      </c>
      <c r="N2144" s="33"/>
    </row>
    <row r="2145" spans="7:14" ht="16.5" customHeight="1">
      <c r="G2145" s="30">
        <f t="shared" si="193"/>
        <v>0</v>
      </c>
      <c r="H2145" s="31">
        <f t="shared" si="194"/>
        <v>0</v>
      </c>
      <c r="I2145" s="31">
        <f t="shared" si="195"/>
        <v>0</v>
      </c>
      <c r="J2145" s="31">
        <f t="shared" si="196"/>
        <v>0</v>
      </c>
      <c r="M2145" s="33">
        <f t="shared" si="192"/>
        <v>0</v>
      </c>
      <c r="N2145" s="33"/>
    </row>
    <row r="2146" spans="7:14" ht="16.5" customHeight="1">
      <c r="G2146" s="30">
        <f t="shared" si="193"/>
        <v>0</v>
      </c>
      <c r="H2146" s="31">
        <f t="shared" si="194"/>
        <v>0</v>
      </c>
      <c r="I2146" s="31">
        <f t="shared" si="195"/>
        <v>0</v>
      </c>
      <c r="J2146" s="31">
        <f t="shared" si="196"/>
        <v>0</v>
      </c>
      <c r="M2146" s="33">
        <f t="shared" si="192"/>
        <v>0</v>
      </c>
      <c r="N2146" s="33"/>
    </row>
    <row r="2147" spans="7:14" ht="16.5" customHeight="1">
      <c r="G2147" s="30">
        <f t="shared" si="193"/>
        <v>0</v>
      </c>
      <c r="H2147" s="31">
        <f t="shared" si="194"/>
        <v>0</v>
      </c>
      <c r="I2147" s="31">
        <f t="shared" si="195"/>
        <v>0</v>
      </c>
      <c r="J2147" s="31">
        <f t="shared" si="196"/>
        <v>0</v>
      </c>
      <c r="M2147" s="33">
        <f t="shared" si="192"/>
        <v>0</v>
      </c>
      <c r="N2147" s="33"/>
    </row>
    <row r="2148" spans="7:14" ht="16.5" customHeight="1">
      <c r="G2148" s="30">
        <f t="shared" si="193"/>
        <v>0</v>
      </c>
      <c r="H2148" s="31">
        <f t="shared" si="194"/>
        <v>0</v>
      </c>
      <c r="I2148" s="31">
        <f t="shared" si="195"/>
        <v>0</v>
      </c>
      <c r="J2148" s="31">
        <f t="shared" si="196"/>
        <v>0</v>
      </c>
      <c r="M2148" s="33">
        <f t="shared" si="192"/>
        <v>0</v>
      </c>
      <c r="N2148" s="33"/>
    </row>
    <row r="2149" spans="7:14" ht="16.5" customHeight="1">
      <c r="G2149" s="30">
        <f t="shared" si="193"/>
        <v>0</v>
      </c>
      <c r="H2149" s="31">
        <f t="shared" si="194"/>
        <v>0</v>
      </c>
      <c r="I2149" s="31">
        <f t="shared" si="195"/>
        <v>0</v>
      </c>
      <c r="J2149" s="31">
        <f t="shared" si="196"/>
        <v>0</v>
      </c>
      <c r="M2149" s="33">
        <f t="shared" si="192"/>
        <v>0</v>
      </c>
      <c r="N2149" s="33"/>
    </row>
    <row r="2150" spans="7:14" ht="16.5" customHeight="1">
      <c r="G2150" s="30">
        <f t="shared" si="193"/>
        <v>0</v>
      </c>
      <c r="H2150" s="31">
        <f t="shared" si="194"/>
        <v>0</v>
      </c>
      <c r="I2150" s="31">
        <f t="shared" si="195"/>
        <v>0</v>
      </c>
      <c r="J2150" s="31">
        <f t="shared" si="196"/>
        <v>0</v>
      </c>
      <c r="M2150" s="33">
        <f t="shared" si="192"/>
        <v>0</v>
      </c>
      <c r="N2150" s="33"/>
    </row>
    <row r="2151" spans="7:14" ht="16.5" customHeight="1">
      <c r="G2151" s="30">
        <f t="shared" si="193"/>
        <v>0</v>
      </c>
      <c r="H2151" s="31">
        <f t="shared" si="194"/>
        <v>0</v>
      </c>
      <c r="I2151" s="31">
        <f t="shared" si="195"/>
        <v>0</v>
      </c>
      <c r="J2151" s="31">
        <f t="shared" si="196"/>
        <v>0</v>
      </c>
      <c r="M2151" s="33">
        <f t="shared" si="192"/>
        <v>0</v>
      </c>
      <c r="N2151" s="33"/>
    </row>
    <row r="2152" spans="7:14" ht="16.5" customHeight="1">
      <c r="G2152" s="30">
        <f t="shared" si="193"/>
        <v>0</v>
      </c>
      <c r="H2152" s="31">
        <f t="shared" si="194"/>
        <v>0</v>
      </c>
      <c r="I2152" s="31">
        <f t="shared" si="195"/>
        <v>0</v>
      </c>
      <c r="J2152" s="31">
        <f t="shared" si="196"/>
        <v>0</v>
      </c>
      <c r="M2152" s="33">
        <f t="shared" si="192"/>
        <v>0</v>
      </c>
      <c r="N2152" s="33"/>
    </row>
    <row r="2153" spans="7:14" ht="16.5" customHeight="1">
      <c r="G2153" s="30">
        <f t="shared" si="193"/>
        <v>0</v>
      </c>
      <c r="H2153" s="31">
        <f t="shared" si="194"/>
        <v>0</v>
      </c>
      <c r="I2153" s="31">
        <f t="shared" si="195"/>
        <v>0</v>
      </c>
      <c r="J2153" s="31">
        <f t="shared" si="196"/>
        <v>0</v>
      </c>
      <c r="M2153" s="33">
        <f t="shared" si="192"/>
        <v>0</v>
      </c>
      <c r="N2153" s="33"/>
    </row>
    <row r="2154" spans="7:14" ht="16.5" customHeight="1">
      <c r="G2154" s="30">
        <f t="shared" si="193"/>
        <v>0</v>
      </c>
      <c r="H2154" s="31">
        <f t="shared" si="194"/>
        <v>0</v>
      </c>
      <c r="I2154" s="31">
        <f t="shared" si="195"/>
        <v>0</v>
      </c>
      <c r="J2154" s="31">
        <f t="shared" si="196"/>
        <v>0</v>
      </c>
      <c r="M2154" s="33">
        <f t="shared" si="192"/>
        <v>0</v>
      </c>
      <c r="N2154" s="33"/>
    </row>
    <row r="2155" spans="7:14" ht="16.5" customHeight="1">
      <c r="G2155" s="30">
        <f t="shared" si="193"/>
        <v>0</v>
      </c>
      <c r="H2155" s="31">
        <f t="shared" si="194"/>
        <v>0</v>
      </c>
      <c r="I2155" s="31">
        <f t="shared" si="195"/>
        <v>0</v>
      </c>
      <c r="J2155" s="31">
        <f t="shared" si="196"/>
        <v>0</v>
      </c>
      <c r="M2155" s="33">
        <f t="shared" si="192"/>
        <v>0</v>
      </c>
      <c r="N2155" s="33"/>
    </row>
    <row r="2156" spans="7:14" ht="16.5" customHeight="1">
      <c r="G2156" s="30">
        <f t="shared" si="193"/>
        <v>0</v>
      </c>
      <c r="H2156" s="31">
        <f t="shared" si="194"/>
        <v>0</v>
      </c>
      <c r="I2156" s="31">
        <f t="shared" si="195"/>
        <v>0</v>
      </c>
      <c r="J2156" s="31">
        <f t="shared" si="196"/>
        <v>0</v>
      </c>
      <c r="M2156" s="33">
        <f t="shared" si="192"/>
        <v>0</v>
      </c>
      <c r="N2156" s="33"/>
    </row>
    <row r="2157" spans="7:14" ht="16.5" customHeight="1">
      <c r="G2157" s="30">
        <f t="shared" si="193"/>
        <v>0</v>
      </c>
      <c r="H2157" s="31">
        <f t="shared" si="194"/>
        <v>0</v>
      </c>
      <c r="I2157" s="31">
        <f t="shared" si="195"/>
        <v>0</v>
      </c>
      <c r="J2157" s="31">
        <f t="shared" si="196"/>
        <v>0</v>
      </c>
      <c r="M2157" s="33">
        <f t="shared" si="192"/>
        <v>0</v>
      </c>
      <c r="N2157" s="33"/>
    </row>
    <row r="2158" spans="7:14" ht="16.5" customHeight="1">
      <c r="G2158" s="30">
        <f t="shared" si="193"/>
        <v>0</v>
      </c>
      <c r="H2158" s="31">
        <f t="shared" si="194"/>
        <v>0</v>
      </c>
      <c r="I2158" s="31">
        <f t="shared" si="195"/>
        <v>0</v>
      </c>
      <c r="J2158" s="31">
        <f t="shared" si="196"/>
        <v>0</v>
      </c>
      <c r="M2158" s="33">
        <f t="shared" si="192"/>
        <v>0</v>
      </c>
      <c r="N2158" s="33"/>
    </row>
    <row r="2159" spans="7:14" ht="16.5" customHeight="1">
      <c r="G2159" s="30">
        <f t="shared" si="193"/>
        <v>0</v>
      </c>
      <c r="H2159" s="31">
        <f t="shared" si="194"/>
        <v>0</v>
      </c>
      <c r="I2159" s="31">
        <f t="shared" si="195"/>
        <v>0</v>
      </c>
      <c r="J2159" s="31">
        <f t="shared" si="196"/>
        <v>0</v>
      </c>
      <c r="M2159" s="33">
        <f t="shared" si="192"/>
        <v>0</v>
      </c>
      <c r="N2159" s="33"/>
    </row>
    <row r="2160" spans="7:14" ht="16.5" customHeight="1">
      <c r="G2160" s="30">
        <f t="shared" si="193"/>
        <v>0</v>
      </c>
      <c r="H2160" s="31">
        <f t="shared" si="194"/>
        <v>0</v>
      </c>
      <c r="I2160" s="31">
        <f t="shared" si="195"/>
        <v>0</v>
      </c>
      <c r="J2160" s="31">
        <f t="shared" si="196"/>
        <v>0</v>
      </c>
      <c r="M2160" s="33">
        <f t="shared" si="192"/>
        <v>0</v>
      </c>
      <c r="N2160" s="33"/>
    </row>
    <row r="2161" spans="7:14" ht="16.5" customHeight="1">
      <c r="G2161" s="30">
        <f t="shared" si="193"/>
        <v>0</v>
      </c>
      <c r="H2161" s="31">
        <f t="shared" si="194"/>
        <v>0</v>
      </c>
      <c r="I2161" s="31">
        <f t="shared" si="195"/>
        <v>0</v>
      </c>
      <c r="J2161" s="31">
        <f t="shared" si="196"/>
        <v>0</v>
      </c>
      <c r="M2161" s="33">
        <f t="shared" si="192"/>
        <v>0</v>
      </c>
      <c r="N2161" s="33"/>
    </row>
    <row r="2162" spans="7:14" ht="16.5" customHeight="1">
      <c r="G2162" s="30">
        <f t="shared" si="193"/>
        <v>0</v>
      </c>
      <c r="H2162" s="31">
        <f t="shared" si="194"/>
        <v>0</v>
      </c>
      <c r="I2162" s="31">
        <f t="shared" si="195"/>
        <v>0</v>
      </c>
      <c r="J2162" s="31">
        <f t="shared" si="196"/>
        <v>0</v>
      </c>
      <c r="M2162" s="33">
        <f t="shared" si="192"/>
        <v>0</v>
      </c>
      <c r="N2162" s="33"/>
    </row>
    <row r="2163" spans="7:14" ht="16.5" customHeight="1">
      <c r="G2163" s="30">
        <f t="shared" si="193"/>
        <v>0</v>
      </c>
      <c r="H2163" s="31">
        <f t="shared" si="194"/>
        <v>0</v>
      </c>
      <c r="I2163" s="31">
        <f t="shared" si="195"/>
        <v>0</v>
      </c>
      <c r="J2163" s="31">
        <f t="shared" si="196"/>
        <v>0</v>
      </c>
      <c r="M2163" s="33">
        <f t="shared" si="192"/>
        <v>0</v>
      </c>
      <c r="N2163" s="33"/>
    </row>
    <row r="2164" spans="7:14" ht="16.5" customHeight="1">
      <c r="G2164" s="30">
        <f t="shared" si="193"/>
        <v>0</v>
      </c>
      <c r="H2164" s="31">
        <f t="shared" si="194"/>
        <v>0</v>
      </c>
      <c r="I2164" s="31">
        <f t="shared" si="195"/>
        <v>0</v>
      </c>
      <c r="J2164" s="31">
        <f t="shared" si="196"/>
        <v>0</v>
      </c>
      <c r="M2164" s="33">
        <f t="shared" si="192"/>
        <v>0</v>
      </c>
      <c r="N2164" s="33"/>
    </row>
    <row r="2165" spans="7:14" ht="16.5" customHeight="1">
      <c r="G2165" s="30">
        <f t="shared" si="193"/>
        <v>0</v>
      </c>
      <c r="H2165" s="31">
        <f t="shared" si="194"/>
        <v>0</v>
      </c>
      <c r="I2165" s="31">
        <f t="shared" si="195"/>
        <v>0</v>
      </c>
      <c r="J2165" s="31">
        <f t="shared" si="196"/>
        <v>0</v>
      </c>
      <c r="M2165" s="33">
        <f t="shared" si="192"/>
        <v>0</v>
      </c>
      <c r="N2165" s="33"/>
    </row>
    <row r="2166" spans="7:14" ht="16.5" customHeight="1">
      <c r="G2166" s="30">
        <f t="shared" si="193"/>
        <v>0</v>
      </c>
      <c r="H2166" s="31">
        <f t="shared" si="194"/>
        <v>0</v>
      </c>
      <c r="I2166" s="31">
        <f t="shared" si="195"/>
        <v>0</v>
      </c>
      <c r="J2166" s="31">
        <f t="shared" si="196"/>
        <v>0</v>
      </c>
      <c r="M2166" s="33">
        <f t="shared" si="192"/>
        <v>0</v>
      </c>
      <c r="N2166" s="33"/>
    </row>
    <row r="2167" spans="7:14" ht="16.5" customHeight="1">
      <c r="G2167" s="30">
        <f t="shared" si="193"/>
        <v>0</v>
      </c>
      <c r="H2167" s="31">
        <f t="shared" si="194"/>
        <v>0</v>
      </c>
      <c r="I2167" s="31">
        <f t="shared" si="195"/>
        <v>0</v>
      </c>
      <c r="J2167" s="31">
        <f t="shared" si="196"/>
        <v>0</v>
      </c>
      <c r="M2167" s="33">
        <f t="shared" si="192"/>
        <v>0</v>
      </c>
      <c r="N2167" s="33"/>
    </row>
    <row r="2168" spans="7:14" ht="16.5" customHeight="1">
      <c r="G2168" s="30">
        <f t="shared" si="193"/>
        <v>0</v>
      </c>
      <c r="H2168" s="31">
        <f t="shared" si="194"/>
        <v>0</v>
      </c>
      <c r="I2168" s="31">
        <f t="shared" si="195"/>
        <v>0</v>
      </c>
      <c r="J2168" s="31">
        <f t="shared" si="196"/>
        <v>0</v>
      </c>
      <c r="M2168" s="33">
        <f t="shared" si="192"/>
        <v>0</v>
      </c>
      <c r="N2168" s="33"/>
    </row>
    <row r="2169" spans="7:14" ht="16.5" customHeight="1">
      <c r="G2169" s="30">
        <f t="shared" si="193"/>
        <v>0</v>
      </c>
      <c r="H2169" s="31">
        <f t="shared" si="194"/>
        <v>0</v>
      </c>
      <c r="I2169" s="31">
        <f t="shared" si="195"/>
        <v>0</v>
      </c>
      <c r="J2169" s="31">
        <f t="shared" si="196"/>
        <v>0</v>
      </c>
      <c r="M2169" s="33">
        <f t="shared" si="192"/>
        <v>0</v>
      </c>
      <c r="N2169" s="33"/>
    </row>
    <row r="2170" spans="7:14" ht="16.5" customHeight="1">
      <c r="G2170" s="30">
        <f t="shared" si="193"/>
        <v>0</v>
      </c>
      <c r="H2170" s="31">
        <f t="shared" si="194"/>
        <v>0</v>
      </c>
      <c r="I2170" s="31">
        <f t="shared" si="195"/>
        <v>0</v>
      </c>
      <c r="J2170" s="31">
        <f t="shared" si="196"/>
        <v>0</v>
      </c>
      <c r="M2170" s="33">
        <f t="shared" si="192"/>
        <v>0</v>
      </c>
      <c r="N2170" s="33"/>
    </row>
    <row r="2171" spans="7:14" ht="16.5" customHeight="1">
      <c r="G2171" s="30">
        <f t="shared" si="193"/>
        <v>0</v>
      </c>
      <c r="H2171" s="31">
        <f t="shared" si="194"/>
        <v>0</v>
      </c>
      <c r="I2171" s="31">
        <f t="shared" si="195"/>
        <v>0</v>
      </c>
      <c r="J2171" s="31">
        <f t="shared" si="196"/>
        <v>0</v>
      </c>
      <c r="M2171" s="33">
        <f t="shared" si="192"/>
        <v>0</v>
      </c>
      <c r="N2171" s="33"/>
    </row>
    <row r="2172" spans="7:14" ht="16.5" customHeight="1">
      <c r="G2172" s="30">
        <f t="shared" si="193"/>
        <v>0</v>
      </c>
      <c r="H2172" s="31">
        <f t="shared" si="194"/>
        <v>0</v>
      </c>
      <c r="I2172" s="31">
        <f t="shared" si="195"/>
        <v>0</v>
      </c>
      <c r="J2172" s="31">
        <f t="shared" si="196"/>
        <v>0</v>
      </c>
      <c r="M2172" s="33">
        <f t="shared" si="192"/>
        <v>0</v>
      </c>
      <c r="N2172" s="33"/>
    </row>
    <row r="2173" spans="7:14" ht="16.5" customHeight="1">
      <c r="G2173" s="30">
        <f t="shared" si="193"/>
        <v>0</v>
      </c>
      <c r="H2173" s="31">
        <f t="shared" si="194"/>
        <v>0</v>
      </c>
      <c r="I2173" s="31">
        <f t="shared" si="195"/>
        <v>0</v>
      </c>
      <c r="J2173" s="31">
        <f t="shared" si="196"/>
        <v>0</v>
      </c>
      <c r="M2173" s="33">
        <f t="shared" si="192"/>
        <v>0</v>
      </c>
      <c r="N2173" s="33"/>
    </row>
    <row r="2174" spans="7:14" ht="16.5" customHeight="1">
      <c r="G2174" s="30">
        <f t="shared" si="193"/>
        <v>0</v>
      </c>
      <c r="H2174" s="31">
        <f t="shared" si="194"/>
        <v>0</v>
      </c>
      <c r="I2174" s="31">
        <f t="shared" si="195"/>
        <v>0</v>
      </c>
      <c r="J2174" s="31">
        <f t="shared" si="196"/>
        <v>0</v>
      </c>
      <c r="M2174" s="33">
        <f t="shared" ref="M2174:M2237" si="197">IF(P2174="TL tuyệt đối",0, IF(K2174&lt;5,0,IF(K2174&lt;50,K2174*9%,IF(K2174&lt;100,4.5,IF(K2174&lt;200,4.5%*K2174,IF(K2174&lt;300,9,IF(K2174&lt;500,K2174*3%,IF(K2174&lt;1000,15,))))))))</f>
        <v>0</v>
      </c>
      <c r="N2174" s="33"/>
    </row>
    <row r="2175" spans="7:14" ht="16.5" customHeight="1">
      <c r="G2175" s="30">
        <f t="shared" si="193"/>
        <v>0</v>
      </c>
      <c r="H2175" s="31">
        <f t="shared" si="194"/>
        <v>0</v>
      </c>
      <c r="I2175" s="31">
        <f t="shared" si="195"/>
        <v>0</v>
      </c>
      <c r="J2175" s="31">
        <f t="shared" si="196"/>
        <v>0</v>
      </c>
      <c r="M2175" s="33">
        <f t="shared" si="197"/>
        <v>0</v>
      </c>
      <c r="N2175" s="33"/>
    </row>
    <row r="2176" spans="7:14" ht="16.5" customHeight="1">
      <c r="G2176" s="30">
        <f t="shared" ref="G2176:G2239" si="198">IF(P2176="TL tuyệt đối",K2176*103%,K2176+1/3*M2176)</f>
        <v>0</v>
      </c>
      <c r="H2176" s="31">
        <f t="shared" ref="H2176:H2239" si="199">IF(P2176="TL tuyệt đối",K2176*101%,K2176-1/3*M2176)</f>
        <v>0</v>
      </c>
      <c r="I2176" s="31">
        <f t="shared" ref="I2176:I2239" si="200">IF(P2176="TL tuyệt đối", K2176*105%,K2176+M2176)</f>
        <v>0</v>
      </c>
      <c r="J2176" s="31">
        <f t="shared" si="196"/>
        <v>0</v>
      </c>
      <c r="M2176" s="33">
        <f t="shared" si="197"/>
        <v>0</v>
      </c>
      <c r="N2176" s="33"/>
    </row>
    <row r="2177" spans="7:14" ht="16.5" customHeight="1">
      <c r="G2177" s="30">
        <f t="shared" si="198"/>
        <v>0</v>
      </c>
      <c r="H2177" s="31">
        <f t="shared" si="199"/>
        <v>0</v>
      </c>
      <c r="I2177" s="31">
        <f t="shared" si="200"/>
        <v>0</v>
      </c>
      <c r="J2177" s="31">
        <f t="shared" si="196"/>
        <v>0</v>
      </c>
      <c r="M2177" s="33">
        <f t="shared" si="197"/>
        <v>0</v>
      </c>
      <c r="N2177" s="33"/>
    </row>
    <row r="2178" spans="7:14" ht="16.5" customHeight="1">
      <c r="G2178" s="30">
        <f t="shared" si="198"/>
        <v>0</v>
      </c>
      <c r="H2178" s="31">
        <f t="shared" si="199"/>
        <v>0</v>
      </c>
      <c r="I2178" s="31">
        <f t="shared" si="200"/>
        <v>0</v>
      </c>
      <c r="J2178" s="31">
        <f t="shared" si="196"/>
        <v>0</v>
      </c>
      <c r="M2178" s="33">
        <f t="shared" si="197"/>
        <v>0</v>
      </c>
      <c r="N2178" s="33"/>
    </row>
    <row r="2179" spans="7:14" ht="16.5" customHeight="1">
      <c r="G2179" s="30">
        <f t="shared" si="198"/>
        <v>0</v>
      </c>
      <c r="H2179" s="31">
        <f t="shared" si="199"/>
        <v>0</v>
      </c>
      <c r="I2179" s="31">
        <f t="shared" si="200"/>
        <v>0</v>
      </c>
      <c r="J2179" s="31">
        <f t="shared" si="196"/>
        <v>0</v>
      </c>
      <c r="M2179" s="33">
        <f t="shared" si="197"/>
        <v>0</v>
      </c>
      <c r="N2179" s="33"/>
    </row>
    <row r="2180" spans="7:14" ht="16.5" customHeight="1">
      <c r="G2180" s="30">
        <f t="shared" si="198"/>
        <v>0</v>
      </c>
      <c r="H2180" s="31">
        <f t="shared" si="199"/>
        <v>0</v>
      </c>
      <c r="I2180" s="31">
        <f t="shared" si="200"/>
        <v>0</v>
      </c>
      <c r="J2180" s="31">
        <f t="shared" ref="J2180:J2243" si="201">K2180-M2180</f>
        <v>0</v>
      </c>
      <c r="M2180" s="33">
        <f t="shared" si="197"/>
        <v>0</v>
      </c>
      <c r="N2180" s="33"/>
    </row>
    <row r="2181" spans="7:14" ht="16.5" customHeight="1">
      <c r="G2181" s="30">
        <f t="shared" si="198"/>
        <v>0</v>
      </c>
      <c r="H2181" s="31">
        <f t="shared" si="199"/>
        <v>0</v>
      </c>
      <c r="I2181" s="31">
        <f t="shared" si="200"/>
        <v>0</v>
      </c>
      <c r="J2181" s="31">
        <f t="shared" si="201"/>
        <v>0</v>
      </c>
      <c r="M2181" s="33">
        <f t="shared" si="197"/>
        <v>0</v>
      </c>
      <c r="N2181" s="33"/>
    </row>
    <row r="2182" spans="7:14" ht="16.5" customHeight="1">
      <c r="G2182" s="30">
        <f t="shared" si="198"/>
        <v>0</v>
      </c>
      <c r="H2182" s="31">
        <f t="shared" si="199"/>
        <v>0</v>
      </c>
      <c r="I2182" s="31">
        <f t="shared" si="200"/>
        <v>0</v>
      </c>
      <c r="J2182" s="31">
        <f t="shared" si="201"/>
        <v>0</v>
      </c>
      <c r="M2182" s="33">
        <f t="shared" si="197"/>
        <v>0</v>
      </c>
      <c r="N2182" s="33"/>
    </row>
    <row r="2183" spans="7:14" ht="16.5" customHeight="1">
      <c r="G2183" s="30">
        <f t="shared" si="198"/>
        <v>0</v>
      </c>
      <c r="H2183" s="31">
        <f t="shared" si="199"/>
        <v>0</v>
      </c>
      <c r="I2183" s="31">
        <f t="shared" si="200"/>
        <v>0</v>
      </c>
      <c r="J2183" s="31">
        <f t="shared" si="201"/>
        <v>0</v>
      </c>
      <c r="M2183" s="33">
        <f t="shared" si="197"/>
        <v>0</v>
      </c>
      <c r="N2183" s="33"/>
    </row>
    <row r="2184" spans="7:14" ht="16.5" customHeight="1">
      <c r="G2184" s="30">
        <f t="shared" si="198"/>
        <v>0</v>
      </c>
      <c r="H2184" s="31">
        <f t="shared" si="199"/>
        <v>0</v>
      </c>
      <c r="I2184" s="31">
        <f t="shared" si="200"/>
        <v>0</v>
      </c>
      <c r="J2184" s="31">
        <f t="shared" si="201"/>
        <v>0</v>
      </c>
      <c r="M2184" s="33">
        <f t="shared" si="197"/>
        <v>0</v>
      </c>
      <c r="N2184" s="33"/>
    </row>
    <row r="2185" spans="7:14" ht="16.5" customHeight="1">
      <c r="G2185" s="30">
        <f t="shared" si="198"/>
        <v>0</v>
      </c>
      <c r="H2185" s="31">
        <f t="shared" si="199"/>
        <v>0</v>
      </c>
      <c r="I2185" s="31">
        <f t="shared" si="200"/>
        <v>0</v>
      </c>
      <c r="J2185" s="31">
        <f t="shared" si="201"/>
        <v>0</v>
      </c>
      <c r="M2185" s="33">
        <f t="shared" si="197"/>
        <v>0</v>
      </c>
      <c r="N2185" s="33"/>
    </row>
    <row r="2186" spans="7:14" ht="16.5" customHeight="1">
      <c r="G2186" s="30">
        <f t="shared" si="198"/>
        <v>0</v>
      </c>
      <c r="H2186" s="31">
        <f t="shared" si="199"/>
        <v>0</v>
      </c>
      <c r="I2186" s="31">
        <f t="shared" si="200"/>
        <v>0</v>
      </c>
      <c r="J2186" s="31">
        <f t="shared" si="201"/>
        <v>0</v>
      </c>
      <c r="M2186" s="33">
        <f t="shared" si="197"/>
        <v>0</v>
      </c>
      <c r="N2186" s="33"/>
    </row>
    <row r="2187" spans="7:14" ht="16.5" customHeight="1">
      <c r="G2187" s="30">
        <f t="shared" si="198"/>
        <v>0</v>
      </c>
      <c r="H2187" s="31">
        <f t="shared" si="199"/>
        <v>0</v>
      </c>
      <c r="I2187" s="31">
        <f t="shared" si="200"/>
        <v>0</v>
      </c>
      <c r="J2187" s="31">
        <f t="shared" si="201"/>
        <v>0</v>
      </c>
      <c r="M2187" s="33">
        <f t="shared" si="197"/>
        <v>0</v>
      </c>
      <c r="N2187" s="33"/>
    </row>
    <row r="2188" spans="7:14" ht="16.5" customHeight="1">
      <c r="G2188" s="30">
        <f t="shared" si="198"/>
        <v>0</v>
      </c>
      <c r="H2188" s="31">
        <f t="shared" si="199"/>
        <v>0</v>
      </c>
      <c r="I2188" s="31">
        <f t="shared" si="200"/>
        <v>0</v>
      </c>
      <c r="J2188" s="31">
        <f t="shared" si="201"/>
        <v>0</v>
      </c>
      <c r="M2188" s="33">
        <f t="shared" si="197"/>
        <v>0</v>
      </c>
      <c r="N2188" s="33"/>
    </row>
    <row r="2189" spans="7:14" ht="16.5" customHeight="1">
      <c r="G2189" s="30">
        <f t="shared" si="198"/>
        <v>0</v>
      </c>
      <c r="H2189" s="31">
        <f t="shared" si="199"/>
        <v>0</v>
      </c>
      <c r="I2189" s="31">
        <f t="shared" si="200"/>
        <v>0</v>
      </c>
      <c r="J2189" s="31">
        <f t="shared" si="201"/>
        <v>0</v>
      </c>
      <c r="M2189" s="33">
        <f t="shared" si="197"/>
        <v>0</v>
      </c>
      <c r="N2189" s="33"/>
    </row>
    <row r="2190" spans="7:14" ht="16.5" customHeight="1">
      <c r="G2190" s="30">
        <f t="shared" si="198"/>
        <v>0</v>
      </c>
      <c r="H2190" s="31">
        <f t="shared" si="199"/>
        <v>0</v>
      </c>
      <c r="I2190" s="31">
        <f t="shared" si="200"/>
        <v>0</v>
      </c>
      <c r="J2190" s="31">
        <f t="shared" si="201"/>
        <v>0</v>
      </c>
      <c r="M2190" s="33">
        <f t="shared" si="197"/>
        <v>0</v>
      </c>
      <c r="N2190" s="33"/>
    </row>
    <row r="2191" spans="7:14" ht="16.5" customHeight="1">
      <c r="G2191" s="30">
        <f t="shared" si="198"/>
        <v>0</v>
      </c>
      <c r="H2191" s="31">
        <f t="shared" si="199"/>
        <v>0</v>
      </c>
      <c r="I2191" s="31">
        <f t="shared" si="200"/>
        <v>0</v>
      </c>
      <c r="J2191" s="31">
        <f t="shared" si="201"/>
        <v>0</v>
      </c>
      <c r="M2191" s="33">
        <f t="shared" si="197"/>
        <v>0</v>
      </c>
      <c r="N2191" s="33"/>
    </row>
    <row r="2192" spans="7:14" ht="16.5" customHeight="1">
      <c r="G2192" s="30">
        <f t="shared" si="198"/>
        <v>0</v>
      </c>
      <c r="H2192" s="31">
        <f t="shared" si="199"/>
        <v>0</v>
      </c>
      <c r="I2192" s="31">
        <f t="shared" si="200"/>
        <v>0</v>
      </c>
      <c r="J2192" s="31">
        <f t="shared" si="201"/>
        <v>0</v>
      </c>
      <c r="M2192" s="33">
        <f t="shared" si="197"/>
        <v>0</v>
      </c>
      <c r="N2192" s="33"/>
    </row>
    <row r="2193" spans="7:14" ht="16.5" customHeight="1">
      <c r="G2193" s="30">
        <f t="shared" si="198"/>
        <v>0</v>
      </c>
      <c r="H2193" s="31">
        <f t="shared" si="199"/>
        <v>0</v>
      </c>
      <c r="I2193" s="31">
        <f t="shared" si="200"/>
        <v>0</v>
      </c>
      <c r="J2193" s="31">
        <f t="shared" si="201"/>
        <v>0</v>
      </c>
      <c r="M2193" s="33">
        <f t="shared" si="197"/>
        <v>0</v>
      </c>
      <c r="N2193" s="33"/>
    </row>
    <row r="2194" spans="7:14" ht="16.5" customHeight="1">
      <c r="G2194" s="30">
        <f t="shared" si="198"/>
        <v>0</v>
      </c>
      <c r="H2194" s="31">
        <f t="shared" si="199"/>
        <v>0</v>
      </c>
      <c r="I2194" s="31">
        <f t="shared" si="200"/>
        <v>0</v>
      </c>
      <c r="J2194" s="31">
        <f t="shared" si="201"/>
        <v>0</v>
      </c>
      <c r="M2194" s="33">
        <f t="shared" si="197"/>
        <v>0</v>
      </c>
      <c r="N2194" s="33"/>
    </row>
    <row r="2195" spans="7:14" ht="16.5" customHeight="1">
      <c r="G2195" s="30">
        <f t="shared" si="198"/>
        <v>0</v>
      </c>
      <c r="H2195" s="31">
        <f t="shared" si="199"/>
        <v>0</v>
      </c>
      <c r="I2195" s="31">
        <f t="shared" si="200"/>
        <v>0</v>
      </c>
      <c r="J2195" s="31">
        <f t="shared" si="201"/>
        <v>0</v>
      </c>
      <c r="M2195" s="33">
        <f t="shared" si="197"/>
        <v>0</v>
      </c>
      <c r="N2195" s="33"/>
    </row>
    <row r="2196" spans="7:14" ht="16.5" customHeight="1">
      <c r="G2196" s="30">
        <f t="shared" si="198"/>
        <v>0</v>
      </c>
      <c r="H2196" s="31">
        <f t="shared" si="199"/>
        <v>0</v>
      </c>
      <c r="I2196" s="31">
        <f t="shared" si="200"/>
        <v>0</v>
      </c>
      <c r="J2196" s="31">
        <f t="shared" si="201"/>
        <v>0</v>
      </c>
      <c r="M2196" s="33">
        <f t="shared" si="197"/>
        <v>0</v>
      </c>
      <c r="N2196" s="33"/>
    </row>
    <row r="2197" spans="7:14" ht="16.5" customHeight="1">
      <c r="G2197" s="30">
        <f t="shared" si="198"/>
        <v>0</v>
      </c>
      <c r="H2197" s="31">
        <f t="shared" si="199"/>
        <v>0</v>
      </c>
      <c r="I2197" s="31">
        <f t="shared" si="200"/>
        <v>0</v>
      </c>
      <c r="J2197" s="31">
        <f t="shared" si="201"/>
        <v>0</v>
      </c>
      <c r="M2197" s="33">
        <f t="shared" si="197"/>
        <v>0</v>
      </c>
      <c r="N2197" s="33"/>
    </row>
    <row r="2198" spans="7:14" ht="16.5" customHeight="1">
      <c r="G2198" s="30">
        <f t="shared" si="198"/>
        <v>0</v>
      </c>
      <c r="H2198" s="31">
        <f t="shared" si="199"/>
        <v>0</v>
      </c>
      <c r="I2198" s="31">
        <f t="shared" si="200"/>
        <v>0</v>
      </c>
      <c r="J2198" s="31">
        <f t="shared" si="201"/>
        <v>0</v>
      </c>
      <c r="M2198" s="33">
        <f t="shared" si="197"/>
        <v>0</v>
      </c>
      <c r="N2198" s="33"/>
    </row>
    <row r="2199" spans="7:14" ht="16.5" customHeight="1">
      <c r="G2199" s="30">
        <f t="shared" si="198"/>
        <v>0</v>
      </c>
      <c r="H2199" s="31">
        <f t="shared" si="199"/>
        <v>0</v>
      </c>
      <c r="I2199" s="31">
        <f t="shared" si="200"/>
        <v>0</v>
      </c>
      <c r="J2199" s="31">
        <f t="shared" si="201"/>
        <v>0</v>
      </c>
      <c r="M2199" s="33">
        <f t="shared" si="197"/>
        <v>0</v>
      </c>
      <c r="N2199" s="33"/>
    </row>
    <row r="2200" spans="7:14" ht="16.5" customHeight="1">
      <c r="G2200" s="30">
        <f t="shared" si="198"/>
        <v>0</v>
      </c>
      <c r="H2200" s="31">
        <f t="shared" si="199"/>
        <v>0</v>
      </c>
      <c r="I2200" s="31">
        <f t="shared" si="200"/>
        <v>0</v>
      </c>
      <c r="J2200" s="31">
        <f t="shared" si="201"/>
        <v>0</v>
      </c>
      <c r="M2200" s="33">
        <f t="shared" si="197"/>
        <v>0</v>
      </c>
      <c r="N2200" s="33"/>
    </row>
    <row r="2201" spans="7:14" ht="16.5" customHeight="1">
      <c r="G2201" s="30">
        <f t="shared" si="198"/>
        <v>0</v>
      </c>
      <c r="H2201" s="31">
        <f t="shared" si="199"/>
        <v>0</v>
      </c>
      <c r="I2201" s="31">
        <f t="shared" si="200"/>
        <v>0</v>
      </c>
      <c r="J2201" s="31">
        <f t="shared" si="201"/>
        <v>0</v>
      </c>
      <c r="M2201" s="33">
        <f t="shared" si="197"/>
        <v>0</v>
      </c>
      <c r="N2201" s="33"/>
    </row>
    <row r="2202" spans="7:14" ht="16.5" customHeight="1">
      <c r="G2202" s="30">
        <f t="shared" si="198"/>
        <v>0</v>
      </c>
      <c r="H2202" s="31">
        <f t="shared" si="199"/>
        <v>0</v>
      </c>
      <c r="I2202" s="31">
        <f t="shared" si="200"/>
        <v>0</v>
      </c>
      <c r="J2202" s="31">
        <f t="shared" si="201"/>
        <v>0</v>
      </c>
      <c r="M2202" s="33">
        <f t="shared" si="197"/>
        <v>0</v>
      </c>
      <c r="N2202" s="33"/>
    </row>
    <row r="2203" spans="7:14" ht="16.5" customHeight="1">
      <c r="G2203" s="30">
        <f t="shared" si="198"/>
        <v>0</v>
      </c>
      <c r="H2203" s="31">
        <f t="shared" si="199"/>
        <v>0</v>
      </c>
      <c r="I2203" s="31">
        <f t="shared" si="200"/>
        <v>0</v>
      </c>
      <c r="J2203" s="31">
        <f t="shared" si="201"/>
        <v>0</v>
      </c>
      <c r="M2203" s="33">
        <f t="shared" si="197"/>
        <v>0</v>
      </c>
      <c r="N2203" s="33"/>
    </row>
    <row r="2204" spans="7:14" ht="16.5" customHeight="1">
      <c r="G2204" s="30">
        <f t="shared" si="198"/>
        <v>0</v>
      </c>
      <c r="H2204" s="31">
        <f t="shared" si="199"/>
        <v>0</v>
      </c>
      <c r="I2204" s="31">
        <f t="shared" si="200"/>
        <v>0</v>
      </c>
      <c r="J2204" s="31">
        <f t="shared" si="201"/>
        <v>0</v>
      </c>
      <c r="M2204" s="33">
        <f t="shared" si="197"/>
        <v>0</v>
      </c>
      <c r="N2204" s="33"/>
    </row>
    <row r="2205" spans="7:14" ht="16.5" customHeight="1">
      <c r="G2205" s="30">
        <f t="shared" si="198"/>
        <v>0</v>
      </c>
      <c r="H2205" s="31">
        <f t="shared" si="199"/>
        <v>0</v>
      </c>
      <c r="I2205" s="31">
        <f t="shared" si="200"/>
        <v>0</v>
      </c>
      <c r="J2205" s="31">
        <f t="shared" si="201"/>
        <v>0</v>
      </c>
      <c r="M2205" s="33">
        <f t="shared" si="197"/>
        <v>0</v>
      </c>
      <c r="N2205" s="33"/>
    </row>
    <row r="2206" spans="7:14" ht="16.5" customHeight="1">
      <c r="G2206" s="30">
        <f t="shared" si="198"/>
        <v>0</v>
      </c>
      <c r="H2206" s="31">
        <f t="shared" si="199"/>
        <v>0</v>
      </c>
      <c r="I2206" s="31">
        <f t="shared" si="200"/>
        <v>0</v>
      </c>
      <c r="J2206" s="31">
        <f t="shared" si="201"/>
        <v>0</v>
      </c>
      <c r="M2206" s="33">
        <f t="shared" si="197"/>
        <v>0</v>
      </c>
      <c r="N2206" s="33"/>
    </row>
    <row r="2207" spans="7:14" ht="16.5" customHeight="1">
      <c r="G2207" s="30">
        <f t="shared" si="198"/>
        <v>0</v>
      </c>
      <c r="H2207" s="31">
        <f t="shared" si="199"/>
        <v>0</v>
      </c>
      <c r="I2207" s="31">
        <f t="shared" si="200"/>
        <v>0</v>
      </c>
      <c r="J2207" s="31">
        <f t="shared" si="201"/>
        <v>0</v>
      </c>
      <c r="M2207" s="33">
        <f t="shared" si="197"/>
        <v>0</v>
      </c>
      <c r="N2207" s="33"/>
    </row>
    <row r="2208" spans="7:14" ht="16.5" customHeight="1">
      <c r="G2208" s="30">
        <f t="shared" si="198"/>
        <v>0</v>
      </c>
      <c r="H2208" s="31">
        <f t="shared" si="199"/>
        <v>0</v>
      </c>
      <c r="I2208" s="31">
        <f t="shared" si="200"/>
        <v>0</v>
      </c>
      <c r="J2208" s="31">
        <f t="shared" si="201"/>
        <v>0</v>
      </c>
      <c r="M2208" s="33">
        <f t="shared" si="197"/>
        <v>0</v>
      </c>
      <c r="N2208" s="33"/>
    </row>
    <row r="2209" spans="7:14" ht="16.5" customHeight="1">
      <c r="G2209" s="30">
        <f t="shared" si="198"/>
        <v>0</v>
      </c>
      <c r="H2209" s="31">
        <f t="shared" si="199"/>
        <v>0</v>
      </c>
      <c r="I2209" s="31">
        <f t="shared" si="200"/>
        <v>0</v>
      </c>
      <c r="J2209" s="31">
        <f t="shared" si="201"/>
        <v>0</v>
      </c>
      <c r="M2209" s="33">
        <f t="shared" si="197"/>
        <v>0</v>
      </c>
      <c r="N2209" s="33"/>
    </row>
    <row r="2210" spans="7:14" ht="16.5" customHeight="1">
      <c r="G2210" s="30">
        <f t="shared" si="198"/>
        <v>0</v>
      </c>
      <c r="H2210" s="31">
        <f t="shared" si="199"/>
        <v>0</v>
      </c>
      <c r="I2210" s="31">
        <f t="shared" si="200"/>
        <v>0</v>
      </c>
      <c r="J2210" s="31">
        <f t="shared" si="201"/>
        <v>0</v>
      </c>
      <c r="M2210" s="33">
        <f t="shared" si="197"/>
        <v>0</v>
      </c>
      <c r="N2210" s="33"/>
    </row>
    <row r="2211" spans="7:14" ht="16.5" customHeight="1">
      <c r="G2211" s="30">
        <f t="shared" si="198"/>
        <v>0</v>
      </c>
      <c r="H2211" s="31">
        <f t="shared" si="199"/>
        <v>0</v>
      </c>
      <c r="I2211" s="31">
        <f t="shared" si="200"/>
        <v>0</v>
      </c>
      <c r="J2211" s="31">
        <f t="shared" si="201"/>
        <v>0</v>
      </c>
      <c r="M2211" s="33">
        <f t="shared" si="197"/>
        <v>0</v>
      </c>
      <c r="N2211" s="33"/>
    </row>
    <row r="2212" spans="7:14" ht="16.5" customHeight="1">
      <c r="G2212" s="30">
        <f t="shared" si="198"/>
        <v>0</v>
      </c>
      <c r="H2212" s="31">
        <f t="shared" si="199"/>
        <v>0</v>
      </c>
      <c r="I2212" s="31">
        <f t="shared" si="200"/>
        <v>0</v>
      </c>
      <c r="J2212" s="31">
        <f t="shared" si="201"/>
        <v>0</v>
      </c>
      <c r="M2212" s="33">
        <f t="shared" si="197"/>
        <v>0</v>
      </c>
      <c r="N2212" s="33"/>
    </row>
    <row r="2213" spans="7:14" ht="16.5" customHeight="1">
      <c r="G2213" s="30">
        <f t="shared" si="198"/>
        <v>0</v>
      </c>
      <c r="H2213" s="31">
        <f t="shared" si="199"/>
        <v>0</v>
      </c>
      <c r="I2213" s="31">
        <f t="shared" si="200"/>
        <v>0</v>
      </c>
      <c r="J2213" s="31">
        <f t="shared" si="201"/>
        <v>0</v>
      </c>
      <c r="M2213" s="33">
        <f t="shared" si="197"/>
        <v>0</v>
      </c>
      <c r="N2213" s="33"/>
    </row>
    <row r="2214" spans="7:14" ht="16.5" customHeight="1">
      <c r="G2214" s="30">
        <f t="shared" si="198"/>
        <v>0</v>
      </c>
      <c r="H2214" s="31">
        <f t="shared" si="199"/>
        <v>0</v>
      </c>
      <c r="I2214" s="31">
        <f t="shared" si="200"/>
        <v>0</v>
      </c>
      <c r="J2214" s="31">
        <f t="shared" si="201"/>
        <v>0</v>
      </c>
      <c r="M2214" s="33">
        <f t="shared" si="197"/>
        <v>0</v>
      </c>
      <c r="N2214" s="33"/>
    </row>
    <row r="2215" spans="7:14" ht="16.5" customHeight="1">
      <c r="G2215" s="30">
        <f t="shared" si="198"/>
        <v>0</v>
      </c>
      <c r="H2215" s="31">
        <f t="shared" si="199"/>
        <v>0</v>
      </c>
      <c r="I2215" s="31">
        <f t="shared" si="200"/>
        <v>0</v>
      </c>
      <c r="J2215" s="31">
        <f t="shared" si="201"/>
        <v>0</v>
      </c>
      <c r="M2215" s="33">
        <f t="shared" si="197"/>
        <v>0</v>
      </c>
      <c r="N2215" s="33"/>
    </row>
    <row r="2216" spans="7:14" ht="16.5" customHeight="1">
      <c r="G2216" s="30">
        <f t="shared" si="198"/>
        <v>0</v>
      </c>
      <c r="H2216" s="31">
        <f t="shared" si="199"/>
        <v>0</v>
      </c>
      <c r="I2216" s="31">
        <f t="shared" si="200"/>
        <v>0</v>
      </c>
      <c r="J2216" s="31">
        <f t="shared" si="201"/>
        <v>0</v>
      </c>
      <c r="M2216" s="33">
        <f t="shared" si="197"/>
        <v>0</v>
      </c>
      <c r="N2216" s="33"/>
    </row>
    <row r="2217" spans="7:14" ht="16.5" customHeight="1">
      <c r="G2217" s="30">
        <f t="shared" si="198"/>
        <v>0</v>
      </c>
      <c r="H2217" s="31">
        <f t="shared" si="199"/>
        <v>0</v>
      </c>
      <c r="I2217" s="31">
        <f t="shared" si="200"/>
        <v>0</v>
      </c>
      <c r="J2217" s="31">
        <f t="shared" si="201"/>
        <v>0</v>
      </c>
      <c r="M2217" s="33">
        <f t="shared" si="197"/>
        <v>0</v>
      </c>
      <c r="N2217" s="33"/>
    </row>
    <row r="2218" spans="7:14" ht="16.5" customHeight="1">
      <c r="G2218" s="30">
        <f t="shared" si="198"/>
        <v>0</v>
      </c>
      <c r="H2218" s="31">
        <f t="shared" si="199"/>
        <v>0</v>
      </c>
      <c r="I2218" s="31">
        <f t="shared" si="200"/>
        <v>0</v>
      </c>
      <c r="J2218" s="31">
        <f t="shared" si="201"/>
        <v>0</v>
      </c>
      <c r="M2218" s="33">
        <f t="shared" si="197"/>
        <v>0</v>
      </c>
      <c r="N2218" s="33"/>
    </row>
    <row r="2219" spans="7:14" ht="16.5" customHeight="1">
      <c r="G2219" s="30">
        <f t="shared" si="198"/>
        <v>0</v>
      </c>
      <c r="H2219" s="31">
        <f t="shared" si="199"/>
        <v>0</v>
      </c>
      <c r="I2219" s="31">
        <f t="shared" si="200"/>
        <v>0</v>
      </c>
      <c r="J2219" s="31">
        <f t="shared" si="201"/>
        <v>0</v>
      </c>
      <c r="M2219" s="33">
        <f t="shared" si="197"/>
        <v>0</v>
      </c>
      <c r="N2219" s="33"/>
    </row>
    <row r="2220" spans="7:14" ht="16.5" customHeight="1">
      <c r="G2220" s="30">
        <f t="shared" si="198"/>
        <v>0</v>
      </c>
      <c r="H2220" s="31">
        <f t="shared" si="199"/>
        <v>0</v>
      </c>
      <c r="I2220" s="31">
        <f t="shared" si="200"/>
        <v>0</v>
      </c>
      <c r="J2220" s="31">
        <f t="shared" si="201"/>
        <v>0</v>
      </c>
      <c r="M2220" s="33">
        <f t="shared" si="197"/>
        <v>0</v>
      </c>
      <c r="N2220" s="33"/>
    </row>
    <row r="2221" spans="7:14" ht="16.5" customHeight="1">
      <c r="G2221" s="30">
        <f t="shared" si="198"/>
        <v>0</v>
      </c>
      <c r="H2221" s="31">
        <f t="shared" si="199"/>
        <v>0</v>
      </c>
      <c r="I2221" s="31">
        <f t="shared" si="200"/>
        <v>0</v>
      </c>
      <c r="J2221" s="31">
        <f t="shared" si="201"/>
        <v>0</v>
      </c>
      <c r="M2221" s="33">
        <f t="shared" si="197"/>
        <v>0</v>
      </c>
      <c r="N2221" s="33"/>
    </row>
    <row r="2222" spans="7:14" ht="16.5" customHeight="1">
      <c r="G2222" s="30">
        <f t="shared" si="198"/>
        <v>0</v>
      </c>
      <c r="H2222" s="31">
        <f t="shared" si="199"/>
        <v>0</v>
      </c>
      <c r="I2222" s="31">
        <f t="shared" si="200"/>
        <v>0</v>
      </c>
      <c r="J2222" s="31">
        <f t="shared" si="201"/>
        <v>0</v>
      </c>
      <c r="M2222" s="33">
        <f t="shared" si="197"/>
        <v>0</v>
      </c>
      <c r="N2222" s="33"/>
    </row>
    <row r="2223" spans="7:14" ht="16.5" customHeight="1">
      <c r="G2223" s="30">
        <f t="shared" si="198"/>
        <v>0</v>
      </c>
      <c r="H2223" s="31">
        <f t="shared" si="199"/>
        <v>0</v>
      </c>
      <c r="I2223" s="31">
        <f t="shared" si="200"/>
        <v>0</v>
      </c>
      <c r="J2223" s="31">
        <f t="shared" si="201"/>
        <v>0</v>
      </c>
      <c r="M2223" s="33">
        <f t="shared" si="197"/>
        <v>0</v>
      </c>
      <c r="N2223" s="33"/>
    </row>
    <row r="2224" spans="7:14" ht="16.5" customHeight="1">
      <c r="G2224" s="30">
        <f t="shared" si="198"/>
        <v>0</v>
      </c>
      <c r="H2224" s="31">
        <f t="shared" si="199"/>
        <v>0</v>
      </c>
      <c r="I2224" s="31">
        <f t="shared" si="200"/>
        <v>0</v>
      </c>
      <c r="J2224" s="31">
        <f t="shared" si="201"/>
        <v>0</v>
      </c>
      <c r="M2224" s="33">
        <f t="shared" si="197"/>
        <v>0</v>
      </c>
      <c r="N2224" s="33"/>
    </row>
    <row r="2225" spans="7:14" ht="16.5" customHeight="1">
      <c r="G2225" s="30">
        <f t="shared" si="198"/>
        <v>0</v>
      </c>
      <c r="H2225" s="31">
        <f t="shared" si="199"/>
        <v>0</v>
      </c>
      <c r="I2225" s="31">
        <f t="shared" si="200"/>
        <v>0</v>
      </c>
      <c r="J2225" s="31">
        <f t="shared" si="201"/>
        <v>0</v>
      </c>
      <c r="M2225" s="33">
        <f t="shared" si="197"/>
        <v>0</v>
      </c>
      <c r="N2225" s="33"/>
    </row>
    <row r="2226" spans="7:14" ht="16.5" customHeight="1">
      <c r="G2226" s="30">
        <f t="shared" si="198"/>
        <v>0</v>
      </c>
      <c r="H2226" s="31">
        <f t="shared" si="199"/>
        <v>0</v>
      </c>
      <c r="I2226" s="31">
        <f t="shared" si="200"/>
        <v>0</v>
      </c>
      <c r="J2226" s="31">
        <f t="shared" si="201"/>
        <v>0</v>
      </c>
      <c r="M2226" s="33">
        <f t="shared" si="197"/>
        <v>0</v>
      </c>
      <c r="N2226" s="33"/>
    </row>
    <row r="2227" spans="7:14" ht="16.5" customHeight="1">
      <c r="G2227" s="30">
        <f t="shared" si="198"/>
        <v>0</v>
      </c>
      <c r="H2227" s="31">
        <f t="shared" si="199"/>
        <v>0</v>
      </c>
      <c r="I2227" s="31">
        <f t="shared" si="200"/>
        <v>0</v>
      </c>
      <c r="J2227" s="31">
        <f t="shared" si="201"/>
        <v>0</v>
      </c>
      <c r="M2227" s="33">
        <f t="shared" si="197"/>
        <v>0</v>
      </c>
      <c r="N2227" s="33"/>
    </row>
    <row r="2228" spans="7:14" ht="16.5" customHeight="1">
      <c r="G2228" s="30">
        <f t="shared" si="198"/>
        <v>0</v>
      </c>
      <c r="H2228" s="31">
        <f t="shared" si="199"/>
        <v>0</v>
      </c>
      <c r="I2228" s="31">
        <f t="shared" si="200"/>
        <v>0</v>
      </c>
      <c r="J2228" s="31">
        <f t="shared" si="201"/>
        <v>0</v>
      </c>
      <c r="M2228" s="33">
        <f t="shared" si="197"/>
        <v>0</v>
      </c>
      <c r="N2228" s="33"/>
    </row>
    <row r="2229" spans="7:14" ht="16.5" customHeight="1">
      <c r="G2229" s="30">
        <f t="shared" si="198"/>
        <v>0</v>
      </c>
      <c r="H2229" s="31">
        <f t="shared" si="199"/>
        <v>0</v>
      </c>
      <c r="I2229" s="31">
        <f t="shared" si="200"/>
        <v>0</v>
      </c>
      <c r="J2229" s="31">
        <f t="shared" si="201"/>
        <v>0</v>
      </c>
      <c r="M2229" s="33">
        <f t="shared" si="197"/>
        <v>0</v>
      </c>
      <c r="N2229" s="33"/>
    </row>
    <row r="2230" spans="7:14" ht="16.5" customHeight="1">
      <c r="G2230" s="30">
        <f t="shared" si="198"/>
        <v>0</v>
      </c>
      <c r="H2230" s="31">
        <f t="shared" si="199"/>
        <v>0</v>
      </c>
      <c r="I2230" s="31">
        <f t="shared" si="200"/>
        <v>0</v>
      </c>
      <c r="J2230" s="31">
        <f t="shared" si="201"/>
        <v>0</v>
      </c>
      <c r="M2230" s="33">
        <f t="shared" si="197"/>
        <v>0</v>
      </c>
      <c r="N2230" s="33"/>
    </row>
    <row r="2231" spans="7:14" ht="16.5" customHeight="1">
      <c r="G2231" s="30">
        <f t="shared" si="198"/>
        <v>0</v>
      </c>
      <c r="H2231" s="31">
        <f t="shared" si="199"/>
        <v>0</v>
      </c>
      <c r="I2231" s="31">
        <f t="shared" si="200"/>
        <v>0</v>
      </c>
      <c r="J2231" s="31">
        <f t="shared" si="201"/>
        <v>0</v>
      </c>
      <c r="M2231" s="33">
        <f t="shared" si="197"/>
        <v>0</v>
      </c>
      <c r="N2231" s="33"/>
    </row>
    <row r="2232" spans="7:14" ht="16.5" customHeight="1">
      <c r="G2232" s="30">
        <f t="shared" si="198"/>
        <v>0</v>
      </c>
      <c r="H2232" s="31">
        <f t="shared" si="199"/>
        <v>0</v>
      </c>
      <c r="I2232" s="31">
        <f t="shared" si="200"/>
        <v>0</v>
      </c>
      <c r="J2232" s="31">
        <f t="shared" si="201"/>
        <v>0</v>
      </c>
      <c r="M2232" s="33">
        <f t="shared" si="197"/>
        <v>0</v>
      </c>
      <c r="N2232" s="33"/>
    </row>
    <row r="2233" spans="7:14" ht="16.5" customHeight="1">
      <c r="G2233" s="30">
        <f t="shared" si="198"/>
        <v>0</v>
      </c>
      <c r="H2233" s="31">
        <f t="shared" si="199"/>
        <v>0</v>
      </c>
      <c r="I2233" s="31">
        <f t="shared" si="200"/>
        <v>0</v>
      </c>
      <c r="J2233" s="31">
        <f t="shared" si="201"/>
        <v>0</v>
      </c>
      <c r="M2233" s="33">
        <f t="shared" si="197"/>
        <v>0</v>
      </c>
      <c r="N2233" s="33"/>
    </row>
    <row r="2234" spans="7:14" ht="16.5" customHeight="1">
      <c r="G2234" s="30">
        <f t="shared" si="198"/>
        <v>0</v>
      </c>
      <c r="H2234" s="31">
        <f t="shared" si="199"/>
        <v>0</v>
      </c>
      <c r="I2234" s="31">
        <f t="shared" si="200"/>
        <v>0</v>
      </c>
      <c r="J2234" s="31">
        <f t="shared" si="201"/>
        <v>0</v>
      </c>
      <c r="M2234" s="33">
        <f t="shared" si="197"/>
        <v>0</v>
      </c>
      <c r="N2234" s="33"/>
    </row>
    <row r="2235" spans="7:14" ht="16.5" customHeight="1">
      <c r="G2235" s="30">
        <f t="shared" si="198"/>
        <v>0</v>
      </c>
      <c r="H2235" s="31">
        <f t="shared" si="199"/>
        <v>0</v>
      </c>
      <c r="I2235" s="31">
        <f t="shared" si="200"/>
        <v>0</v>
      </c>
      <c r="J2235" s="31">
        <f t="shared" si="201"/>
        <v>0</v>
      </c>
      <c r="M2235" s="33">
        <f t="shared" si="197"/>
        <v>0</v>
      </c>
      <c r="N2235" s="33"/>
    </row>
    <row r="2236" spans="7:14" ht="16.5" customHeight="1">
      <c r="G2236" s="30">
        <f t="shared" si="198"/>
        <v>0</v>
      </c>
      <c r="H2236" s="31">
        <f t="shared" si="199"/>
        <v>0</v>
      </c>
      <c r="I2236" s="31">
        <f t="shared" si="200"/>
        <v>0</v>
      </c>
      <c r="J2236" s="31">
        <f t="shared" si="201"/>
        <v>0</v>
      </c>
      <c r="M2236" s="33">
        <f t="shared" si="197"/>
        <v>0</v>
      </c>
      <c r="N2236" s="33"/>
    </row>
    <row r="2237" spans="7:14" ht="16.5" customHeight="1">
      <c r="G2237" s="30">
        <f t="shared" si="198"/>
        <v>0</v>
      </c>
      <c r="H2237" s="31">
        <f t="shared" si="199"/>
        <v>0</v>
      </c>
      <c r="I2237" s="31">
        <f t="shared" si="200"/>
        <v>0</v>
      </c>
      <c r="J2237" s="31">
        <f t="shared" si="201"/>
        <v>0</v>
      </c>
      <c r="M2237" s="33">
        <f t="shared" si="197"/>
        <v>0</v>
      </c>
      <c r="N2237" s="33"/>
    </row>
    <row r="2238" spans="7:14" ht="16.5" customHeight="1">
      <c r="G2238" s="30">
        <f t="shared" si="198"/>
        <v>0</v>
      </c>
      <c r="H2238" s="31">
        <f t="shared" si="199"/>
        <v>0</v>
      </c>
      <c r="I2238" s="31">
        <f t="shared" si="200"/>
        <v>0</v>
      </c>
      <c r="J2238" s="31">
        <f t="shared" si="201"/>
        <v>0</v>
      </c>
      <c r="M2238" s="33">
        <f t="shared" ref="M2238:M2301" si="202">IF(P2238="TL tuyệt đối",0, IF(K2238&lt;5,0,IF(K2238&lt;50,K2238*9%,IF(K2238&lt;100,4.5,IF(K2238&lt;200,4.5%*K2238,IF(K2238&lt;300,9,IF(K2238&lt;500,K2238*3%,IF(K2238&lt;1000,15,))))))))</f>
        <v>0</v>
      </c>
      <c r="N2238" s="33"/>
    </row>
    <row r="2239" spans="7:14" ht="16.5" customHeight="1">
      <c r="G2239" s="30">
        <f t="shared" si="198"/>
        <v>0</v>
      </c>
      <c r="H2239" s="31">
        <f t="shared" si="199"/>
        <v>0</v>
      </c>
      <c r="I2239" s="31">
        <f t="shared" si="200"/>
        <v>0</v>
      </c>
      <c r="J2239" s="31">
        <f t="shared" si="201"/>
        <v>0</v>
      </c>
      <c r="M2239" s="33">
        <f t="shared" si="202"/>
        <v>0</v>
      </c>
      <c r="N2239" s="33"/>
    </row>
    <row r="2240" spans="7:14" ht="16.5" customHeight="1">
      <c r="G2240" s="30">
        <f t="shared" ref="G2240:G2303" si="203">IF(P2240="TL tuyệt đối",K2240*103%,K2240+1/3*M2240)</f>
        <v>0</v>
      </c>
      <c r="H2240" s="31">
        <f t="shared" ref="H2240:H2303" si="204">IF(P2240="TL tuyệt đối",K2240*101%,K2240-1/3*M2240)</f>
        <v>0</v>
      </c>
      <c r="I2240" s="31">
        <f t="shared" ref="I2240:I2303" si="205">IF(P2240="TL tuyệt đối", K2240*105%,K2240+M2240)</f>
        <v>0</v>
      </c>
      <c r="J2240" s="31">
        <f t="shared" si="201"/>
        <v>0</v>
      </c>
      <c r="M2240" s="33">
        <f t="shared" si="202"/>
        <v>0</v>
      </c>
      <c r="N2240" s="33"/>
    </row>
    <row r="2241" spans="7:14" ht="16.5" customHeight="1">
      <c r="G2241" s="30">
        <f t="shared" si="203"/>
        <v>0</v>
      </c>
      <c r="H2241" s="31">
        <f t="shared" si="204"/>
        <v>0</v>
      </c>
      <c r="I2241" s="31">
        <f t="shared" si="205"/>
        <v>0</v>
      </c>
      <c r="J2241" s="31">
        <f t="shared" si="201"/>
        <v>0</v>
      </c>
      <c r="M2241" s="33">
        <f t="shared" si="202"/>
        <v>0</v>
      </c>
      <c r="N2241" s="33"/>
    </row>
    <row r="2242" spans="7:14" ht="16.5" customHeight="1">
      <c r="G2242" s="30">
        <f t="shared" si="203"/>
        <v>0</v>
      </c>
      <c r="H2242" s="31">
        <f t="shared" si="204"/>
        <v>0</v>
      </c>
      <c r="I2242" s="31">
        <f t="shared" si="205"/>
        <v>0</v>
      </c>
      <c r="J2242" s="31">
        <f t="shared" si="201"/>
        <v>0</v>
      </c>
      <c r="M2242" s="33">
        <f t="shared" si="202"/>
        <v>0</v>
      </c>
      <c r="N2242" s="33"/>
    </row>
    <row r="2243" spans="7:14" ht="16.5" customHeight="1">
      <c r="G2243" s="30">
        <f t="shared" si="203"/>
        <v>0</v>
      </c>
      <c r="H2243" s="31">
        <f t="shared" si="204"/>
        <v>0</v>
      </c>
      <c r="I2243" s="31">
        <f t="shared" si="205"/>
        <v>0</v>
      </c>
      <c r="J2243" s="31">
        <f t="shared" si="201"/>
        <v>0</v>
      </c>
      <c r="M2243" s="33">
        <f t="shared" si="202"/>
        <v>0</v>
      </c>
      <c r="N2243" s="33"/>
    </row>
    <row r="2244" spans="7:14" ht="16.5" customHeight="1">
      <c r="G2244" s="30">
        <f t="shared" si="203"/>
        <v>0</v>
      </c>
      <c r="H2244" s="31">
        <f t="shared" si="204"/>
        <v>0</v>
      </c>
      <c r="I2244" s="31">
        <f t="shared" si="205"/>
        <v>0</v>
      </c>
      <c r="J2244" s="31">
        <f t="shared" ref="J2244:J2307" si="206">K2244-M2244</f>
        <v>0</v>
      </c>
      <c r="M2244" s="33">
        <f t="shared" si="202"/>
        <v>0</v>
      </c>
      <c r="N2244" s="33"/>
    </row>
    <row r="2245" spans="7:14" ht="16.5" customHeight="1">
      <c r="G2245" s="30">
        <f t="shared" si="203"/>
        <v>0</v>
      </c>
      <c r="H2245" s="31">
        <f t="shared" si="204"/>
        <v>0</v>
      </c>
      <c r="I2245" s="31">
        <f t="shared" si="205"/>
        <v>0</v>
      </c>
      <c r="J2245" s="31">
        <f t="shared" si="206"/>
        <v>0</v>
      </c>
      <c r="M2245" s="33">
        <f t="shared" si="202"/>
        <v>0</v>
      </c>
      <c r="N2245" s="33"/>
    </row>
    <row r="2246" spans="7:14" ht="16.5" customHeight="1">
      <c r="G2246" s="30">
        <f t="shared" si="203"/>
        <v>0</v>
      </c>
      <c r="H2246" s="31">
        <f t="shared" si="204"/>
        <v>0</v>
      </c>
      <c r="I2246" s="31">
        <f t="shared" si="205"/>
        <v>0</v>
      </c>
      <c r="J2246" s="31">
        <f t="shared" si="206"/>
        <v>0</v>
      </c>
      <c r="M2246" s="33">
        <f t="shared" si="202"/>
        <v>0</v>
      </c>
      <c r="N2246" s="33"/>
    </row>
    <row r="2247" spans="7:14" ht="16.5" customHeight="1">
      <c r="G2247" s="30">
        <f t="shared" si="203"/>
        <v>0</v>
      </c>
      <c r="H2247" s="31">
        <f t="shared" si="204"/>
        <v>0</v>
      </c>
      <c r="I2247" s="31">
        <f t="shared" si="205"/>
        <v>0</v>
      </c>
      <c r="J2247" s="31">
        <f t="shared" si="206"/>
        <v>0</v>
      </c>
      <c r="M2247" s="33">
        <f t="shared" si="202"/>
        <v>0</v>
      </c>
      <c r="N2247" s="33"/>
    </row>
    <row r="2248" spans="7:14" ht="16.5" customHeight="1">
      <c r="G2248" s="30">
        <f t="shared" si="203"/>
        <v>0</v>
      </c>
      <c r="H2248" s="31">
        <f t="shared" si="204"/>
        <v>0</v>
      </c>
      <c r="I2248" s="31">
        <f t="shared" si="205"/>
        <v>0</v>
      </c>
      <c r="J2248" s="31">
        <f t="shared" si="206"/>
        <v>0</v>
      </c>
      <c r="M2248" s="33">
        <f t="shared" si="202"/>
        <v>0</v>
      </c>
      <c r="N2248" s="33"/>
    </row>
    <row r="2249" spans="7:14" ht="16.5" customHeight="1">
      <c r="G2249" s="30">
        <f t="shared" si="203"/>
        <v>0</v>
      </c>
      <c r="H2249" s="31">
        <f t="shared" si="204"/>
        <v>0</v>
      </c>
      <c r="I2249" s="31">
        <f t="shared" si="205"/>
        <v>0</v>
      </c>
      <c r="J2249" s="31">
        <f t="shared" si="206"/>
        <v>0</v>
      </c>
      <c r="M2249" s="33">
        <f t="shared" si="202"/>
        <v>0</v>
      </c>
      <c r="N2249" s="33"/>
    </row>
    <row r="2250" spans="7:14" ht="16.5" customHeight="1">
      <c r="G2250" s="30">
        <f t="shared" si="203"/>
        <v>0</v>
      </c>
      <c r="H2250" s="31">
        <f t="shared" si="204"/>
        <v>0</v>
      </c>
      <c r="I2250" s="31">
        <f t="shared" si="205"/>
        <v>0</v>
      </c>
      <c r="J2250" s="31">
        <f t="shared" si="206"/>
        <v>0</v>
      </c>
      <c r="M2250" s="33">
        <f t="shared" si="202"/>
        <v>0</v>
      </c>
      <c r="N2250" s="33"/>
    </row>
    <row r="2251" spans="7:14" ht="16.5" customHeight="1">
      <c r="G2251" s="30">
        <f t="shared" si="203"/>
        <v>0</v>
      </c>
      <c r="H2251" s="31">
        <f t="shared" si="204"/>
        <v>0</v>
      </c>
      <c r="I2251" s="31">
        <f t="shared" si="205"/>
        <v>0</v>
      </c>
      <c r="J2251" s="31">
        <f t="shared" si="206"/>
        <v>0</v>
      </c>
      <c r="M2251" s="33">
        <f t="shared" si="202"/>
        <v>0</v>
      </c>
      <c r="N2251" s="33"/>
    </row>
    <row r="2252" spans="7:14" ht="16.5" customHeight="1">
      <c r="G2252" s="30">
        <f t="shared" si="203"/>
        <v>0</v>
      </c>
      <c r="H2252" s="31">
        <f t="shared" si="204"/>
        <v>0</v>
      </c>
      <c r="I2252" s="31">
        <f t="shared" si="205"/>
        <v>0</v>
      </c>
      <c r="J2252" s="31">
        <f t="shared" si="206"/>
        <v>0</v>
      </c>
      <c r="M2252" s="33">
        <f t="shared" si="202"/>
        <v>0</v>
      </c>
      <c r="N2252" s="33"/>
    </row>
    <row r="2253" spans="7:14" ht="16.5" customHeight="1">
      <c r="G2253" s="30">
        <f t="shared" si="203"/>
        <v>0</v>
      </c>
      <c r="H2253" s="31">
        <f t="shared" si="204"/>
        <v>0</v>
      </c>
      <c r="I2253" s="31">
        <f t="shared" si="205"/>
        <v>0</v>
      </c>
      <c r="J2253" s="31">
        <f t="shared" si="206"/>
        <v>0</v>
      </c>
      <c r="M2253" s="33">
        <f t="shared" si="202"/>
        <v>0</v>
      </c>
      <c r="N2253" s="33"/>
    </row>
    <row r="2254" spans="7:14" ht="16.5" customHeight="1">
      <c r="G2254" s="30">
        <f t="shared" si="203"/>
        <v>0</v>
      </c>
      <c r="H2254" s="31">
        <f t="shared" si="204"/>
        <v>0</v>
      </c>
      <c r="I2254" s="31">
        <f t="shared" si="205"/>
        <v>0</v>
      </c>
      <c r="J2254" s="31">
        <f t="shared" si="206"/>
        <v>0</v>
      </c>
      <c r="M2254" s="33">
        <f t="shared" si="202"/>
        <v>0</v>
      </c>
      <c r="N2254" s="33"/>
    </row>
    <row r="2255" spans="7:14" ht="16.5" customHeight="1">
      <c r="G2255" s="30">
        <f t="shared" si="203"/>
        <v>0</v>
      </c>
      <c r="H2255" s="31">
        <f t="shared" si="204"/>
        <v>0</v>
      </c>
      <c r="I2255" s="31">
        <f t="shared" si="205"/>
        <v>0</v>
      </c>
      <c r="J2255" s="31">
        <f t="shared" si="206"/>
        <v>0</v>
      </c>
      <c r="M2255" s="33">
        <f t="shared" si="202"/>
        <v>0</v>
      </c>
      <c r="N2255" s="33"/>
    </row>
    <row r="2256" spans="7:14" ht="16.5" customHeight="1">
      <c r="G2256" s="30">
        <f t="shared" si="203"/>
        <v>0</v>
      </c>
      <c r="H2256" s="31">
        <f t="shared" si="204"/>
        <v>0</v>
      </c>
      <c r="I2256" s="31">
        <f t="shared" si="205"/>
        <v>0</v>
      </c>
      <c r="J2256" s="31">
        <f t="shared" si="206"/>
        <v>0</v>
      </c>
      <c r="M2256" s="33">
        <f t="shared" si="202"/>
        <v>0</v>
      </c>
      <c r="N2256" s="33"/>
    </row>
    <row r="2257" spans="7:14" ht="16.5" customHeight="1">
      <c r="G2257" s="30">
        <f t="shared" si="203"/>
        <v>0</v>
      </c>
      <c r="H2257" s="31">
        <f t="shared" si="204"/>
        <v>0</v>
      </c>
      <c r="I2257" s="31">
        <f t="shared" si="205"/>
        <v>0</v>
      </c>
      <c r="J2257" s="31">
        <f t="shared" si="206"/>
        <v>0</v>
      </c>
      <c r="M2257" s="33">
        <f t="shared" si="202"/>
        <v>0</v>
      </c>
      <c r="N2257" s="33"/>
    </row>
    <row r="2258" spans="7:14" ht="16.5" customHeight="1">
      <c r="G2258" s="30">
        <f t="shared" si="203"/>
        <v>0</v>
      </c>
      <c r="H2258" s="31">
        <f t="shared" si="204"/>
        <v>0</v>
      </c>
      <c r="I2258" s="31">
        <f t="shared" si="205"/>
        <v>0</v>
      </c>
      <c r="J2258" s="31">
        <f t="shared" si="206"/>
        <v>0</v>
      </c>
      <c r="M2258" s="33">
        <f t="shared" si="202"/>
        <v>0</v>
      </c>
      <c r="N2258" s="33"/>
    </row>
    <row r="2259" spans="7:14" ht="16.5" customHeight="1">
      <c r="G2259" s="30">
        <f t="shared" si="203"/>
        <v>0</v>
      </c>
      <c r="H2259" s="31">
        <f t="shared" si="204"/>
        <v>0</v>
      </c>
      <c r="I2259" s="31">
        <f t="shared" si="205"/>
        <v>0</v>
      </c>
      <c r="J2259" s="31">
        <f t="shared" si="206"/>
        <v>0</v>
      </c>
      <c r="M2259" s="33">
        <f t="shared" si="202"/>
        <v>0</v>
      </c>
      <c r="N2259" s="33"/>
    </row>
    <row r="2260" spans="7:14" ht="16.5" customHeight="1">
      <c r="G2260" s="30">
        <f t="shared" si="203"/>
        <v>0</v>
      </c>
      <c r="H2260" s="31">
        <f t="shared" si="204"/>
        <v>0</v>
      </c>
      <c r="I2260" s="31">
        <f t="shared" si="205"/>
        <v>0</v>
      </c>
      <c r="J2260" s="31">
        <f t="shared" si="206"/>
        <v>0</v>
      </c>
      <c r="M2260" s="33">
        <f t="shared" si="202"/>
        <v>0</v>
      </c>
      <c r="N2260" s="33"/>
    </row>
    <row r="2261" spans="7:14" ht="16.5" customHeight="1">
      <c r="G2261" s="30">
        <f t="shared" si="203"/>
        <v>0</v>
      </c>
      <c r="H2261" s="31">
        <f t="shared" si="204"/>
        <v>0</v>
      </c>
      <c r="I2261" s="31">
        <f t="shared" si="205"/>
        <v>0</v>
      </c>
      <c r="J2261" s="31">
        <f t="shared" si="206"/>
        <v>0</v>
      </c>
      <c r="M2261" s="33">
        <f t="shared" si="202"/>
        <v>0</v>
      </c>
      <c r="N2261" s="33"/>
    </row>
    <row r="2262" spans="7:14" ht="16.5" customHeight="1">
      <c r="G2262" s="30">
        <f t="shared" si="203"/>
        <v>0</v>
      </c>
      <c r="H2262" s="31">
        <f t="shared" si="204"/>
        <v>0</v>
      </c>
      <c r="I2262" s="31">
        <f t="shared" si="205"/>
        <v>0</v>
      </c>
      <c r="J2262" s="31">
        <f t="shared" si="206"/>
        <v>0</v>
      </c>
      <c r="M2262" s="33">
        <f t="shared" si="202"/>
        <v>0</v>
      </c>
      <c r="N2262" s="33"/>
    </row>
    <row r="2263" spans="7:14" ht="16.5" customHeight="1">
      <c r="G2263" s="30">
        <f t="shared" si="203"/>
        <v>0</v>
      </c>
      <c r="H2263" s="31">
        <f t="shared" si="204"/>
        <v>0</v>
      </c>
      <c r="I2263" s="31">
        <f t="shared" si="205"/>
        <v>0</v>
      </c>
      <c r="J2263" s="31">
        <f t="shared" si="206"/>
        <v>0</v>
      </c>
      <c r="M2263" s="33">
        <f t="shared" si="202"/>
        <v>0</v>
      </c>
      <c r="N2263" s="33"/>
    </row>
    <row r="2264" spans="7:14" ht="16.5" customHeight="1">
      <c r="G2264" s="30">
        <f t="shared" si="203"/>
        <v>0</v>
      </c>
      <c r="H2264" s="31">
        <f t="shared" si="204"/>
        <v>0</v>
      </c>
      <c r="I2264" s="31">
        <f t="shared" si="205"/>
        <v>0</v>
      </c>
      <c r="J2264" s="31">
        <f t="shared" si="206"/>
        <v>0</v>
      </c>
      <c r="M2264" s="33">
        <f t="shared" si="202"/>
        <v>0</v>
      </c>
      <c r="N2264" s="33"/>
    </row>
    <row r="2265" spans="7:14" ht="16.5" customHeight="1">
      <c r="G2265" s="30">
        <f t="shared" si="203"/>
        <v>0</v>
      </c>
      <c r="H2265" s="31">
        <f t="shared" si="204"/>
        <v>0</v>
      </c>
      <c r="I2265" s="31">
        <f t="shared" si="205"/>
        <v>0</v>
      </c>
      <c r="J2265" s="31">
        <f t="shared" si="206"/>
        <v>0</v>
      </c>
      <c r="M2265" s="33">
        <f t="shared" si="202"/>
        <v>0</v>
      </c>
      <c r="N2265" s="33"/>
    </row>
    <row r="2266" spans="7:14" ht="16.5" customHeight="1">
      <c r="G2266" s="30">
        <f t="shared" si="203"/>
        <v>0</v>
      </c>
      <c r="H2266" s="31">
        <f t="shared" si="204"/>
        <v>0</v>
      </c>
      <c r="I2266" s="31">
        <f t="shared" si="205"/>
        <v>0</v>
      </c>
      <c r="J2266" s="31">
        <f t="shared" si="206"/>
        <v>0</v>
      </c>
      <c r="M2266" s="33">
        <f t="shared" si="202"/>
        <v>0</v>
      </c>
      <c r="N2266" s="33"/>
    </row>
    <row r="2267" spans="7:14" ht="16.5" customHeight="1">
      <c r="G2267" s="30">
        <f t="shared" si="203"/>
        <v>0</v>
      </c>
      <c r="H2267" s="31">
        <f t="shared" si="204"/>
        <v>0</v>
      </c>
      <c r="I2267" s="31">
        <f t="shared" si="205"/>
        <v>0</v>
      </c>
      <c r="J2267" s="31">
        <f t="shared" si="206"/>
        <v>0</v>
      </c>
      <c r="M2267" s="33">
        <f t="shared" si="202"/>
        <v>0</v>
      </c>
      <c r="N2267" s="33"/>
    </row>
    <row r="2268" spans="7:14" ht="16.5" customHeight="1">
      <c r="G2268" s="30">
        <f t="shared" si="203"/>
        <v>0</v>
      </c>
      <c r="H2268" s="31">
        <f t="shared" si="204"/>
        <v>0</v>
      </c>
      <c r="I2268" s="31">
        <f t="shared" si="205"/>
        <v>0</v>
      </c>
      <c r="J2268" s="31">
        <f t="shared" si="206"/>
        <v>0</v>
      </c>
      <c r="M2268" s="33">
        <f t="shared" si="202"/>
        <v>0</v>
      </c>
      <c r="N2268" s="33"/>
    </row>
    <row r="2269" spans="7:14" ht="16.5" customHeight="1">
      <c r="G2269" s="30">
        <f t="shared" si="203"/>
        <v>0</v>
      </c>
      <c r="H2269" s="31">
        <f t="shared" si="204"/>
        <v>0</v>
      </c>
      <c r="I2269" s="31">
        <f t="shared" si="205"/>
        <v>0</v>
      </c>
      <c r="J2269" s="31">
        <f t="shared" si="206"/>
        <v>0</v>
      </c>
      <c r="M2269" s="33">
        <f t="shared" si="202"/>
        <v>0</v>
      </c>
      <c r="N2269" s="33"/>
    </row>
    <row r="2270" spans="7:14" ht="16.5" customHeight="1">
      <c r="G2270" s="30">
        <f t="shared" si="203"/>
        <v>0</v>
      </c>
      <c r="H2270" s="31">
        <f t="shared" si="204"/>
        <v>0</v>
      </c>
      <c r="I2270" s="31">
        <f t="shared" si="205"/>
        <v>0</v>
      </c>
      <c r="J2270" s="31">
        <f t="shared" si="206"/>
        <v>0</v>
      </c>
      <c r="M2270" s="33">
        <f t="shared" si="202"/>
        <v>0</v>
      </c>
      <c r="N2270" s="33"/>
    </row>
    <row r="2271" spans="7:14" ht="16.5" customHeight="1">
      <c r="G2271" s="30">
        <f t="shared" si="203"/>
        <v>0</v>
      </c>
      <c r="H2271" s="31">
        <f t="shared" si="204"/>
        <v>0</v>
      </c>
      <c r="I2271" s="31">
        <f t="shared" si="205"/>
        <v>0</v>
      </c>
      <c r="J2271" s="31">
        <f t="shared" si="206"/>
        <v>0</v>
      </c>
      <c r="M2271" s="33">
        <f t="shared" si="202"/>
        <v>0</v>
      </c>
      <c r="N2271" s="33"/>
    </row>
    <row r="2272" spans="7:14" ht="16.5" customHeight="1">
      <c r="G2272" s="30">
        <f t="shared" si="203"/>
        <v>0</v>
      </c>
      <c r="H2272" s="31">
        <f t="shared" si="204"/>
        <v>0</v>
      </c>
      <c r="I2272" s="31">
        <f t="shared" si="205"/>
        <v>0</v>
      </c>
      <c r="J2272" s="31">
        <f t="shared" si="206"/>
        <v>0</v>
      </c>
      <c r="M2272" s="33">
        <f t="shared" si="202"/>
        <v>0</v>
      </c>
      <c r="N2272" s="33"/>
    </row>
    <row r="2273" spans="7:14" ht="16.5" customHeight="1">
      <c r="G2273" s="30">
        <f t="shared" si="203"/>
        <v>0</v>
      </c>
      <c r="H2273" s="31">
        <f t="shared" si="204"/>
        <v>0</v>
      </c>
      <c r="I2273" s="31">
        <f t="shared" si="205"/>
        <v>0</v>
      </c>
      <c r="J2273" s="31">
        <f t="shared" si="206"/>
        <v>0</v>
      </c>
      <c r="M2273" s="33">
        <f t="shared" si="202"/>
        <v>0</v>
      </c>
      <c r="N2273" s="33"/>
    </row>
    <row r="2274" spans="7:14" ht="16.5" customHeight="1">
      <c r="G2274" s="30">
        <f t="shared" si="203"/>
        <v>0</v>
      </c>
      <c r="H2274" s="31">
        <f t="shared" si="204"/>
        <v>0</v>
      </c>
      <c r="I2274" s="31">
        <f t="shared" si="205"/>
        <v>0</v>
      </c>
      <c r="J2274" s="31">
        <f t="shared" si="206"/>
        <v>0</v>
      </c>
      <c r="M2274" s="33">
        <f t="shared" si="202"/>
        <v>0</v>
      </c>
      <c r="N2274" s="33"/>
    </row>
    <row r="2275" spans="7:14" ht="16.5" customHeight="1">
      <c r="G2275" s="30">
        <f t="shared" si="203"/>
        <v>0</v>
      </c>
      <c r="H2275" s="31">
        <f t="shared" si="204"/>
        <v>0</v>
      </c>
      <c r="I2275" s="31">
        <f t="shared" si="205"/>
        <v>0</v>
      </c>
      <c r="J2275" s="31">
        <f t="shared" si="206"/>
        <v>0</v>
      </c>
      <c r="M2275" s="33">
        <f t="shared" si="202"/>
        <v>0</v>
      </c>
      <c r="N2275" s="33"/>
    </row>
    <row r="2276" spans="7:14" ht="16.5" customHeight="1">
      <c r="G2276" s="30">
        <f t="shared" si="203"/>
        <v>0</v>
      </c>
      <c r="H2276" s="31">
        <f t="shared" si="204"/>
        <v>0</v>
      </c>
      <c r="I2276" s="31">
        <f t="shared" si="205"/>
        <v>0</v>
      </c>
      <c r="J2276" s="31">
        <f t="shared" si="206"/>
        <v>0</v>
      </c>
      <c r="M2276" s="33">
        <f t="shared" si="202"/>
        <v>0</v>
      </c>
      <c r="N2276" s="33"/>
    </row>
    <row r="2277" spans="7:14" ht="16.5" customHeight="1">
      <c r="G2277" s="30">
        <f t="shared" si="203"/>
        <v>0</v>
      </c>
      <c r="H2277" s="31">
        <f t="shared" si="204"/>
        <v>0</v>
      </c>
      <c r="I2277" s="31">
        <f t="shared" si="205"/>
        <v>0</v>
      </c>
      <c r="J2277" s="31">
        <f t="shared" si="206"/>
        <v>0</v>
      </c>
      <c r="M2277" s="33">
        <f t="shared" si="202"/>
        <v>0</v>
      </c>
      <c r="N2277" s="33"/>
    </row>
    <row r="2278" spans="7:14" ht="16.5" customHeight="1">
      <c r="G2278" s="30">
        <f t="shared" si="203"/>
        <v>0</v>
      </c>
      <c r="H2278" s="31">
        <f t="shared" si="204"/>
        <v>0</v>
      </c>
      <c r="I2278" s="31">
        <f t="shared" si="205"/>
        <v>0</v>
      </c>
      <c r="J2278" s="31">
        <f t="shared" si="206"/>
        <v>0</v>
      </c>
      <c r="M2278" s="33">
        <f t="shared" si="202"/>
        <v>0</v>
      </c>
      <c r="N2278" s="33"/>
    </row>
    <row r="2279" spans="7:14" ht="16.5" customHeight="1">
      <c r="G2279" s="30">
        <f t="shared" si="203"/>
        <v>0</v>
      </c>
      <c r="H2279" s="31">
        <f t="shared" si="204"/>
        <v>0</v>
      </c>
      <c r="I2279" s="31">
        <f t="shared" si="205"/>
        <v>0</v>
      </c>
      <c r="J2279" s="31">
        <f t="shared" si="206"/>
        <v>0</v>
      </c>
      <c r="M2279" s="33">
        <f t="shared" si="202"/>
        <v>0</v>
      </c>
      <c r="N2279" s="33"/>
    </row>
    <row r="2280" spans="7:14" ht="16.5" customHeight="1">
      <c r="G2280" s="30">
        <f t="shared" si="203"/>
        <v>0</v>
      </c>
      <c r="H2280" s="31">
        <f t="shared" si="204"/>
        <v>0</v>
      </c>
      <c r="I2280" s="31">
        <f t="shared" si="205"/>
        <v>0</v>
      </c>
      <c r="J2280" s="31">
        <f t="shared" si="206"/>
        <v>0</v>
      </c>
      <c r="M2280" s="33">
        <f t="shared" si="202"/>
        <v>0</v>
      </c>
      <c r="N2280" s="33"/>
    </row>
    <row r="2281" spans="7:14" ht="16.5" customHeight="1">
      <c r="G2281" s="30">
        <f t="shared" si="203"/>
        <v>0</v>
      </c>
      <c r="H2281" s="31">
        <f t="shared" si="204"/>
        <v>0</v>
      </c>
      <c r="I2281" s="31">
        <f t="shared" si="205"/>
        <v>0</v>
      </c>
      <c r="J2281" s="31">
        <f t="shared" si="206"/>
        <v>0</v>
      </c>
      <c r="M2281" s="33">
        <f t="shared" si="202"/>
        <v>0</v>
      </c>
      <c r="N2281" s="33"/>
    </row>
    <row r="2282" spans="7:14" ht="16.5" customHeight="1">
      <c r="G2282" s="30">
        <f t="shared" si="203"/>
        <v>0</v>
      </c>
      <c r="H2282" s="31">
        <f t="shared" si="204"/>
        <v>0</v>
      </c>
      <c r="I2282" s="31">
        <f t="shared" si="205"/>
        <v>0</v>
      </c>
      <c r="J2282" s="31">
        <f t="shared" si="206"/>
        <v>0</v>
      </c>
      <c r="M2282" s="33">
        <f t="shared" si="202"/>
        <v>0</v>
      </c>
      <c r="N2282" s="33"/>
    </row>
    <row r="2283" spans="7:14" ht="16.5" customHeight="1">
      <c r="G2283" s="30">
        <f t="shared" si="203"/>
        <v>0</v>
      </c>
      <c r="H2283" s="31">
        <f t="shared" si="204"/>
        <v>0</v>
      </c>
      <c r="I2283" s="31">
        <f t="shared" si="205"/>
        <v>0</v>
      </c>
      <c r="J2283" s="31">
        <f t="shared" si="206"/>
        <v>0</v>
      </c>
      <c r="M2283" s="33">
        <f t="shared" si="202"/>
        <v>0</v>
      </c>
      <c r="N2283" s="33"/>
    </row>
    <row r="2284" spans="7:14" ht="16.5" customHeight="1">
      <c r="G2284" s="30">
        <f t="shared" si="203"/>
        <v>0</v>
      </c>
      <c r="H2284" s="31">
        <f t="shared" si="204"/>
        <v>0</v>
      </c>
      <c r="I2284" s="31">
        <f t="shared" si="205"/>
        <v>0</v>
      </c>
      <c r="J2284" s="31">
        <f t="shared" si="206"/>
        <v>0</v>
      </c>
      <c r="M2284" s="33">
        <f t="shared" si="202"/>
        <v>0</v>
      </c>
      <c r="N2284" s="33"/>
    </row>
    <row r="2285" spans="7:14" ht="16.5" customHeight="1">
      <c r="G2285" s="30">
        <f t="shared" si="203"/>
        <v>0</v>
      </c>
      <c r="H2285" s="31">
        <f t="shared" si="204"/>
        <v>0</v>
      </c>
      <c r="I2285" s="31">
        <f t="shared" si="205"/>
        <v>0</v>
      </c>
      <c r="J2285" s="31">
        <f t="shared" si="206"/>
        <v>0</v>
      </c>
      <c r="M2285" s="33">
        <f t="shared" si="202"/>
        <v>0</v>
      </c>
      <c r="N2285" s="33"/>
    </row>
    <row r="2286" spans="7:14" ht="16.5" customHeight="1">
      <c r="G2286" s="30">
        <f t="shared" si="203"/>
        <v>0</v>
      </c>
      <c r="H2286" s="31">
        <f t="shared" si="204"/>
        <v>0</v>
      </c>
      <c r="I2286" s="31">
        <f t="shared" si="205"/>
        <v>0</v>
      </c>
      <c r="J2286" s="31">
        <f t="shared" si="206"/>
        <v>0</v>
      </c>
      <c r="M2286" s="33">
        <f t="shared" si="202"/>
        <v>0</v>
      </c>
      <c r="N2286" s="33"/>
    </row>
    <row r="2287" spans="7:14" ht="16.5" customHeight="1">
      <c r="G2287" s="30">
        <f t="shared" si="203"/>
        <v>0</v>
      </c>
      <c r="H2287" s="31">
        <f t="shared" si="204"/>
        <v>0</v>
      </c>
      <c r="I2287" s="31">
        <f t="shared" si="205"/>
        <v>0</v>
      </c>
      <c r="J2287" s="31">
        <f t="shared" si="206"/>
        <v>0</v>
      </c>
      <c r="M2287" s="33">
        <f t="shared" si="202"/>
        <v>0</v>
      </c>
      <c r="N2287" s="33"/>
    </row>
    <row r="2288" spans="7:14" ht="16.5" customHeight="1">
      <c r="G2288" s="30">
        <f t="shared" si="203"/>
        <v>0</v>
      </c>
      <c r="H2288" s="31">
        <f t="shared" si="204"/>
        <v>0</v>
      </c>
      <c r="I2288" s="31">
        <f t="shared" si="205"/>
        <v>0</v>
      </c>
      <c r="J2288" s="31">
        <f t="shared" si="206"/>
        <v>0</v>
      </c>
      <c r="M2288" s="33">
        <f t="shared" si="202"/>
        <v>0</v>
      </c>
      <c r="N2288" s="33"/>
    </row>
    <row r="2289" spans="7:14" ht="16.5" customHeight="1">
      <c r="G2289" s="30">
        <f t="shared" si="203"/>
        <v>0</v>
      </c>
      <c r="H2289" s="31">
        <f t="shared" si="204"/>
        <v>0</v>
      </c>
      <c r="I2289" s="31">
        <f t="shared" si="205"/>
        <v>0</v>
      </c>
      <c r="J2289" s="31">
        <f t="shared" si="206"/>
        <v>0</v>
      </c>
      <c r="M2289" s="33">
        <f t="shared" si="202"/>
        <v>0</v>
      </c>
      <c r="N2289" s="33"/>
    </row>
    <row r="2290" spans="7:14" ht="16.5" customHeight="1">
      <c r="G2290" s="30">
        <f t="shared" si="203"/>
        <v>0</v>
      </c>
      <c r="H2290" s="31">
        <f t="shared" si="204"/>
        <v>0</v>
      </c>
      <c r="I2290" s="31">
        <f t="shared" si="205"/>
        <v>0</v>
      </c>
      <c r="J2290" s="31">
        <f t="shared" si="206"/>
        <v>0</v>
      </c>
      <c r="M2290" s="33">
        <f t="shared" si="202"/>
        <v>0</v>
      </c>
      <c r="N2290" s="33"/>
    </row>
    <row r="2291" spans="7:14" ht="16.5" customHeight="1">
      <c r="G2291" s="30">
        <f t="shared" si="203"/>
        <v>0</v>
      </c>
      <c r="H2291" s="31">
        <f t="shared" si="204"/>
        <v>0</v>
      </c>
      <c r="I2291" s="31">
        <f t="shared" si="205"/>
        <v>0</v>
      </c>
      <c r="J2291" s="31">
        <f t="shared" si="206"/>
        <v>0</v>
      </c>
      <c r="M2291" s="33">
        <f t="shared" si="202"/>
        <v>0</v>
      </c>
      <c r="N2291" s="33"/>
    </row>
    <row r="2292" spans="7:14" ht="16.5" customHeight="1">
      <c r="G2292" s="30">
        <f t="shared" si="203"/>
        <v>0</v>
      </c>
      <c r="H2292" s="31">
        <f t="shared" si="204"/>
        <v>0</v>
      </c>
      <c r="I2292" s="31">
        <f t="shared" si="205"/>
        <v>0</v>
      </c>
      <c r="J2292" s="31">
        <f t="shared" si="206"/>
        <v>0</v>
      </c>
      <c r="M2292" s="33">
        <f t="shared" si="202"/>
        <v>0</v>
      </c>
      <c r="N2292" s="33"/>
    </row>
    <row r="2293" spans="7:14" ht="16.5" customHeight="1">
      <c r="G2293" s="30">
        <f t="shared" si="203"/>
        <v>0</v>
      </c>
      <c r="H2293" s="31">
        <f t="shared" si="204"/>
        <v>0</v>
      </c>
      <c r="I2293" s="31">
        <f t="shared" si="205"/>
        <v>0</v>
      </c>
      <c r="J2293" s="31">
        <f t="shared" si="206"/>
        <v>0</v>
      </c>
      <c r="M2293" s="33">
        <f t="shared" si="202"/>
        <v>0</v>
      </c>
      <c r="N2293" s="33"/>
    </row>
    <row r="2294" spans="7:14" ht="16.5" customHeight="1">
      <c r="G2294" s="30">
        <f t="shared" si="203"/>
        <v>0</v>
      </c>
      <c r="H2294" s="31">
        <f t="shared" si="204"/>
        <v>0</v>
      </c>
      <c r="I2294" s="31">
        <f t="shared" si="205"/>
        <v>0</v>
      </c>
      <c r="J2294" s="31">
        <f t="shared" si="206"/>
        <v>0</v>
      </c>
      <c r="M2294" s="33">
        <f t="shared" si="202"/>
        <v>0</v>
      </c>
      <c r="N2294" s="33"/>
    </row>
    <row r="2295" spans="7:14" ht="16.5" customHeight="1">
      <c r="G2295" s="30">
        <f t="shared" si="203"/>
        <v>0</v>
      </c>
      <c r="H2295" s="31">
        <f t="shared" si="204"/>
        <v>0</v>
      </c>
      <c r="I2295" s="31">
        <f t="shared" si="205"/>
        <v>0</v>
      </c>
      <c r="J2295" s="31">
        <f t="shared" si="206"/>
        <v>0</v>
      </c>
      <c r="M2295" s="33">
        <f t="shared" si="202"/>
        <v>0</v>
      </c>
      <c r="N2295" s="33"/>
    </row>
    <row r="2296" spans="7:14" ht="16.5" customHeight="1">
      <c r="G2296" s="30">
        <f t="shared" si="203"/>
        <v>0</v>
      </c>
      <c r="H2296" s="31">
        <f t="shared" si="204"/>
        <v>0</v>
      </c>
      <c r="I2296" s="31">
        <f t="shared" si="205"/>
        <v>0</v>
      </c>
      <c r="J2296" s="31">
        <f t="shared" si="206"/>
        <v>0</v>
      </c>
      <c r="M2296" s="33">
        <f t="shared" si="202"/>
        <v>0</v>
      </c>
      <c r="N2296" s="33"/>
    </row>
    <row r="2297" spans="7:14" ht="16.5" customHeight="1">
      <c r="G2297" s="30">
        <f t="shared" si="203"/>
        <v>0</v>
      </c>
      <c r="H2297" s="31">
        <f t="shared" si="204"/>
        <v>0</v>
      </c>
      <c r="I2297" s="31">
        <f t="shared" si="205"/>
        <v>0</v>
      </c>
      <c r="J2297" s="31">
        <f t="shared" si="206"/>
        <v>0</v>
      </c>
      <c r="M2297" s="33">
        <f t="shared" si="202"/>
        <v>0</v>
      </c>
      <c r="N2297" s="33"/>
    </row>
    <row r="2298" spans="7:14" ht="16.5" customHeight="1">
      <c r="G2298" s="30">
        <f t="shared" si="203"/>
        <v>0</v>
      </c>
      <c r="H2298" s="31">
        <f t="shared" si="204"/>
        <v>0</v>
      </c>
      <c r="I2298" s="31">
        <f t="shared" si="205"/>
        <v>0</v>
      </c>
      <c r="J2298" s="31">
        <f t="shared" si="206"/>
        <v>0</v>
      </c>
      <c r="M2298" s="33">
        <f t="shared" si="202"/>
        <v>0</v>
      </c>
      <c r="N2298" s="33"/>
    </row>
    <row r="2299" spans="7:14" ht="16.5" customHeight="1">
      <c r="G2299" s="30">
        <f t="shared" si="203"/>
        <v>0</v>
      </c>
      <c r="H2299" s="31">
        <f t="shared" si="204"/>
        <v>0</v>
      </c>
      <c r="I2299" s="31">
        <f t="shared" si="205"/>
        <v>0</v>
      </c>
      <c r="J2299" s="31">
        <f t="shared" si="206"/>
        <v>0</v>
      </c>
      <c r="M2299" s="33">
        <f t="shared" si="202"/>
        <v>0</v>
      </c>
      <c r="N2299" s="33"/>
    </row>
    <row r="2300" spans="7:14" ht="16.5" customHeight="1">
      <c r="G2300" s="30">
        <f t="shared" si="203"/>
        <v>0</v>
      </c>
      <c r="H2300" s="31">
        <f t="shared" si="204"/>
        <v>0</v>
      </c>
      <c r="I2300" s="31">
        <f t="shared" si="205"/>
        <v>0</v>
      </c>
      <c r="J2300" s="31">
        <f t="shared" si="206"/>
        <v>0</v>
      </c>
      <c r="M2300" s="33">
        <f t="shared" si="202"/>
        <v>0</v>
      </c>
      <c r="N2300" s="33"/>
    </row>
    <row r="2301" spans="7:14" ht="16.5" customHeight="1">
      <c r="G2301" s="30">
        <f t="shared" si="203"/>
        <v>0</v>
      </c>
      <c r="H2301" s="31">
        <f t="shared" si="204"/>
        <v>0</v>
      </c>
      <c r="I2301" s="31">
        <f t="shared" si="205"/>
        <v>0</v>
      </c>
      <c r="J2301" s="31">
        <f t="shared" si="206"/>
        <v>0</v>
      </c>
      <c r="M2301" s="33">
        <f t="shared" si="202"/>
        <v>0</v>
      </c>
      <c r="N2301" s="33"/>
    </row>
    <row r="2302" spans="7:14" ht="16.5" customHeight="1">
      <c r="G2302" s="30">
        <f t="shared" si="203"/>
        <v>0</v>
      </c>
      <c r="H2302" s="31">
        <f t="shared" si="204"/>
        <v>0</v>
      </c>
      <c r="I2302" s="31">
        <f t="shared" si="205"/>
        <v>0</v>
      </c>
      <c r="J2302" s="31">
        <f t="shared" si="206"/>
        <v>0</v>
      </c>
      <c r="M2302" s="33">
        <f t="shared" ref="M2302:M2365" si="207">IF(P2302="TL tuyệt đối",0, IF(K2302&lt;5,0,IF(K2302&lt;50,K2302*9%,IF(K2302&lt;100,4.5,IF(K2302&lt;200,4.5%*K2302,IF(K2302&lt;300,9,IF(K2302&lt;500,K2302*3%,IF(K2302&lt;1000,15,))))))))</f>
        <v>0</v>
      </c>
      <c r="N2302" s="33"/>
    </row>
    <row r="2303" spans="7:14" ht="16.5" customHeight="1">
      <c r="G2303" s="30">
        <f t="shared" si="203"/>
        <v>0</v>
      </c>
      <c r="H2303" s="31">
        <f t="shared" si="204"/>
        <v>0</v>
      </c>
      <c r="I2303" s="31">
        <f t="shared" si="205"/>
        <v>0</v>
      </c>
      <c r="J2303" s="31">
        <f t="shared" si="206"/>
        <v>0</v>
      </c>
      <c r="M2303" s="33">
        <f t="shared" si="207"/>
        <v>0</v>
      </c>
      <c r="N2303" s="33"/>
    </row>
    <row r="2304" spans="7:14" ht="16.5" customHeight="1">
      <c r="G2304" s="30">
        <f t="shared" ref="G2304:G2367" si="208">IF(P2304="TL tuyệt đối",K2304*103%,K2304+1/3*M2304)</f>
        <v>0</v>
      </c>
      <c r="H2304" s="31">
        <f t="shared" ref="H2304:H2367" si="209">IF(P2304="TL tuyệt đối",K2304*101%,K2304-1/3*M2304)</f>
        <v>0</v>
      </c>
      <c r="I2304" s="31">
        <f t="shared" ref="I2304:I2367" si="210">IF(P2304="TL tuyệt đối", K2304*105%,K2304+M2304)</f>
        <v>0</v>
      </c>
      <c r="J2304" s="31">
        <f t="shared" si="206"/>
        <v>0</v>
      </c>
      <c r="M2304" s="33">
        <f t="shared" si="207"/>
        <v>0</v>
      </c>
      <c r="N2304" s="33"/>
    </row>
    <row r="2305" spans="7:14" ht="16.5" customHeight="1">
      <c r="G2305" s="30">
        <f t="shared" si="208"/>
        <v>0</v>
      </c>
      <c r="H2305" s="31">
        <f t="shared" si="209"/>
        <v>0</v>
      </c>
      <c r="I2305" s="31">
        <f t="shared" si="210"/>
        <v>0</v>
      </c>
      <c r="J2305" s="31">
        <f t="shared" si="206"/>
        <v>0</v>
      </c>
      <c r="M2305" s="33">
        <f t="shared" si="207"/>
        <v>0</v>
      </c>
      <c r="N2305" s="33"/>
    </row>
    <row r="2306" spans="7:14" ht="16.5" customHeight="1">
      <c r="G2306" s="30">
        <f t="shared" si="208"/>
        <v>0</v>
      </c>
      <c r="H2306" s="31">
        <f t="shared" si="209"/>
        <v>0</v>
      </c>
      <c r="I2306" s="31">
        <f t="shared" si="210"/>
        <v>0</v>
      </c>
      <c r="J2306" s="31">
        <f t="shared" si="206"/>
        <v>0</v>
      </c>
      <c r="M2306" s="33">
        <f t="shared" si="207"/>
        <v>0</v>
      </c>
      <c r="N2306" s="33"/>
    </row>
    <row r="2307" spans="7:14" ht="16.5" customHeight="1">
      <c r="G2307" s="30">
        <f t="shared" si="208"/>
        <v>0</v>
      </c>
      <c r="H2307" s="31">
        <f t="shared" si="209"/>
        <v>0</v>
      </c>
      <c r="I2307" s="31">
        <f t="shared" si="210"/>
        <v>0</v>
      </c>
      <c r="J2307" s="31">
        <f t="shared" si="206"/>
        <v>0</v>
      </c>
      <c r="M2307" s="33">
        <f t="shared" si="207"/>
        <v>0</v>
      </c>
      <c r="N2307" s="33"/>
    </row>
    <row r="2308" spans="7:14" ht="16.5" customHeight="1">
      <c r="G2308" s="30">
        <f t="shared" si="208"/>
        <v>0</v>
      </c>
      <c r="H2308" s="31">
        <f t="shared" si="209"/>
        <v>0</v>
      </c>
      <c r="I2308" s="31">
        <f t="shared" si="210"/>
        <v>0</v>
      </c>
      <c r="J2308" s="31">
        <f t="shared" ref="J2308:J2371" si="211">K2308-M2308</f>
        <v>0</v>
      </c>
      <c r="M2308" s="33">
        <f t="shared" si="207"/>
        <v>0</v>
      </c>
      <c r="N2308" s="33"/>
    </row>
    <row r="2309" spans="7:14" ht="16.5" customHeight="1">
      <c r="G2309" s="30">
        <f t="shared" si="208"/>
        <v>0</v>
      </c>
      <c r="H2309" s="31">
        <f t="shared" si="209"/>
        <v>0</v>
      </c>
      <c r="I2309" s="31">
        <f t="shared" si="210"/>
        <v>0</v>
      </c>
      <c r="J2309" s="31">
        <f t="shared" si="211"/>
        <v>0</v>
      </c>
      <c r="M2309" s="33">
        <f t="shared" si="207"/>
        <v>0</v>
      </c>
      <c r="N2309" s="33"/>
    </row>
    <row r="2310" spans="7:14" ht="16.5" customHeight="1">
      <c r="G2310" s="30">
        <f t="shared" si="208"/>
        <v>0</v>
      </c>
      <c r="H2310" s="31">
        <f t="shared" si="209"/>
        <v>0</v>
      </c>
      <c r="I2310" s="31">
        <f t="shared" si="210"/>
        <v>0</v>
      </c>
      <c r="J2310" s="31">
        <f t="shared" si="211"/>
        <v>0</v>
      </c>
      <c r="M2310" s="33">
        <f t="shared" si="207"/>
        <v>0</v>
      </c>
      <c r="N2310" s="33"/>
    </row>
    <row r="2311" spans="7:14" ht="16.5" customHeight="1">
      <c r="G2311" s="30">
        <f t="shared" si="208"/>
        <v>0</v>
      </c>
      <c r="H2311" s="31">
        <f t="shared" si="209"/>
        <v>0</v>
      </c>
      <c r="I2311" s="31">
        <f t="shared" si="210"/>
        <v>0</v>
      </c>
      <c r="J2311" s="31">
        <f t="shared" si="211"/>
        <v>0</v>
      </c>
      <c r="M2311" s="33">
        <f t="shared" si="207"/>
        <v>0</v>
      </c>
      <c r="N2311" s="33"/>
    </row>
    <row r="2312" spans="7:14" ht="16.5" customHeight="1">
      <c r="G2312" s="30">
        <f t="shared" si="208"/>
        <v>0</v>
      </c>
      <c r="H2312" s="31">
        <f t="shared" si="209"/>
        <v>0</v>
      </c>
      <c r="I2312" s="31">
        <f t="shared" si="210"/>
        <v>0</v>
      </c>
      <c r="J2312" s="31">
        <f t="shared" si="211"/>
        <v>0</v>
      </c>
      <c r="M2312" s="33">
        <f t="shared" si="207"/>
        <v>0</v>
      </c>
      <c r="N2312" s="33"/>
    </row>
    <row r="2313" spans="7:14" ht="16.5" customHeight="1">
      <c r="G2313" s="30">
        <f t="shared" si="208"/>
        <v>0</v>
      </c>
      <c r="H2313" s="31">
        <f t="shared" si="209"/>
        <v>0</v>
      </c>
      <c r="I2313" s="31">
        <f t="shared" si="210"/>
        <v>0</v>
      </c>
      <c r="J2313" s="31">
        <f t="shared" si="211"/>
        <v>0</v>
      </c>
      <c r="M2313" s="33">
        <f t="shared" si="207"/>
        <v>0</v>
      </c>
      <c r="N2313" s="33"/>
    </row>
    <row r="2314" spans="7:14" ht="16.5" customHeight="1">
      <c r="G2314" s="30">
        <f t="shared" si="208"/>
        <v>0</v>
      </c>
      <c r="H2314" s="31">
        <f t="shared" si="209"/>
        <v>0</v>
      </c>
      <c r="I2314" s="31">
        <f t="shared" si="210"/>
        <v>0</v>
      </c>
      <c r="J2314" s="31">
        <f t="shared" si="211"/>
        <v>0</v>
      </c>
      <c r="M2314" s="33">
        <f t="shared" si="207"/>
        <v>0</v>
      </c>
      <c r="N2314" s="33"/>
    </row>
    <row r="2315" spans="7:14" ht="16.5" customHeight="1">
      <c r="G2315" s="30">
        <f t="shared" si="208"/>
        <v>0</v>
      </c>
      <c r="H2315" s="31">
        <f t="shared" si="209"/>
        <v>0</v>
      </c>
      <c r="I2315" s="31">
        <f t="shared" si="210"/>
        <v>0</v>
      </c>
      <c r="J2315" s="31">
        <f t="shared" si="211"/>
        <v>0</v>
      </c>
      <c r="M2315" s="33">
        <f t="shared" si="207"/>
        <v>0</v>
      </c>
      <c r="N2315" s="33"/>
    </row>
    <row r="2316" spans="7:14" ht="16.5" customHeight="1">
      <c r="G2316" s="30">
        <f t="shared" si="208"/>
        <v>0</v>
      </c>
      <c r="H2316" s="31">
        <f t="shared" si="209"/>
        <v>0</v>
      </c>
      <c r="I2316" s="31">
        <f t="shared" si="210"/>
        <v>0</v>
      </c>
      <c r="J2316" s="31">
        <f t="shared" si="211"/>
        <v>0</v>
      </c>
      <c r="M2316" s="33">
        <f t="shared" si="207"/>
        <v>0</v>
      </c>
      <c r="N2316" s="33"/>
    </row>
    <row r="2317" spans="7:14" ht="16.5" customHeight="1">
      <c r="G2317" s="30">
        <f t="shared" si="208"/>
        <v>0</v>
      </c>
      <c r="H2317" s="31">
        <f t="shared" si="209"/>
        <v>0</v>
      </c>
      <c r="I2317" s="31">
        <f t="shared" si="210"/>
        <v>0</v>
      </c>
      <c r="J2317" s="31">
        <f t="shared" si="211"/>
        <v>0</v>
      </c>
      <c r="M2317" s="33">
        <f t="shared" si="207"/>
        <v>0</v>
      </c>
      <c r="N2317" s="33"/>
    </row>
    <row r="2318" spans="7:14" ht="16.5" customHeight="1">
      <c r="G2318" s="30">
        <f t="shared" si="208"/>
        <v>0</v>
      </c>
      <c r="H2318" s="31">
        <f t="shared" si="209"/>
        <v>0</v>
      </c>
      <c r="I2318" s="31">
        <f t="shared" si="210"/>
        <v>0</v>
      </c>
      <c r="J2318" s="31">
        <f t="shared" si="211"/>
        <v>0</v>
      </c>
      <c r="M2318" s="33">
        <f t="shared" si="207"/>
        <v>0</v>
      </c>
      <c r="N2318" s="33"/>
    </row>
    <row r="2319" spans="7:14" ht="16.5" customHeight="1">
      <c r="G2319" s="30">
        <f t="shared" si="208"/>
        <v>0</v>
      </c>
      <c r="H2319" s="31">
        <f t="shared" si="209"/>
        <v>0</v>
      </c>
      <c r="I2319" s="31">
        <f t="shared" si="210"/>
        <v>0</v>
      </c>
      <c r="J2319" s="31">
        <f t="shared" si="211"/>
        <v>0</v>
      </c>
      <c r="M2319" s="33">
        <f t="shared" si="207"/>
        <v>0</v>
      </c>
      <c r="N2319" s="33"/>
    </row>
    <row r="2320" spans="7:14" ht="16.5" customHeight="1">
      <c r="G2320" s="30">
        <f t="shared" si="208"/>
        <v>0</v>
      </c>
      <c r="H2320" s="31">
        <f t="shared" si="209"/>
        <v>0</v>
      </c>
      <c r="I2320" s="31">
        <f t="shared" si="210"/>
        <v>0</v>
      </c>
      <c r="J2320" s="31">
        <f t="shared" si="211"/>
        <v>0</v>
      </c>
      <c r="M2320" s="33">
        <f t="shared" si="207"/>
        <v>0</v>
      </c>
      <c r="N2320" s="33"/>
    </row>
    <row r="2321" spans="7:14" ht="16.5" customHeight="1">
      <c r="G2321" s="30">
        <f t="shared" si="208"/>
        <v>0</v>
      </c>
      <c r="H2321" s="31">
        <f t="shared" si="209"/>
        <v>0</v>
      </c>
      <c r="I2321" s="31">
        <f t="shared" si="210"/>
        <v>0</v>
      </c>
      <c r="J2321" s="31">
        <f t="shared" si="211"/>
        <v>0</v>
      </c>
      <c r="M2321" s="33">
        <f t="shared" si="207"/>
        <v>0</v>
      </c>
      <c r="N2321" s="33"/>
    </row>
    <row r="2322" spans="7:14" ht="16.5" customHeight="1">
      <c r="G2322" s="30">
        <f t="shared" si="208"/>
        <v>0</v>
      </c>
      <c r="H2322" s="31">
        <f t="shared" si="209"/>
        <v>0</v>
      </c>
      <c r="I2322" s="31">
        <f t="shared" si="210"/>
        <v>0</v>
      </c>
      <c r="J2322" s="31">
        <f t="shared" si="211"/>
        <v>0</v>
      </c>
      <c r="M2322" s="33">
        <f t="shared" si="207"/>
        <v>0</v>
      </c>
      <c r="N2322" s="33"/>
    </row>
    <row r="2323" spans="7:14" ht="16.5" customHeight="1">
      <c r="G2323" s="30">
        <f t="shared" si="208"/>
        <v>0</v>
      </c>
      <c r="H2323" s="31">
        <f t="shared" si="209"/>
        <v>0</v>
      </c>
      <c r="I2323" s="31">
        <f t="shared" si="210"/>
        <v>0</v>
      </c>
      <c r="J2323" s="31">
        <f t="shared" si="211"/>
        <v>0</v>
      </c>
      <c r="M2323" s="33">
        <f t="shared" si="207"/>
        <v>0</v>
      </c>
      <c r="N2323" s="33"/>
    </row>
    <row r="2324" spans="7:14" ht="16.5" customHeight="1">
      <c r="G2324" s="30">
        <f t="shared" si="208"/>
        <v>0</v>
      </c>
      <c r="H2324" s="31">
        <f t="shared" si="209"/>
        <v>0</v>
      </c>
      <c r="I2324" s="31">
        <f t="shared" si="210"/>
        <v>0</v>
      </c>
      <c r="J2324" s="31">
        <f t="shared" si="211"/>
        <v>0</v>
      </c>
      <c r="M2324" s="33">
        <f t="shared" si="207"/>
        <v>0</v>
      </c>
      <c r="N2324" s="33"/>
    </row>
    <row r="2325" spans="7:14" ht="16.5" customHeight="1">
      <c r="G2325" s="30">
        <f t="shared" si="208"/>
        <v>0</v>
      </c>
      <c r="H2325" s="31">
        <f t="shared" si="209"/>
        <v>0</v>
      </c>
      <c r="I2325" s="31">
        <f t="shared" si="210"/>
        <v>0</v>
      </c>
      <c r="J2325" s="31">
        <f t="shared" si="211"/>
        <v>0</v>
      </c>
      <c r="M2325" s="33">
        <f t="shared" si="207"/>
        <v>0</v>
      </c>
      <c r="N2325" s="33"/>
    </row>
    <row r="2326" spans="7:14" ht="16.5" customHeight="1">
      <c r="G2326" s="30">
        <f t="shared" si="208"/>
        <v>0</v>
      </c>
      <c r="H2326" s="31">
        <f t="shared" si="209"/>
        <v>0</v>
      </c>
      <c r="I2326" s="31">
        <f t="shared" si="210"/>
        <v>0</v>
      </c>
      <c r="J2326" s="31">
        <f t="shared" si="211"/>
        <v>0</v>
      </c>
      <c r="M2326" s="33">
        <f t="shared" si="207"/>
        <v>0</v>
      </c>
      <c r="N2326" s="33"/>
    </row>
    <row r="2327" spans="7:14" ht="16.5" customHeight="1">
      <c r="G2327" s="30">
        <f t="shared" si="208"/>
        <v>0</v>
      </c>
      <c r="H2327" s="31">
        <f t="shared" si="209"/>
        <v>0</v>
      </c>
      <c r="I2327" s="31">
        <f t="shared" si="210"/>
        <v>0</v>
      </c>
      <c r="J2327" s="31">
        <f t="shared" si="211"/>
        <v>0</v>
      </c>
      <c r="M2327" s="33">
        <f t="shared" si="207"/>
        <v>0</v>
      </c>
      <c r="N2327" s="33"/>
    </row>
    <row r="2328" spans="7:14" ht="16.5" customHeight="1">
      <c r="G2328" s="30">
        <f t="shared" si="208"/>
        <v>0</v>
      </c>
      <c r="H2328" s="31">
        <f t="shared" si="209"/>
        <v>0</v>
      </c>
      <c r="I2328" s="31">
        <f t="shared" si="210"/>
        <v>0</v>
      </c>
      <c r="J2328" s="31">
        <f t="shared" si="211"/>
        <v>0</v>
      </c>
      <c r="M2328" s="33">
        <f t="shared" si="207"/>
        <v>0</v>
      </c>
      <c r="N2328" s="33"/>
    </row>
    <row r="2329" spans="7:14" ht="16.5" customHeight="1">
      <c r="G2329" s="30">
        <f t="shared" si="208"/>
        <v>0</v>
      </c>
      <c r="H2329" s="31">
        <f t="shared" si="209"/>
        <v>0</v>
      </c>
      <c r="I2329" s="31">
        <f t="shared" si="210"/>
        <v>0</v>
      </c>
      <c r="J2329" s="31">
        <f t="shared" si="211"/>
        <v>0</v>
      </c>
      <c r="M2329" s="33">
        <f t="shared" si="207"/>
        <v>0</v>
      </c>
      <c r="N2329" s="33"/>
    </row>
    <row r="2330" spans="7:14" ht="16.5" customHeight="1">
      <c r="G2330" s="30">
        <f t="shared" si="208"/>
        <v>0</v>
      </c>
      <c r="H2330" s="31">
        <f t="shared" si="209"/>
        <v>0</v>
      </c>
      <c r="I2330" s="31">
        <f t="shared" si="210"/>
        <v>0</v>
      </c>
      <c r="J2330" s="31">
        <f t="shared" si="211"/>
        <v>0</v>
      </c>
      <c r="M2330" s="33">
        <f t="shared" si="207"/>
        <v>0</v>
      </c>
      <c r="N2330" s="33"/>
    </row>
    <row r="2331" spans="7:14" ht="16.5" customHeight="1">
      <c r="G2331" s="30">
        <f t="shared" si="208"/>
        <v>0</v>
      </c>
      <c r="H2331" s="31">
        <f t="shared" si="209"/>
        <v>0</v>
      </c>
      <c r="I2331" s="31">
        <f t="shared" si="210"/>
        <v>0</v>
      </c>
      <c r="J2331" s="31">
        <f t="shared" si="211"/>
        <v>0</v>
      </c>
      <c r="M2331" s="33">
        <f t="shared" si="207"/>
        <v>0</v>
      </c>
      <c r="N2331" s="33"/>
    </row>
    <row r="2332" spans="7:14" ht="16.5" customHeight="1">
      <c r="G2332" s="30">
        <f t="shared" si="208"/>
        <v>0</v>
      </c>
      <c r="H2332" s="31">
        <f t="shared" si="209"/>
        <v>0</v>
      </c>
      <c r="I2332" s="31">
        <f t="shared" si="210"/>
        <v>0</v>
      </c>
      <c r="J2332" s="31">
        <f t="shared" si="211"/>
        <v>0</v>
      </c>
      <c r="M2332" s="33">
        <f t="shared" si="207"/>
        <v>0</v>
      </c>
      <c r="N2332" s="33"/>
    </row>
    <row r="2333" spans="7:14" ht="16.5" customHeight="1">
      <c r="G2333" s="30">
        <f t="shared" si="208"/>
        <v>0</v>
      </c>
      <c r="H2333" s="31">
        <f t="shared" si="209"/>
        <v>0</v>
      </c>
      <c r="I2333" s="31">
        <f t="shared" si="210"/>
        <v>0</v>
      </c>
      <c r="J2333" s="31">
        <f t="shared" si="211"/>
        <v>0</v>
      </c>
      <c r="M2333" s="33">
        <f t="shared" si="207"/>
        <v>0</v>
      </c>
      <c r="N2333" s="33"/>
    </row>
    <row r="2334" spans="7:14" ht="16.5" customHeight="1">
      <c r="G2334" s="30">
        <f t="shared" si="208"/>
        <v>0</v>
      </c>
      <c r="H2334" s="31">
        <f t="shared" si="209"/>
        <v>0</v>
      </c>
      <c r="I2334" s="31">
        <f t="shared" si="210"/>
        <v>0</v>
      </c>
      <c r="J2334" s="31">
        <f t="shared" si="211"/>
        <v>0</v>
      </c>
      <c r="M2334" s="33">
        <f t="shared" si="207"/>
        <v>0</v>
      </c>
      <c r="N2334" s="33"/>
    </row>
    <row r="2335" spans="7:14" ht="16.5" customHeight="1">
      <c r="G2335" s="30">
        <f t="shared" si="208"/>
        <v>0</v>
      </c>
      <c r="H2335" s="31">
        <f t="shared" si="209"/>
        <v>0</v>
      </c>
      <c r="I2335" s="31">
        <f t="shared" si="210"/>
        <v>0</v>
      </c>
      <c r="J2335" s="31">
        <f t="shared" si="211"/>
        <v>0</v>
      </c>
      <c r="M2335" s="33">
        <f t="shared" si="207"/>
        <v>0</v>
      </c>
      <c r="N2335" s="33"/>
    </row>
    <row r="2336" spans="7:14" ht="16.5" customHeight="1">
      <c r="G2336" s="30">
        <f t="shared" si="208"/>
        <v>0</v>
      </c>
      <c r="H2336" s="31">
        <f t="shared" si="209"/>
        <v>0</v>
      </c>
      <c r="I2336" s="31">
        <f t="shared" si="210"/>
        <v>0</v>
      </c>
      <c r="J2336" s="31">
        <f t="shared" si="211"/>
        <v>0</v>
      </c>
      <c r="M2336" s="33">
        <f t="shared" si="207"/>
        <v>0</v>
      </c>
      <c r="N2336" s="33"/>
    </row>
    <row r="2337" spans="7:14" ht="16.5" customHeight="1">
      <c r="G2337" s="30">
        <f t="shared" si="208"/>
        <v>0</v>
      </c>
      <c r="H2337" s="31">
        <f t="shared" si="209"/>
        <v>0</v>
      </c>
      <c r="I2337" s="31">
        <f t="shared" si="210"/>
        <v>0</v>
      </c>
      <c r="J2337" s="31">
        <f t="shared" si="211"/>
        <v>0</v>
      </c>
      <c r="M2337" s="33">
        <f t="shared" si="207"/>
        <v>0</v>
      </c>
      <c r="N2337" s="33"/>
    </row>
    <row r="2338" spans="7:14" ht="16.5" customHeight="1">
      <c r="G2338" s="30">
        <f t="shared" si="208"/>
        <v>0</v>
      </c>
      <c r="H2338" s="31">
        <f t="shared" si="209"/>
        <v>0</v>
      </c>
      <c r="I2338" s="31">
        <f t="shared" si="210"/>
        <v>0</v>
      </c>
      <c r="J2338" s="31">
        <f t="shared" si="211"/>
        <v>0</v>
      </c>
      <c r="M2338" s="33">
        <f t="shared" si="207"/>
        <v>0</v>
      </c>
      <c r="N2338" s="33"/>
    </row>
    <row r="2339" spans="7:14" ht="16.5" customHeight="1">
      <c r="G2339" s="30">
        <f t="shared" si="208"/>
        <v>0</v>
      </c>
      <c r="H2339" s="31">
        <f t="shared" si="209"/>
        <v>0</v>
      </c>
      <c r="I2339" s="31">
        <f t="shared" si="210"/>
        <v>0</v>
      </c>
      <c r="J2339" s="31">
        <f t="shared" si="211"/>
        <v>0</v>
      </c>
      <c r="M2339" s="33">
        <f t="shared" si="207"/>
        <v>0</v>
      </c>
      <c r="N2339" s="33"/>
    </row>
    <row r="2340" spans="7:14" ht="16.5" customHeight="1">
      <c r="G2340" s="30">
        <f t="shared" si="208"/>
        <v>0</v>
      </c>
      <c r="H2340" s="31">
        <f t="shared" si="209"/>
        <v>0</v>
      </c>
      <c r="I2340" s="31">
        <f t="shared" si="210"/>
        <v>0</v>
      </c>
      <c r="J2340" s="31">
        <f t="shared" si="211"/>
        <v>0</v>
      </c>
      <c r="M2340" s="33">
        <f t="shared" si="207"/>
        <v>0</v>
      </c>
      <c r="N2340" s="33"/>
    </row>
    <row r="2341" spans="7:14" ht="16.5" customHeight="1">
      <c r="G2341" s="30">
        <f t="shared" si="208"/>
        <v>0</v>
      </c>
      <c r="H2341" s="31">
        <f t="shared" si="209"/>
        <v>0</v>
      </c>
      <c r="I2341" s="31">
        <f t="shared" si="210"/>
        <v>0</v>
      </c>
      <c r="J2341" s="31">
        <f t="shared" si="211"/>
        <v>0</v>
      </c>
      <c r="M2341" s="33">
        <f t="shared" si="207"/>
        <v>0</v>
      </c>
      <c r="N2341" s="33"/>
    </row>
    <row r="2342" spans="7:14" ht="16.5" customHeight="1">
      <c r="G2342" s="30">
        <f t="shared" si="208"/>
        <v>0</v>
      </c>
      <c r="H2342" s="31">
        <f t="shared" si="209"/>
        <v>0</v>
      </c>
      <c r="I2342" s="31">
        <f t="shared" si="210"/>
        <v>0</v>
      </c>
      <c r="J2342" s="31">
        <f t="shared" si="211"/>
        <v>0</v>
      </c>
      <c r="M2342" s="33">
        <f t="shared" si="207"/>
        <v>0</v>
      </c>
      <c r="N2342" s="33"/>
    </row>
    <row r="2343" spans="7:14" ht="16.5" customHeight="1">
      <c r="G2343" s="30">
        <f t="shared" si="208"/>
        <v>0</v>
      </c>
      <c r="H2343" s="31">
        <f t="shared" si="209"/>
        <v>0</v>
      </c>
      <c r="I2343" s="31">
        <f t="shared" si="210"/>
        <v>0</v>
      </c>
      <c r="J2343" s="31">
        <f t="shared" si="211"/>
        <v>0</v>
      </c>
      <c r="M2343" s="33">
        <f t="shared" si="207"/>
        <v>0</v>
      </c>
      <c r="N2343" s="33"/>
    </row>
    <row r="2344" spans="7:14" ht="16.5" customHeight="1">
      <c r="G2344" s="30">
        <f t="shared" si="208"/>
        <v>0</v>
      </c>
      <c r="H2344" s="31">
        <f t="shared" si="209"/>
        <v>0</v>
      </c>
      <c r="I2344" s="31">
        <f t="shared" si="210"/>
        <v>0</v>
      </c>
      <c r="J2344" s="31">
        <f t="shared" si="211"/>
        <v>0</v>
      </c>
      <c r="M2344" s="33">
        <f t="shared" si="207"/>
        <v>0</v>
      </c>
      <c r="N2344" s="33"/>
    </row>
    <row r="2345" spans="7:14" ht="16.5" customHeight="1">
      <c r="G2345" s="30">
        <f t="shared" si="208"/>
        <v>0</v>
      </c>
      <c r="H2345" s="31">
        <f t="shared" si="209"/>
        <v>0</v>
      </c>
      <c r="I2345" s="31">
        <f t="shared" si="210"/>
        <v>0</v>
      </c>
      <c r="J2345" s="31">
        <f t="shared" si="211"/>
        <v>0</v>
      </c>
      <c r="M2345" s="33">
        <f t="shared" si="207"/>
        <v>0</v>
      </c>
      <c r="N2345" s="33"/>
    </row>
    <row r="2346" spans="7:14" ht="16.5" customHeight="1">
      <c r="G2346" s="30">
        <f t="shared" si="208"/>
        <v>0</v>
      </c>
      <c r="H2346" s="31">
        <f t="shared" si="209"/>
        <v>0</v>
      </c>
      <c r="I2346" s="31">
        <f t="shared" si="210"/>
        <v>0</v>
      </c>
      <c r="J2346" s="31">
        <f t="shared" si="211"/>
        <v>0</v>
      </c>
      <c r="M2346" s="33">
        <f t="shared" si="207"/>
        <v>0</v>
      </c>
      <c r="N2346" s="33"/>
    </row>
    <row r="2347" spans="7:14" ht="16.5" customHeight="1">
      <c r="G2347" s="30">
        <f t="shared" si="208"/>
        <v>0</v>
      </c>
      <c r="H2347" s="31">
        <f t="shared" si="209"/>
        <v>0</v>
      </c>
      <c r="I2347" s="31">
        <f t="shared" si="210"/>
        <v>0</v>
      </c>
      <c r="J2347" s="31">
        <f t="shared" si="211"/>
        <v>0</v>
      </c>
      <c r="M2347" s="33">
        <f t="shared" si="207"/>
        <v>0</v>
      </c>
      <c r="N2347" s="33"/>
    </row>
    <row r="2348" spans="7:14" ht="16.5" customHeight="1">
      <c r="G2348" s="30">
        <f t="shared" si="208"/>
        <v>0</v>
      </c>
      <c r="H2348" s="31">
        <f t="shared" si="209"/>
        <v>0</v>
      </c>
      <c r="I2348" s="31">
        <f t="shared" si="210"/>
        <v>0</v>
      </c>
      <c r="J2348" s="31">
        <f t="shared" si="211"/>
        <v>0</v>
      </c>
      <c r="M2348" s="33">
        <f t="shared" si="207"/>
        <v>0</v>
      </c>
      <c r="N2348" s="33"/>
    </row>
    <row r="2349" spans="7:14" ht="16.5" customHeight="1">
      <c r="G2349" s="30">
        <f t="shared" si="208"/>
        <v>0</v>
      </c>
      <c r="H2349" s="31">
        <f t="shared" si="209"/>
        <v>0</v>
      </c>
      <c r="I2349" s="31">
        <f t="shared" si="210"/>
        <v>0</v>
      </c>
      <c r="J2349" s="31">
        <f t="shared" si="211"/>
        <v>0</v>
      </c>
      <c r="M2349" s="33">
        <f t="shared" si="207"/>
        <v>0</v>
      </c>
      <c r="N2349" s="33"/>
    </row>
    <row r="2350" spans="7:14" ht="16.5" customHeight="1">
      <c r="G2350" s="30">
        <f t="shared" si="208"/>
        <v>0</v>
      </c>
      <c r="H2350" s="31">
        <f t="shared" si="209"/>
        <v>0</v>
      </c>
      <c r="I2350" s="31">
        <f t="shared" si="210"/>
        <v>0</v>
      </c>
      <c r="J2350" s="31">
        <f t="shared" si="211"/>
        <v>0</v>
      </c>
      <c r="M2350" s="33">
        <f t="shared" si="207"/>
        <v>0</v>
      </c>
      <c r="N2350" s="33"/>
    </row>
    <row r="2351" spans="7:14" ht="16.5" customHeight="1">
      <c r="G2351" s="30">
        <f t="shared" si="208"/>
        <v>0</v>
      </c>
      <c r="H2351" s="31">
        <f t="shared" si="209"/>
        <v>0</v>
      </c>
      <c r="I2351" s="31">
        <f t="shared" si="210"/>
        <v>0</v>
      </c>
      <c r="J2351" s="31">
        <f t="shared" si="211"/>
        <v>0</v>
      </c>
      <c r="M2351" s="33">
        <f t="shared" si="207"/>
        <v>0</v>
      </c>
      <c r="N2351" s="33"/>
    </row>
    <row r="2352" spans="7:14" ht="16.5" customHeight="1">
      <c r="G2352" s="30">
        <f t="shared" si="208"/>
        <v>0</v>
      </c>
      <c r="H2352" s="31">
        <f t="shared" si="209"/>
        <v>0</v>
      </c>
      <c r="I2352" s="31">
        <f t="shared" si="210"/>
        <v>0</v>
      </c>
      <c r="J2352" s="31">
        <f t="shared" si="211"/>
        <v>0</v>
      </c>
      <c r="M2352" s="33">
        <f t="shared" si="207"/>
        <v>0</v>
      </c>
      <c r="N2352" s="33"/>
    </row>
    <row r="2353" spans="7:14" ht="16.5" customHeight="1">
      <c r="G2353" s="30">
        <f t="shared" si="208"/>
        <v>0</v>
      </c>
      <c r="H2353" s="31">
        <f t="shared" si="209"/>
        <v>0</v>
      </c>
      <c r="I2353" s="31">
        <f t="shared" si="210"/>
        <v>0</v>
      </c>
      <c r="J2353" s="31">
        <f t="shared" si="211"/>
        <v>0</v>
      </c>
      <c r="M2353" s="33">
        <f t="shared" si="207"/>
        <v>0</v>
      </c>
      <c r="N2353" s="33"/>
    </row>
    <row r="2354" spans="7:14" ht="16.5" customHeight="1">
      <c r="G2354" s="30">
        <f t="shared" si="208"/>
        <v>0</v>
      </c>
      <c r="H2354" s="31">
        <f t="shared" si="209"/>
        <v>0</v>
      </c>
      <c r="I2354" s="31">
        <f t="shared" si="210"/>
        <v>0</v>
      </c>
      <c r="J2354" s="31">
        <f t="shared" si="211"/>
        <v>0</v>
      </c>
      <c r="M2354" s="33">
        <f t="shared" si="207"/>
        <v>0</v>
      </c>
      <c r="N2354" s="33"/>
    </row>
    <row r="2355" spans="7:14" ht="16.5" customHeight="1">
      <c r="G2355" s="30">
        <f t="shared" si="208"/>
        <v>0</v>
      </c>
      <c r="H2355" s="31">
        <f t="shared" si="209"/>
        <v>0</v>
      </c>
      <c r="I2355" s="31">
        <f t="shared" si="210"/>
        <v>0</v>
      </c>
      <c r="J2355" s="31">
        <f t="shared" si="211"/>
        <v>0</v>
      </c>
      <c r="M2355" s="33">
        <f t="shared" si="207"/>
        <v>0</v>
      </c>
      <c r="N2355" s="33"/>
    </row>
    <row r="2356" spans="7:14" ht="16.5" customHeight="1">
      <c r="G2356" s="30">
        <f t="shared" si="208"/>
        <v>0</v>
      </c>
      <c r="H2356" s="31">
        <f t="shared" si="209"/>
        <v>0</v>
      </c>
      <c r="I2356" s="31">
        <f t="shared" si="210"/>
        <v>0</v>
      </c>
      <c r="J2356" s="31">
        <f t="shared" si="211"/>
        <v>0</v>
      </c>
      <c r="M2356" s="33">
        <f t="shared" si="207"/>
        <v>0</v>
      </c>
      <c r="N2356" s="33"/>
    </row>
    <row r="2357" spans="7:14" ht="16.5" customHeight="1">
      <c r="G2357" s="30">
        <f t="shared" si="208"/>
        <v>0</v>
      </c>
      <c r="H2357" s="31">
        <f t="shared" si="209"/>
        <v>0</v>
      </c>
      <c r="I2357" s="31">
        <f t="shared" si="210"/>
        <v>0</v>
      </c>
      <c r="J2357" s="31">
        <f t="shared" si="211"/>
        <v>0</v>
      </c>
      <c r="M2357" s="33">
        <f t="shared" si="207"/>
        <v>0</v>
      </c>
      <c r="N2357" s="33"/>
    </row>
    <row r="2358" spans="7:14" ht="16.5" customHeight="1">
      <c r="G2358" s="30">
        <f t="shared" si="208"/>
        <v>0</v>
      </c>
      <c r="H2358" s="31">
        <f t="shared" si="209"/>
        <v>0</v>
      </c>
      <c r="I2358" s="31">
        <f t="shared" si="210"/>
        <v>0</v>
      </c>
      <c r="J2358" s="31">
        <f t="shared" si="211"/>
        <v>0</v>
      </c>
      <c r="M2358" s="33">
        <f t="shared" si="207"/>
        <v>0</v>
      </c>
      <c r="N2358" s="33"/>
    </row>
    <row r="2359" spans="7:14" ht="16.5" customHeight="1">
      <c r="G2359" s="30">
        <f t="shared" si="208"/>
        <v>0</v>
      </c>
      <c r="H2359" s="31">
        <f t="shared" si="209"/>
        <v>0</v>
      </c>
      <c r="I2359" s="31">
        <f t="shared" si="210"/>
        <v>0</v>
      </c>
      <c r="J2359" s="31">
        <f t="shared" si="211"/>
        <v>0</v>
      </c>
      <c r="M2359" s="33">
        <f t="shared" si="207"/>
        <v>0</v>
      </c>
      <c r="N2359" s="33"/>
    </row>
    <row r="2360" spans="7:14" ht="16.5" customHeight="1">
      <c r="G2360" s="30">
        <f t="shared" si="208"/>
        <v>0</v>
      </c>
      <c r="H2360" s="31">
        <f t="shared" si="209"/>
        <v>0</v>
      </c>
      <c r="I2360" s="31">
        <f t="shared" si="210"/>
        <v>0</v>
      </c>
      <c r="J2360" s="31">
        <f t="shared" si="211"/>
        <v>0</v>
      </c>
      <c r="M2360" s="33">
        <f t="shared" si="207"/>
        <v>0</v>
      </c>
      <c r="N2360" s="33"/>
    </row>
    <row r="2361" spans="7:14" ht="16.5" customHeight="1">
      <c r="G2361" s="30">
        <f t="shared" si="208"/>
        <v>0</v>
      </c>
      <c r="H2361" s="31">
        <f t="shared" si="209"/>
        <v>0</v>
      </c>
      <c r="I2361" s="31">
        <f t="shared" si="210"/>
        <v>0</v>
      </c>
      <c r="J2361" s="31">
        <f t="shared" si="211"/>
        <v>0</v>
      </c>
      <c r="M2361" s="33">
        <f t="shared" si="207"/>
        <v>0</v>
      </c>
      <c r="N2361" s="33"/>
    </row>
    <row r="2362" spans="7:14" ht="16.5" customHeight="1">
      <c r="G2362" s="30">
        <f t="shared" si="208"/>
        <v>0</v>
      </c>
      <c r="H2362" s="31">
        <f t="shared" si="209"/>
        <v>0</v>
      </c>
      <c r="I2362" s="31">
        <f t="shared" si="210"/>
        <v>0</v>
      </c>
      <c r="J2362" s="31">
        <f t="shared" si="211"/>
        <v>0</v>
      </c>
      <c r="M2362" s="33">
        <f t="shared" si="207"/>
        <v>0</v>
      </c>
      <c r="N2362" s="33"/>
    </row>
    <row r="2363" spans="7:14" ht="16.5" customHeight="1">
      <c r="G2363" s="30">
        <f t="shared" si="208"/>
        <v>0</v>
      </c>
      <c r="H2363" s="31">
        <f t="shared" si="209"/>
        <v>0</v>
      </c>
      <c r="I2363" s="31">
        <f t="shared" si="210"/>
        <v>0</v>
      </c>
      <c r="J2363" s="31">
        <f t="shared" si="211"/>
        <v>0</v>
      </c>
      <c r="M2363" s="33">
        <f t="shared" si="207"/>
        <v>0</v>
      </c>
      <c r="N2363" s="33"/>
    </row>
    <row r="2364" spans="7:14" ht="16.5" customHeight="1">
      <c r="G2364" s="30">
        <f t="shared" si="208"/>
        <v>0</v>
      </c>
      <c r="H2364" s="31">
        <f t="shared" si="209"/>
        <v>0</v>
      </c>
      <c r="I2364" s="31">
        <f t="shared" si="210"/>
        <v>0</v>
      </c>
      <c r="J2364" s="31">
        <f t="shared" si="211"/>
        <v>0</v>
      </c>
      <c r="M2364" s="33">
        <f t="shared" si="207"/>
        <v>0</v>
      </c>
      <c r="N2364" s="33"/>
    </row>
    <row r="2365" spans="7:14" ht="16.5" customHeight="1">
      <c r="G2365" s="30">
        <f t="shared" si="208"/>
        <v>0</v>
      </c>
      <c r="H2365" s="31">
        <f t="shared" si="209"/>
        <v>0</v>
      </c>
      <c r="I2365" s="31">
        <f t="shared" si="210"/>
        <v>0</v>
      </c>
      <c r="J2365" s="31">
        <f t="shared" si="211"/>
        <v>0</v>
      </c>
      <c r="M2365" s="33">
        <f t="shared" si="207"/>
        <v>0</v>
      </c>
      <c r="N2365" s="33"/>
    </row>
    <row r="2366" spans="7:14" ht="16.5" customHeight="1">
      <c r="G2366" s="30">
        <f t="shared" si="208"/>
        <v>0</v>
      </c>
      <c r="H2366" s="31">
        <f t="shared" si="209"/>
        <v>0</v>
      </c>
      <c r="I2366" s="31">
        <f t="shared" si="210"/>
        <v>0</v>
      </c>
      <c r="J2366" s="31">
        <f t="shared" si="211"/>
        <v>0</v>
      </c>
      <c r="M2366" s="33">
        <f t="shared" ref="M2366:M2429" si="212">IF(P2366="TL tuyệt đối",0, IF(K2366&lt;5,0,IF(K2366&lt;50,K2366*9%,IF(K2366&lt;100,4.5,IF(K2366&lt;200,4.5%*K2366,IF(K2366&lt;300,9,IF(K2366&lt;500,K2366*3%,IF(K2366&lt;1000,15,))))))))</f>
        <v>0</v>
      </c>
      <c r="N2366" s="33"/>
    </row>
    <row r="2367" spans="7:14" ht="16.5" customHeight="1">
      <c r="G2367" s="30">
        <f t="shared" si="208"/>
        <v>0</v>
      </c>
      <c r="H2367" s="31">
        <f t="shared" si="209"/>
        <v>0</v>
      </c>
      <c r="I2367" s="31">
        <f t="shared" si="210"/>
        <v>0</v>
      </c>
      <c r="J2367" s="31">
        <f t="shared" si="211"/>
        <v>0</v>
      </c>
      <c r="M2367" s="33">
        <f t="shared" si="212"/>
        <v>0</v>
      </c>
      <c r="N2367" s="33"/>
    </row>
    <row r="2368" spans="7:14" ht="16.5" customHeight="1">
      <c r="G2368" s="30">
        <f t="shared" ref="G2368:G2431" si="213">IF(P2368="TL tuyệt đối",K2368*103%,K2368+1/3*M2368)</f>
        <v>0</v>
      </c>
      <c r="H2368" s="31">
        <f t="shared" ref="H2368:H2431" si="214">IF(P2368="TL tuyệt đối",K2368*101%,K2368-1/3*M2368)</f>
        <v>0</v>
      </c>
      <c r="I2368" s="31">
        <f t="shared" ref="I2368:I2431" si="215">IF(P2368="TL tuyệt đối", K2368*105%,K2368+M2368)</f>
        <v>0</v>
      </c>
      <c r="J2368" s="31">
        <f t="shared" si="211"/>
        <v>0</v>
      </c>
      <c r="M2368" s="33">
        <f t="shared" si="212"/>
        <v>0</v>
      </c>
      <c r="N2368" s="33"/>
    </row>
    <row r="2369" spans="7:14" ht="16.5" customHeight="1">
      <c r="G2369" s="30">
        <f t="shared" si="213"/>
        <v>0</v>
      </c>
      <c r="H2369" s="31">
        <f t="shared" si="214"/>
        <v>0</v>
      </c>
      <c r="I2369" s="31">
        <f t="shared" si="215"/>
        <v>0</v>
      </c>
      <c r="J2369" s="31">
        <f t="shared" si="211"/>
        <v>0</v>
      </c>
      <c r="M2369" s="33">
        <f t="shared" si="212"/>
        <v>0</v>
      </c>
      <c r="N2369" s="33"/>
    </row>
    <row r="2370" spans="7:14" ht="16.5" customHeight="1">
      <c r="G2370" s="30">
        <f t="shared" si="213"/>
        <v>0</v>
      </c>
      <c r="H2370" s="31">
        <f t="shared" si="214"/>
        <v>0</v>
      </c>
      <c r="I2370" s="31">
        <f t="shared" si="215"/>
        <v>0</v>
      </c>
      <c r="J2370" s="31">
        <f t="shared" si="211"/>
        <v>0</v>
      </c>
      <c r="M2370" s="33">
        <f t="shared" si="212"/>
        <v>0</v>
      </c>
      <c r="N2370" s="33"/>
    </row>
    <row r="2371" spans="7:14" ht="16.5" customHeight="1">
      <c r="G2371" s="30">
        <f t="shared" si="213"/>
        <v>0</v>
      </c>
      <c r="H2371" s="31">
        <f t="shared" si="214"/>
        <v>0</v>
      </c>
      <c r="I2371" s="31">
        <f t="shared" si="215"/>
        <v>0</v>
      </c>
      <c r="J2371" s="31">
        <f t="shared" si="211"/>
        <v>0</v>
      </c>
      <c r="M2371" s="33">
        <f t="shared" si="212"/>
        <v>0</v>
      </c>
      <c r="N2371" s="33"/>
    </row>
    <row r="2372" spans="7:14" ht="16.5" customHeight="1">
      <c r="G2372" s="30">
        <f t="shared" si="213"/>
        <v>0</v>
      </c>
      <c r="H2372" s="31">
        <f t="shared" si="214"/>
        <v>0</v>
      </c>
      <c r="I2372" s="31">
        <f t="shared" si="215"/>
        <v>0</v>
      </c>
      <c r="J2372" s="31">
        <f t="shared" ref="J2372:J2435" si="216">K2372-M2372</f>
        <v>0</v>
      </c>
      <c r="M2372" s="33">
        <f t="shared" si="212"/>
        <v>0</v>
      </c>
      <c r="N2372" s="33"/>
    </row>
    <row r="2373" spans="7:14" ht="16.5" customHeight="1">
      <c r="G2373" s="30">
        <f t="shared" si="213"/>
        <v>0</v>
      </c>
      <c r="H2373" s="31">
        <f t="shared" si="214"/>
        <v>0</v>
      </c>
      <c r="I2373" s="31">
        <f t="shared" si="215"/>
        <v>0</v>
      </c>
      <c r="J2373" s="31">
        <f t="shared" si="216"/>
        <v>0</v>
      </c>
      <c r="M2373" s="33">
        <f t="shared" si="212"/>
        <v>0</v>
      </c>
      <c r="N2373" s="33"/>
    </row>
    <row r="2374" spans="7:14" ht="16.5" customHeight="1">
      <c r="G2374" s="30">
        <f t="shared" si="213"/>
        <v>0</v>
      </c>
      <c r="H2374" s="31">
        <f t="shared" si="214"/>
        <v>0</v>
      </c>
      <c r="I2374" s="31">
        <f t="shared" si="215"/>
        <v>0</v>
      </c>
      <c r="J2374" s="31">
        <f t="shared" si="216"/>
        <v>0</v>
      </c>
      <c r="M2374" s="33">
        <f t="shared" si="212"/>
        <v>0</v>
      </c>
      <c r="N2374" s="33"/>
    </row>
    <row r="2375" spans="7:14" ht="16.5" customHeight="1">
      <c r="G2375" s="30">
        <f t="shared" si="213"/>
        <v>0</v>
      </c>
      <c r="H2375" s="31">
        <f t="shared" si="214"/>
        <v>0</v>
      </c>
      <c r="I2375" s="31">
        <f t="shared" si="215"/>
        <v>0</v>
      </c>
      <c r="J2375" s="31">
        <f t="shared" si="216"/>
        <v>0</v>
      </c>
      <c r="M2375" s="33">
        <f t="shared" si="212"/>
        <v>0</v>
      </c>
      <c r="N2375" s="33"/>
    </row>
    <row r="2376" spans="7:14" ht="16.5" customHeight="1">
      <c r="G2376" s="30">
        <f t="shared" si="213"/>
        <v>0</v>
      </c>
      <c r="H2376" s="31">
        <f t="shared" si="214"/>
        <v>0</v>
      </c>
      <c r="I2376" s="31">
        <f t="shared" si="215"/>
        <v>0</v>
      </c>
      <c r="J2376" s="31">
        <f t="shared" si="216"/>
        <v>0</v>
      </c>
      <c r="M2376" s="33">
        <f t="shared" si="212"/>
        <v>0</v>
      </c>
      <c r="N2376" s="33"/>
    </row>
    <row r="2377" spans="7:14" ht="16.5" customHeight="1">
      <c r="G2377" s="30">
        <f t="shared" si="213"/>
        <v>0</v>
      </c>
      <c r="H2377" s="31">
        <f t="shared" si="214"/>
        <v>0</v>
      </c>
      <c r="I2377" s="31">
        <f t="shared" si="215"/>
        <v>0</v>
      </c>
      <c r="J2377" s="31">
        <f t="shared" si="216"/>
        <v>0</v>
      </c>
      <c r="M2377" s="33">
        <f t="shared" si="212"/>
        <v>0</v>
      </c>
      <c r="N2377" s="33"/>
    </row>
    <row r="2378" spans="7:14" ht="16.5" customHeight="1">
      <c r="G2378" s="30">
        <f t="shared" si="213"/>
        <v>0</v>
      </c>
      <c r="H2378" s="31">
        <f t="shared" si="214"/>
        <v>0</v>
      </c>
      <c r="I2378" s="31">
        <f t="shared" si="215"/>
        <v>0</v>
      </c>
      <c r="J2378" s="31">
        <f t="shared" si="216"/>
        <v>0</v>
      </c>
      <c r="M2378" s="33">
        <f t="shared" si="212"/>
        <v>0</v>
      </c>
      <c r="N2378" s="33"/>
    </row>
    <row r="2379" spans="7:14" ht="16.5" customHeight="1">
      <c r="G2379" s="30">
        <f t="shared" si="213"/>
        <v>0</v>
      </c>
      <c r="H2379" s="31">
        <f t="shared" si="214"/>
        <v>0</v>
      </c>
      <c r="I2379" s="31">
        <f t="shared" si="215"/>
        <v>0</v>
      </c>
      <c r="J2379" s="31">
        <f t="shared" si="216"/>
        <v>0</v>
      </c>
      <c r="M2379" s="33">
        <f t="shared" si="212"/>
        <v>0</v>
      </c>
      <c r="N2379" s="33"/>
    </row>
    <row r="2380" spans="7:14" ht="16.5" customHeight="1">
      <c r="G2380" s="30">
        <f t="shared" si="213"/>
        <v>0</v>
      </c>
      <c r="H2380" s="31">
        <f t="shared" si="214"/>
        <v>0</v>
      </c>
      <c r="I2380" s="31">
        <f t="shared" si="215"/>
        <v>0</v>
      </c>
      <c r="J2380" s="31">
        <f t="shared" si="216"/>
        <v>0</v>
      </c>
      <c r="M2380" s="33">
        <f t="shared" si="212"/>
        <v>0</v>
      </c>
      <c r="N2380" s="33"/>
    </row>
    <row r="2381" spans="7:14" ht="16.5" customHeight="1">
      <c r="G2381" s="30">
        <f t="shared" si="213"/>
        <v>0</v>
      </c>
      <c r="H2381" s="31">
        <f t="shared" si="214"/>
        <v>0</v>
      </c>
      <c r="I2381" s="31">
        <f t="shared" si="215"/>
        <v>0</v>
      </c>
      <c r="J2381" s="31">
        <f t="shared" si="216"/>
        <v>0</v>
      </c>
      <c r="M2381" s="33">
        <f t="shared" si="212"/>
        <v>0</v>
      </c>
      <c r="N2381" s="33"/>
    </row>
    <row r="2382" spans="7:14" ht="16.5" customHeight="1">
      <c r="G2382" s="30">
        <f t="shared" si="213"/>
        <v>0</v>
      </c>
      <c r="H2382" s="31">
        <f t="shared" si="214"/>
        <v>0</v>
      </c>
      <c r="I2382" s="31">
        <f t="shared" si="215"/>
        <v>0</v>
      </c>
      <c r="J2382" s="31">
        <f t="shared" si="216"/>
        <v>0</v>
      </c>
      <c r="M2382" s="33">
        <f t="shared" si="212"/>
        <v>0</v>
      </c>
      <c r="N2382" s="33"/>
    </row>
    <row r="2383" spans="7:14" ht="16.5" customHeight="1">
      <c r="G2383" s="30">
        <f t="shared" si="213"/>
        <v>0</v>
      </c>
      <c r="H2383" s="31">
        <f t="shared" si="214"/>
        <v>0</v>
      </c>
      <c r="I2383" s="31">
        <f t="shared" si="215"/>
        <v>0</v>
      </c>
      <c r="J2383" s="31">
        <f t="shared" si="216"/>
        <v>0</v>
      </c>
      <c r="M2383" s="33">
        <f t="shared" si="212"/>
        <v>0</v>
      </c>
      <c r="N2383" s="33"/>
    </row>
    <row r="2384" spans="7:14" ht="16.5" customHeight="1">
      <c r="G2384" s="30">
        <f t="shared" si="213"/>
        <v>0</v>
      </c>
      <c r="H2384" s="31">
        <f t="shared" si="214"/>
        <v>0</v>
      </c>
      <c r="I2384" s="31">
        <f t="shared" si="215"/>
        <v>0</v>
      </c>
      <c r="J2384" s="31">
        <f t="shared" si="216"/>
        <v>0</v>
      </c>
      <c r="M2384" s="33">
        <f t="shared" si="212"/>
        <v>0</v>
      </c>
      <c r="N2384" s="33"/>
    </row>
    <row r="2385" spans="7:14" ht="16.5" customHeight="1">
      <c r="G2385" s="30">
        <f t="shared" si="213"/>
        <v>0</v>
      </c>
      <c r="H2385" s="31">
        <f t="shared" si="214"/>
        <v>0</v>
      </c>
      <c r="I2385" s="31">
        <f t="shared" si="215"/>
        <v>0</v>
      </c>
      <c r="J2385" s="31">
        <f t="shared" si="216"/>
        <v>0</v>
      </c>
      <c r="M2385" s="33">
        <f t="shared" si="212"/>
        <v>0</v>
      </c>
      <c r="N2385" s="33"/>
    </row>
    <row r="2386" spans="7:14" ht="16.5" customHeight="1">
      <c r="G2386" s="30">
        <f t="shared" si="213"/>
        <v>0</v>
      </c>
      <c r="H2386" s="31">
        <f t="shared" si="214"/>
        <v>0</v>
      </c>
      <c r="I2386" s="31">
        <f t="shared" si="215"/>
        <v>0</v>
      </c>
      <c r="J2386" s="31">
        <f t="shared" si="216"/>
        <v>0</v>
      </c>
      <c r="M2386" s="33">
        <f t="shared" si="212"/>
        <v>0</v>
      </c>
      <c r="N2386" s="33"/>
    </row>
    <row r="2387" spans="7:14" ht="16.5" customHeight="1">
      <c r="G2387" s="30">
        <f t="shared" si="213"/>
        <v>0</v>
      </c>
      <c r="H2387" s="31">
        <f t="shared" si="214"/>
        <v>0</v>
      </c>
      <c r="I2387" s="31">
        <f t="shared" si="215"/>
        <v>0</v>
      </c>
      <c r="J2387" s="31">
        <f t="shared" si="216"/>
        <v>0</v>
      </c>
      <c r="M2387" s="33">
        <f t="shared" si="212"/>
        <v>0</v>
      </c>
      <c r="N2387" s="33"/>
    </row>
    <row r="2388" spans="7:14" ht="16.5" customHeight="1">
      <c r="G2388" s="30">
        <f t="shared" si="213"/>
        <v>0</v>
      </c>
      <c r="H2388" s="31">
        <f t="shared" si="214"/>
        <v>0</v>
      </c>
      <c r="I2388" s="31">
        <f t="shared" si="215"/>
        <v>0</v>
      </c>
      <c r="J2388" s="31">
        <f t="shared" si="216"/>
        <v>0</v>
      </c>
      <c r="M2388" s="33">
        <f t="shared" si="212"/>
        <v>0</v>
      </c>
      <c r="N2388" s="33"/>
    </row>
    <row r="2389" spans="7:14" ht="16.5" customHeight="1">
      <c r="G2389" s="30">
        <f t="shared" si="213"/>
        <v>0</v>
      </c>
      <c r="H2389" s="31">
        <f t="shared" si="214"/>
        <v>0</v>
      </c>
      <c r="I2389" s="31">
        <f t="shared" si="215"/>
        <v>0</v>
      </c>
      <c r="J2389" s="31">
        <f t="shared" si="216"/>
        <v>0</v>
      </c>
      <c r="M2389" s="33">
        <f t="shared" si="212"/>
        <v>0</v>
      </c>
      <c r="N2389" s="33"/>
    </row>
    <row r="2390" spans="7:14" ht="16.5" customHeight="1">
      <c r="G2390" s="30">
        <f t="shared" si="213"/>
        <v>0</v>
      </c>
      <c r="H2390" s="31">
        <f t="shared" si="214"/>
        <v>0</v>
      </c>
      <c r="I2390" s="31">
        <f t="shared" si="215"/>
        <v>0</v>
      </c>
      <c r="J2390" s="31">
        <f t="shared" si="216"/>
        <v>0</v>
      </c>
      <c r="M2390" s="33">
        <f t="shared" si="212"/>
        <v>0</v>
      </c>
      <c r="N2390" s="33"/>
    </row>
    <row r="2391" spans="7:14" ht="16.5" customHeight="1">
      <c r="G2391" s="30">
        <f t="shared" si="213"/>
        <v>0</v>
      </c>
      <c r="H2391" s="31">
        <f t="shared" si="214"/>
        <v>0</v>
      </c>
      <c r="I2391" s="31">
        <f t="shared" si="215"/>
        <v>0</v>
      </c>
      <c r="J2391" s="31">
        <f t="shared" si="216"/>
        <v>0</v>
      </c>
      <c r="M2391" s="33">
        <f t="shared" si="212"/>
        <v>0</v>
      </c>
      <c r="N2391" s="33"/>
    </row>
    <row r="2392" spans="7:14" ht="16.5" customHeight="1">
      <c r="G2392" s="30">
        <f t="shared" si="213"/>
        <v>0</v>
      </c>
      <c r="H2392" s="31">
        <f t="shared" si="214"/>
        <v>0</v>
      </c>
      <c r="I2392" s="31">
        <f t="shared" si="215"/>
        <v>0</v>
      </c>
      <c r="J2392" s="31">
        <f t="shared" si="216"/>
        <v>0</v>
      </c>
      <c r="M2392" s="33">
        <f t="shared" si="212"/>
        <v>0</v>
      </c>
      <c r="N2392" s="33"/>
    </row>
    <row r="2393" spans="7:14" ht="16.5" customHeight="1">
      <c r="G2393" s="30">
        <f t="shared" si="213"/>
        <v>0</v>
      </c>
      <c r="H2393" s="31">
        <f t="shared" si="214"/>
        <v>0</v>
      </c>
      <c r="I2393" s="31">
        <f t="shared" si="215"/>
        <v>0</v>
      </c>
      <c r="J2393" s="31">
        <f t="shared" si="216"/>
        <v>0</v>
      </c>
      <c r="M2393" s="33">
        <f t="shared" si="212"/>
        <v>0</v>
      </c>
      <c r="N2393" s="33"/>
    </row>
    <row r="2394" spans="7:14" ht="16.5" customHeight="1">
      <c r="G2394" s="30">
        <f t="shared" si="213"/>
        <v>0</v>
      </c>
      <c r="H2394" s="31">
        <f t="shared" si="214"/>
        <v>0</v>
      </c>
      <c r="I2394" s="31">
        <f t="shared" si="215"/>
        <v>0</v>
      </c>
      <c r="J2394" s="31">
        <f t="shared" si="216"/>
        <v>0</v>
      </c>
      <c r="M2394" s="33">
        <f t="shared" si="212"/>
        <v>0</v>
      </c>
      <c r="N2394" s="33"/>
    </row>
    <row r="2395" spans="7:14" ht="16.5" customHeight="1">
      <c r="G2395" s="30">
        <f t="shared" si="213"/>
        <v>0</v>
      </c>
      <c r="H2395" s="31">
        <f t="shared" si="214"/>
        <v>0</v>
      </c>
      <c r="I2395" s="31">
        <f t="shared" si="215"/>
        <v>0</v>
      </c>
      <c r="J2395" s="31">
        <f t="shared" si="216"/>
        <v>0</v>
      </c>
      <c r="M2395" s="33">
        <f t="shared" si="212"/>
        <v>0</v>
      </c>
      <c r="N2395" s="33"/>
    </row>
    <row r="2396" spans="7:14" ht="16.5" customHeight="1">
      <c r="G2396" s="30">
        <f t="shared" si="213"/>
        <v>0</v>
      </c>
      <c r="H2396" s="31">
        <f t="shared" si="214"/>
        <v>0</v>
      </c>
      <c r="I2396" s="31">
        <f t="shared" si="215"/>
        <v>0</v>
      </c>
      <c r="J2396" s="31">
        <f t="shared" si="216"/>
        <v>0</v>
      </c>
      <c r="M2396" s="33">
        <f t="shared" si="212"/>
        <v>0</v>
      </c>
      <c r="N2396" s="33"/>
    </row>
    <row r="2397" spans="7:14" ht="16.5" customHeight="1">
      <c r="G2397" s="30">
        <f t="shared" si="213"/>
        <v>0</v>
      </c>
      <c r="H2397" s="31">
        <f t="shared" si="214"/>
        <v>0</v>
      </c>
      <c r="I2397" s="31">
        <f t="shared" si="215"/>
        <v>0</v>
      </c>
      <c r="J2397" s="31">
        <f t="shared" si="216"/>
        <v>0</v>
      </c>
      <c r="M2397" s="33">
        <f t="shared" si="212"/>
        <v>0</v>
      </c>
      <c r="N2397" s="33"/>
    </row>
    <row r="2398" spans="7:14" ht="16.5" customHeight="1">
      <c r="G2398" s="30">
        <f t="shared" si="213"/>
        <v>0</v>
      </c>
      <c r="H2398" s="31">
        <f t="shared" si="214"/>
        <v>0</v>
      </c>
      <c r="I2398" s="31">
        <f t="shared" si="215"/>
        <v>0</v>
      </c>
      <c r="J2398" s="31">
        <f t="shared" si="216"/>
        <v>0</v>
      </c>
      <c r="M2398" s="33">
        <f t="shared" si="212"/>
        <v>0</v>
      </c>
      <c r="N2398" s="33"/>
    </row>
    <row r="2399" spans="7:14" ht="16.5" customHeight="1">
      <c r="G2399" s="30">
        <f t="shared" si="213"/>
        <v>0</v>
      </c>
      <c r="H2399" s="31">
        <f t="shared" si="214"/>
        <v>0</v>
      </c>
      <c r="I2399" s="31">
        <f t="shared" si="215"/>
        <v>0</v>
      </c>
      <c r="J2399" s="31">
        <f t="shared" si="216"/>
        <v>0</v>
      </c>
      <c r="M2399" s="33">
        <f t="shared" si="212"/>
        <v>0</v>
      </c>
      <c r="N2399" s="33"/>
    </row>
    <row r="2400" spans="7:14" ht="16.5" customHeight="1">
      <c r="G2400" s="30">
        <f t="shared" si="213"/>
        <v>0</v>
      </c>
      <c r="H2400" s="31">
        <f t="shared" si="214"/>
        <v>0</v>
      </c>
      <c r="I2400" s="31">
        <f t="shared" si="215"/>
        <v>0</v>
      </c>
      <c r="J2400" s="31">
        <f t="shared" si="216"/>
        <v>0</v>
      </c>
      <c r="M2400" s="33">
        <f t="shared" si="212"/>
        <v>0</v>
      </c>
      <c r="N2400" s="33"/>
    </row>
    <row r="2401" spans="7:14" ht="16.5" customHeight="1">
      <c r="G2401" s="30">
        <f t="shared" si="213"/>
        <v>0</v>
      </c>
      <c r="H2401" s="31">
        <f t="shared" si="214"/>
        <v>0</v>
      </c>
      <c r="I2401" s="31">
        <f t="shared" si="215"/>
        <v>0</v>
      </c>
      <c r="J2401" s="31">
        <f t="shared" si="216"/>
        <v>0</v>
      </c>
      <c r="M2401" s="33">
        <f t="shared" si="212"/>
        <v>0</v>
      </c>
      <c r="N2401" s="33"/>
    </row>
    <row r="2402" spans="7:14" ht="16.5" customHeight="1">
      <c r="G2402" s="30">
        <f t="shared" si="213"/>
        <v>0</v>
      </c>
      <c r="H2402" s="31">
        <f t="shared" si="214"/>
        <v>0</v>
      </c>
      <c r="I2402" s="31">
        <f t="shared" si="215"/>
        <v>0</v>
      </c>
      <c r="J2402" s="31">
        <f t="shared" si="216"/>
        <v>0</v>
      </c>
      <c r="M2402" s="33">
        <f t="shared" si="212"/>
        <v>0</v>
      </c>
      <c r="N2402" s="33"/>
    </row>
    <row r="2403" spans="7:14" ht="16.5" customHeight="1">
      <c r="G2403" s="30">
        <f t="shared" si="213"/>
        <v>0</v>
      </c>
      <c r="H2403" s="31">
        <f t="shared" si="214"/>
        <v>0</v>
      </c>
      <c r="I2403" s="31">
        <f t="shared" si="215"/>
        <v>0</v>
      </c>
      <c r="J2403" s="31">
        <f t="shared" si="216"/>
        <v>0</v>
      </c>
      <c r="M2403" s="33">
        <f t="shared" si="212"/>
        <v>0</v>
      </c>
      <c r="N2403" s="33"/>
    </row>
    <row r="2404" spans="7:14" ht="16.5" customHeight="1">
      <c r="G2404" s="30">
        <f t="shared" si="213"/>
        <v>0</v>
      </c>
      <c r="H2404" s="31">
        <f t="shared" si="214"/>
        <v>0</v>
      </c>
      <c r="I2404" s="31">
        <f t="shared" si="215"/>
        <v>0</v>
      </c>
      <c r="J2404" s="31">
        <f t="shared" si="216"/>
        <v>0</v>
      </c>
      <c r="M2404" s="33">
        <f t="shared" si="212"/>
        <v>0</v>
      </c>
      <c r="N2404" s="33"/>
    </row>
    <row r="2405" spans="7:14" ht="16.5" customHeight="1">
      <c r="G2405" s="30">
        <f t="shared" si="213"/>
        <v>0</v>
      </c>
      <c r="H2405" s="31">
        <f t="shared" si="214"/>
        <v>0</v>
      </c>
      <c r="I2405" s="31">
        <f t="shared" si="215"/>
        <v>0</v>
      </c>
      <c r="J2405" s="31">
        <f t="shared" si="216"/>
        <v>0</v>
      </c>
      <c r="M2405" s="33">
        <f t="shared" si="212"/>
        <v>0</v>
      </c>
      <c r="N2405" s="33"/>
    </row>
    <row r="2406" spans="7:14" ht="16.5" customHeight="1">
      <c r="G2406" s="30">
        <f t="shared" si="213"/>
        <v>0</v>
      </c>
      <c r="H2406" s="31">
        <f t="shared" si="214"/>
        <v>0</v>
      </c>
      <c r="I2406" s="31">
        <f t="shared" si="215"/>
        <v>0</v>
      </c>
      <c r="J2406" s="31">
        <f t="shared" si="216"/>
        <v>0</v>
      </c>
      <c r="M2406" s="33">
        <f t="shared" si="212"/>
        <v>0</v>
      </c>
      <c r="N2406" s="33"/>
    </row>
    <row r="2407" spans="7:14" ht="16.5" customHeight="1">
      <c r="G2407" s="30">
        <f t="shared" si="213"/>
        <v>0</v>
      </c>
      <c r="H2407" s="31">
        <f t="shared" si="214"/>
        <v>0</v>
      </c>
      <c r="I2407" s="31">
        <f t="shared" si="215"/>
        <v>0</v>
      </c>
      <c r="J2407" s="31">
        <f t="shared" si="216"/>
        <v>0</v>
      </c>
      <c r="M2407" s="33">
        <f t="shared" si="212"/>
        <v>0</v>
      </c>
      <c r="N2407" s="33"/>
    </row>
    <row r="2408" spans="7:14" ht="16.5" customHeight="1">
      <c r="G2408" s="30">
        <f t="shared" si="213"/>
        <v>0</v>
      </c>
      <c r="H2408" s="31">
        <f t="shared" si="214"/>
        <v>0</v>
      </c>
      <c r="I2408" s="31">
        <f t="shared" si="215"/>
        <v>0</v>
      </c>
      <c r="J2408" s="31">
        <f t="shared" si="216"/>
        <v>0</v>
      </c>
      <c r="M2408" s="33">
        <f t="shared" si="212"/>
        <v>0</v>
      </c>
      <c r="N2408" s="33"/>
    </row>
    <row r="2409" spans="7:14" ht="16.5" customHeight="1">
      <c r="G2409" s="30">
        <f t="shared" si="213"/>
        <v>0</v>
      </c>
      <c r="H2409" s="31">
        <f t="shared" si="214"/>
        <v>0</v>
      </c>
      <c r="I2409" s="31">
        <f t="shared" si="215"/>
        <v>0</v>
      </c>
      <c r="J2409" s="31">
        <f t="shared" si="216"/>
        <v>0</v>
      </c>
      <c r="M2409" s="33">
        <f t="shared" si="212"/>
        <v>0</v>
      </c>
      <c r="N2409" s="33"/>
    </row>
    <row r="2410" spans="7:14" ht="16.5" customHeight="1">
      <c r="G2410" s="30">
        <f t="shared" si="213"/>
        <v>0</v>
      </c>
      <c r="H2410" s="31">
        <f t="shared" si="214"/>
        <v>0</v>
      </c>
      <c r="I2410" s="31">
        <f t="shared" si="215"/>
        <v>0</v>
      </c>
      <c r="J2410" s="31">
        <f t="shared" si="216"/>
        <v>0</v>
      </c>
      <c r="M2410" s="33">
        <f t="shared" si="212"/>
        <v>0</v>
      </c>
      <c r="N2410" s="33"/>
    </row>
    <row r="2411" spans="7:14" ht="16.5" customHeight="1">
      <c r="G2411" s="30">
        <f t="shared" si="213"/>
        <v>0</v>
      </c>
      <c r="H2411" s="31">
        <f t="shared" si="214"/>
        <v>0</v>
      </c>
      <c r="I2411" s="31">
        <f t="shared" si="215"/>
        <v>0</v>
      </c>
      <c r="J2411" s="31">
        <f t="shared" si="216"/>
        <v>0</v>
      </c>
      <c r="M2411" s="33">
        <f t="shared" si="212"/>
        <v>0</v>
      </c>
      <c r="N2411" s="33"/>
    </row>
    <row r="2412" spans="7:14" ht="16.5" customHeight="1">
      <c r="G2412" s="30">
        <f t="shared" si="213"/>
        <v>0</v>
      </c>
      <c r="H2412" s="31">
        <f t="shared" si="214"/>
        <v>0</v>
      </c>
      <c r="I2412" s="31">
        <f t="shared" si="215"/>
        <v>0</v>
      </c>
      <c r="J2412" s="31">
        <f t="shared" si="216"/>
        <v>0</v>
      </c>
      <c r="M2412" s="33">
        <f t="shared" si="212"/>
        <v>0</v>
      </c>
      <c r="N2412" s="33"/>
    </row>
    <row r="2413" spans="7:14" ht="16.5" customHeight="1">
      <c r="G2413" s="30">
        <f t="shared" si="213"/>
        <v>0</v>
      </c>
      <c r="H2413" s="31">
        <f t="shared" si="214"/>
        <v>0</v>
      </c>
      <c r="I2413" s="31">
        <f t="shared" si="215"/>
        <v>0</v>
      </c>
      <c r="J2413" s="31">
        <f t="shared" si="216"/>
        <v>0</v>
      </c>
      <c r="M2413" s="33">
        <f t="shared" si="212"/>
        <v>0</v>
      </c>
      <c r="N2413" s="33"/>
    </row>
    <row r="2414" spans="7:14" ht="16.5" customHeight="1">
      <c r="G2414" s="30">
        <f t="shared" si="213"/>
        <v>0</v>
      </c>
      <c r="H2414" s="31">
        <f t="shared" si="214"/>
        <v>0</v>
      </c>
      <c r="I2414" s="31">
        <f t="shared" si="215"/>
        <v>0</v>
      </c>
      <c r="J2414" s="31">
        <f t="shared" si="216"/>
        <v>0</v>
      </c>
      <c r="M2414" s="33">
        <f t="shared" si="212"/>
        <v>0</v>
      </c>
      <c r="N2414" s="33"/>
    </row>
    <row r="2415" spans="7:14" ht="16.5" customHeight="1">
      <c r="G2415" s="30">
        <f t="shared" si="213"/>
        <v>0</v>
      </c>
      <c r="H2415" s="31">
        <f t="shared" si="214"/>
        <v>0</v>
      </c>
      <c r="I2415" s="31">
        <f t="shared" si="215"/>
        <v>0</v>
      </c>
      <c r="J2415" s="31">
        <f t="shared" si="216"/>
        <v>0</v>
      </c>
      <c r="M2415" s="33">
        <f t="shared" si="212"/>
        <v>0</v>
      </c>
      <c r="N2415" s="33"/>
    </row>
    <row r="2416" spans="7:14" ht="16.5" customHeight="1">
      <c r="G2416" s="30">
        <f t="shared" si="213"/>
        <v>0</v>
      </c>
      <c r="H2416" s="31">
        <f t="shared" si="214"/>
        <v>0</v>
      </c>
      <c r="I2416" s="31">
        <f t="shared" si="215"/>
        <v>0</v>
      </c>
      <c r="J2416" s="31">
        <f t="shared" si="216"/>
        <v>0</v>
      </c>
      <c r="M2416" s="33">
        <f t="shared" si="212"/>
        <v>0</v>
      </c>
      <c r="N2416" s="33"/>
    </row>
    <row r="2417" spans="7:14" ht="16.5" customHeight="1">
      <c r="G2417" s="30">
        <f t="shared" si="213"/>
        <v>0</v>
      </c>
      <c r="H2417" s="31">
        <f t="shared" si="214"/>
        <v>0</v>
      </c>
      <c r="I2417" s="31">
        <f t="shared" si="215"/>
        <v>0</v>
      </c>
      <c r="J2417" s="31">
        <f t="shared" si="216"/>
        <v>0</v>
      </c>
      <c r="M2417" s="33">
        <f t="shared" si="212"/>
        <v>0</v>
      </c>
      <c r="N2417" s="33"/>
    </row>
    <row r="2418" spans="7:14" ht="16.5" customHeight="1">
      <c r="G2418" s="30">
        <f t="shared" si="213"/>
        <v>0</v>
      </c>
      <c r="H2418" s="31">
        <f t="shared" si="214"/>
        <v>0</v>
      </c>
      <c r="I2418" s="31">
        <f t="shared" si="215"/>
        <v>0</v>
      </c>
      <c r="J2418" s="31">
        <f t="shared" si="216"/>
        <v>0</v>
      </c>
      <c r="M2418" s="33">
        <f t="shared" si="212"/>
        <v>0</v>
      </c>
      <c r="N2418" s="33"/>
    </row>
    <row r="2419" spans="7:14" ht="16.5" customHeight="1">
      <c r="G2419" s="30">
        <f t="shared" si="213"/>
        <v>0</v>
      </c>
      <c r="H2419" s="31">
        <f t="shared" si="214"/>
        <v>0</v>
      </c>
      <c r="I2419" s="31">
        <f t="shared" si="215"/>
        <v>0</v>
      </c>
      <c r="J2419" s="31">
        <f t="shared" si="216"/>
        <v>0</v>
      </c>
      <c r="M2419" s="33">
        <f t="shared" si="212"/>
        <v>0</v>
      </c>
      <c r="N2419" s="33"/>
    </row>
    <row r="2420" spans="7:14" ht="16.5" customHeight="1">
      <c r="G2420" s="30">
        <f t="shared" si="213"/>
        <v>0</v>
      </c>
      <c r="H2420" s="31">
        <f t="shared" si="214"/>
        <v>0</v>
      </c>
      <c r="I2420" s="31">
        <f t="shared" si="215"/>
        <v>0</v>
      </c>
      <c r="J2420" s="31">
        <f t="shared" si="216"/>
        <v>0</v>
      </c>
      <c r="M2420" s="33">
        <f t="shared" si="212"/>
        <v>0</v>
      </c>
      <c r="N2420" s="33"/>
    </row>
    <row r="2421" spans="7:14" ht="16.5" customHeight="1">
      <c r="G2421" s="30">
        <f t="shared" si="213"/>
        <v>0</v>
      </c>
      <c r="H2421" s="31">
        <f t="shared" si="214"/>
        <v>0</v>
      </c>
      <c r="I2421" s="31">
        <f t="shared" si="215"/>
        <v>0</v>
      </c>
      <c r="J2421" s="31">
        <f t="shared" si="216"/>
        <v>0</v>
      </c>
      <c r="M2421" s="33">
        <f t="shared" si="212"/>
        <v>0</v>
      </c>
      <c r="N2421" s="33"/>
    </row>
    <row r="2422" spans="7:14" ht="16.5" customHeight="1">
      <c r="G2422" s="30">
        <f t="shared" si="213"/>
        <v>0</v>
      </c>
      <c r="H2422" s="31">
        <f t="shared" si="214"/>
        <v>0</v>
      </c>
      <c r="I2422" s="31">
        <f t="shared" si="215"/>
        <v>0</v>
      </c>
      <c r="J2422" s="31">
        <f t="shared" si="216"/>
        <v>0</v>
      </c>
      <c r="M2422" s="33">
        <f t="shared" si="212"/>
        <v>0</v>
      </c>
      <c r="N2422" s="33"/>
    </row>
    <row r="2423" spans="7:14" ht="16.5" customHeight="1">
      <c r="G2423" s="30">
        <f t="shared" si="213"/>
        <v>0</v>
      </c>
      <c r="H2423" s="31">
        <f t="shared" si="214"/>
        <v>0</v>
      </c>
      <c r="I2423" s="31">
        <f t="shared" si="215"/>
        <v>0</v>
      </c>
      <c r="J2423" s="31">
        <f t="shared" si="216"/>
        <v>0</v>
      </c>
      <c r="M2423" s="33">
        <f t="shared" si="212"/>
        <v>0</v>
      </c>
      <c r="N2423" s="33"/>
    </row>
    <row r="2424" spans="7:14" ht="16.5" customHeight="1">
      <c r="G2424" s="30">
        <f t="shared" si="213"/>
        <v>0</v>
      </c>
      <c r="H2424" s="31">
        <f t="shared" si="214"/>
        <v>0</v>
      </c>
      <c r="I2424" s="31">
        <f t="shared" si="215"/>
        <v>0</v>
      </c>
      <c r="J2424" s="31">
        <f t="shared" si="216"/>
        <v>0</v>
      </c>
      <c r="M2424" s="33">
        <f t="shared" si="212"/>
        <v>0</v>
      </c>
      <c r="N2424" s="33"/>
    </row>
    <row r="2425" spans="7:14" ht="16.5" customHeight="1">
      <c r="G2425" s="30">
        <f t="shared" si="213"/>
        <v>0</v>
      </c>
      <c r="H2425" s="31">
        <f t="shared" si="214"/>
        <v>0</v>
      </c>
      <c r="I2425" s="31">
        <f t="shared" si="215"/>
        <v>0</v>
      </c>
      <c r="J2425" s="31">
        <f t="shared" si="216"/>
        <v>0</v>
      </c>
      <c r="M2425" s="33">
        <f t="shared" si="212"/>
        <v>0</v>
      </c>
      <c r="N2425" s="33"/>
    </row>
    <row r="2426" spans="7:14" ht="16.5" customHeight="1">
      <c r="G2426" s="30">
        <f t="shared" si="213"/>
        <v>0</v>
      </c>
      <c r="H2426" s="31">
        <f t="shared" si="214"/>
        <v>0</v>
      </c>
      <c r="I2426" s="31">
        <f t="shared" si="215"/>
        <v>0</v>
      </c>
      <c r="J2426" s="31">
        <f t="shared" si="216"/>
        <v>0</v>
      </c>
      <c r="M2426" s="33">
        <f t="shared" si="212"/>
        <v>0</v>
      </c>
      <c r="N2426" s="33"/>
    </row>
    <row r="2427" spans="7:14" ht="16.5" customHeight="1">
      <c r="G2427" s="30">
        <f t="shared" si="213"/>
        <v>0</v>
      </c>
      <c r="H2427" s="31">
        <f t="shared" si="214"/>
        <v>0</v>
      </c>
      <c r="I2427" s="31">
        <f t="shared" si="215"/>
        <v>0</v>
      </c>
      <c r="J2427" s="31">
        <f t="shared" si="216"/>
        <v>0</v>
      </c>
      <c r="M2427" s="33">
        <f t="shared" si="212"/>
        <v>0</v>
      </c>
      <c r="N2427" s="33"/>
    </row>
    <row r="2428" spans="7:14" ht="16.5" customHeight="1">
      <c r="G2428" s="30">
        <f t="shared" si="213"/>
        <v>0</v>
      </c>
      <c r="H2428" s="31">
        <f t="shared" si="214"/>
        <v>0</v>
      </c>
      <c r="I2428" s="31">
        <f t="shared" si="215"/>
        <v>0</v>
      </c>
      <c r="J2428" s="31">
        <f t="shared" si="216"/>
        <v>0</v>
      </c>
      <c r="M2428" s="33">
        <f t="shared" si="212"/>
        <v>0</v>
      </c>
      <c r="N2428" s="33"/>
    </row>
    <row r="2429" spans="7:14" ht="16.5" customHeight="1">
      <c r="G2429" s="30">
        <f t="shared" si="213"/>
        <v>0</v>
      </c>
      <c r="H2429" s="31">
        <f t="shared" si="214"/>
        <v>0</v>
      </c>
      <c r="I2429" s="31">
        <f t="shared" si="215"/>
        <v>0</v>
      </c>
      <c r="J2429" s="31">
        <f t="shared" si="216"/>
        <v>0</v>
      </c>
      <c r="M2429" s="33">
        <f t="shared" si="212"/>
        <v>0</v>
      </c>
      <c r="N2429" s="33"/>
    </row>
    <row r="2430" spans="7:14" ht="16.5" customHeight="1">
      <c r="G2430" s="30">
        <f t="shared" si="213"/>
        <v>0</v>
      </c>
      <c r="H2430" s="31">
        <f t="shared" si="214"/>
        <v>0</v>
      </c>
      <c r="I2430" s="31">
        <f t="shared" si="215"/>
        <v>0</v>
      </c>
      <c r="J2430" s="31">
        <f t="shared" si="216"/>
        <v>0</v>
      </c>
      <c r="M2430" s="33">
        <f t="shared" ref="M2430:M2493" si="217">IF(P2430="TL tuyệt đối",0, IF(K2430&lt;5,0,IF(K2430&lt;50,K2430*9%,IF(K2430&lt;100,4.5,IF(K2430&lt;200,4.5%*K2430,IF(K2430&lt;300,9,IF(K2430&lt;500,K2430*3%,IF(K2430&lt;1000,15,))))))))</f>
        <v>0</v>
      </c>
      <c r="N2430" s="33"/>
    </row>
    <row r="2431" spans="7:14" ht="16.5" customHeight="1">
      <c r="G2431" s="30">
        <f t="shared" si="213"/>
        <v>0</v>
      </c>
      <c r="H2431" s="31">
        <f t="shared" si="214"/>
        <v>0</v>
      </c>
      <c r="I2431" s="31">
        <f t="shared" si="215"/>
        <v>0</v>
      </c>
      <c r="J2431" s="31">
        <f t="shared" si="216"/>
        <v>0</v>
      </c>
      <c r="M2431" s="33">
        <f t="shared" si="217"/>
        <v>0</v>
      </c>
      <c r="N2431" s="33"/>
    </row>
    <row r="2432" spans="7:14" ht="16.5" customHeight="1">
      <c r="G2432" s="30">
        <f t="shared" ref="G2432:G2495" si="218">IF(P2432="TL tuyệt đối",K2432*103%,K2432+1/3*M2432)</f>
        <v>0</v>
      </c>
      <c r="H2432" s="31">
        <f t="shared" ref="H2432:H2495" si="219">IF(P2432="TL tuyệt đối",K2432*101%,K2432-1/3*M2432)</f>
        <v>0</v>
      </c>
      <c r="I2432" s="31">
        <f t="shared" ref="I2432:I2495" si="220">IF(P2432="TL tuyệt đối", K2432*105%,K2432+M2432)</f>
        <v>0</v>
      </c>
      <c r="J2432" s="31">
        <f t="shared" si="216"/>
        <v>0</v>
      </c>
      <c r="M2432" s="33">
        <f t="shared" si="217"/>
        <v>0</v>
      </c>
      <c r="N2432" s="33"/>
    </row>
    <row r="2433" spans="7:14" ht="16.5" customHeight="1">
      <c r="G2433" s="30">
        <f t="shared" si="218"/>
        <v>0</v>
      </c>
      <c r="H2433" s="31">
        <f t="shared" si="219"/>
        <v>0</v>
      </c>
      <c r="I2433" s="31">
        <f t="shared" si="220"/>
        <v>0</v>
      </c>
      <c r="J2433" s="31">
        <f t="shared" si="216"/>
        <v>0</v>
      </c>
      <c r="M2433" s="33">
        <f t="shared" si="217"/>
        <v>0</v>
      </c>
      <c r="N2433" s="33"/>
    </row>
    <row r="2434" spans="7:14" ht="16.5" customHeight="1">
      <c r="G2434" s="30">
        <f t="shared" si="218"/>
        <v>0</v>
      </c>
      <c r="H2434" s="31">
        <f t="shared" si="219"/>
        <v>0</v>
      </c>
      <c r="I2434" s="31">
        <f t="shared" si="220"/>
        <v>0</v>
      </c>
      <c r="J2434" s="31">
        <f t="shared" si="216"/>
        <v>0</v>
      </c>
      <c r="M2434" s="33">
        <f t="shared" si="217"/>
        <v>0</v>
      </c>
      <c r="N2434" s="33"/>
    </row>
    <row r="2435" spans="7:14" ht="16.5" customHeight="1">
      <c r="G2435" s="30">
        <f t="shared" si="218"/>
        <v>0</v>
      </c>
      <c r="H2435" s="31">
        <f t="shared" si="219"/>
        <v>0</v>
      </c>
      <c r="I2435" s="31">
        <f t="shared" si="220"/>
        <v>0</v>
      </c>
      <c r="J2435" s="31">
        <f t="shared" si="216"/>
        <v>0</v>
      </c>
      <c r="M2435" s="33">
        <f t="shared" si="217"/>
        <v>0</v>
      </c>
      <c r="N2435" s="33"/>
    </row>
    <row r="2436" spans="7:14" ht="16.5" customHeight="1">
      <c r="G2436" s="30">
        <f t="shared" si="218"/>
        <v>0</v>
      </c>
      <c r="H2436" s="31">
        <f t="shared" si="219"/>
        <v>0</v>
      </c>
      <c r="I2436" s="31">
        <f t="shared" si="220"/>
        <v>0</v>
      </c>
      <c r="J2436" s="31">
        <f t="shared" ref="J2436:J2499" si="221">K2436-M2436</f>
        <v>0</v>
      </c>
      <c r="M2436" s="33">
        <f t="shared" si="217"/>
        <v>0</v>
      </c>
      <c r="N2436" s="33"/>
    </row>
    <row r="2437" spans="7:14" ht="16.5" customHeight="1">
      <c r="G2437" s="30">
        <f t="shared" si="218"/>
        <v>0</v>
      </c>
      <c r="H2437" s="31">
        <f t="shared" si="219"/>
        <v>0</v>
      </c>
      <c r="I2437" s="31">
        <f t="shared" si="220"/>
        <v>0</v>
      </c>
      <c r="J2437" s="31">
        <f t="shared" si="221"/>
        <v>0</v>
      </c>
      <c r="M2437" s="33">
        <f t="shared" si="217"/>
        <v>0</v>
      </c>
      <c r="N2437" s="33"/>
    </row>
    <row r="2438" spans="7:14" ht="16.5" customHeight="1">
      <c r="G2438" s="30">
        <f t="shared" si="218"/>
        <v>0</v>
      </c>
      <c r="H2438" s="31">
        <f t="shared" si="219"/>
        <v>0</v>
      </c>
      <c r="I2438" s="31">
        <f t="shared" si="220"/>
        <v>0</v>
      </c>
      <c r="J2438" s="31">
        <f t="shared" si="221"/>
        <v>0</v>
      </c>
      <c r="M2438" s="33">
        <f t="shared" si="217"/>
        <v>0</v>
      </c>
      <c r="N2438" s="33"/>
    </row>
    <row r="2439" spans="7:14" ht="16.5" customHeight="1">
      <c r="G2439" s="30">
        <f t="shared" si="218"/>
        <v>0</v>
      </c>
      <c r="H2439" s="31">
        <f t="shared" si="219"/>
        <v>0</v>
      </c>
      <c r="I2439" s="31">
        <f t="shared" si="220"/>
        <v>0</v>
      </c>
      <c r="J2439" s="31">
        <f t="shared" si="221"/>
        <v>0</v>
      </c>
      <c r="M2439" s="33">
        <f t="shared" si="217"/>
        <v>0</v>
      </c>
      <c r="N2439" s="33"/>
    </row>
    <row r="2440" spans="7:14" ht="16.5" customHeight="1">
      <c r="G2440" s="30">
        <f t="shared" si="218"/>
        <v>0</v>
      </c>
      <c r="H2440" s="31">
        <f t="shared" si="219"/>
        <v>0</v>
      </c>
      <c r="I2440" s="31">
        <f t="shared" si="220"/>
        <v>0</v>
      </c>
      <c r="J2440" s="31">
        <f t="shared" si="221"/>
        <v>0</v>
      </c>
      <c r="M2440" s="33">
        <f t="shared" si="217"/>
        <v>0</v>
      </c>
      <c r="N2440" s="33"/>
    </row>
    <row r="2441" spans="7:14" ht="16.5" customHeight="1">
      <c r="G2441" s="30">
        <f t="shared" si="218"/>
        <v>0</v>
      </c>
      <c r="H2441" s="31">
        <f t="shared" si="219"/>
        <v>0</v>
      </c>
      <c r="I2441" s="31">
        <f t="shared" si="220"/>
        <v>0</v>
      </c>
      <c r="J2441" s="31">
        <f t="shared" si="221"/>
        <v>0</v>
      </c>
      <c r="M2441" s="33">
        <f t="shared" si="217"/>
        <v>0</v>
      </c>
      <c r="N2441" s="33"/>
    </row>
    <row r="2442" spans="7:14" ht="16.5" customHeight="1">
      <c r="G2442" s="30">
        <f t="shared" si="218"/>
        <v>0</v>
      </c>
      <c r="H2442" s="31">
        <f t="shared" si="219"/>
        <v>0</v>
      </c>
      <c r="I2442" s="31">
        <f t="shared" si="220"/>
        <v>0</v>
      </c>
      <c r="J2442" s="31">
        <f t="shared" si="221"/>
        <v>0</v>
      </c>
      <c r="M2442" s="33">
        <f t="shared" si="217"/>
        <v>0</v>
      </c>
      <c r="N2442" s="33"/>
    </row>
    <row r="2443" spans="7:14" ht="16.5" customHeight="1">
      <c r="G2443" s="30">
        <f t="shared" si="218"/>
        <v>0</v>
      </c>
      <c r="H2443" s="31">
        <f t="shared" si="219"/>
        <v>0</v>
      </c>
      <c r="I2443" s="31">
        <f t="shared" si="220"/>
        <v>0</v>
      </c>
      <c r="J2443" s="31">
        <f t="shared" si="221"/>
        <v>0</v>
      </c>
      <c r="M2443" s="33">
        <f t="shared" si="217"/>
        <v>0</v>
      </c>
      <c r="N2443" s="33"/>
    </row>
    <row r="2444" spans="7:14" ht="16.5" customHeight="1">
      <c r="G2444" s="30">
        <f t="shared" si="218"/>
        <v>0</v>
      </c>
      <c r="H2444" s="31">
        <f t="shared" si="219"/>
        <v>0</v>
      </c>
      <c r="I2444" s="31">
        <f t="shared" si="220"/>
        <v>0</v>
      </c>
      <c r="J2444" s="31">
        <f t="shared" si="221"/>
        <v>0</v>
      </c>
      <c r="M2444" s="33">
        <f t="shared" si="217"/>
        <v>0</v>
      </c>
      <c r="N2444" s="33"/>
    </row>
    <row r="2445" spans="7:14" ht="16.5" customHeight="1">
      <c r="G2445" s="30">
        <f t="shared" si="218"/>
        <v>0</v>
      </c>
      <c r="H2445" s="31">
        <f t="shared" si="219"/>
        <v>0</v>
      </c>
      <c r="I2445" s="31">
        <f t="shared" si="220"/>
        <v>0</v>
      </c>
      <c r="J2445" s="31">
        <f t="shared" si="221"/>
        <v>0</v>
      </c>
      <c r="M2445" s="33">
        <f t="shared" si="217"/>
        <v>0</v>
      </c>
      <c r="N2445" s="33"/>
    </row>
    <row r="2446" spans="7:14" ht="16.5" customHeight="1">
      <c r="G2446" s="30">
        <f t="shared" si="218"/>
        <v>0</v>
      </c>
      <c r="H2446" s="31">
        <f t="shared" si="219"/>
        <v>0</v>
      </c>
      <c r="I2446" s="31">
        <f t="shared" si="220"/>
        <v>0</v>
      </c>
      <c r="J2446" s="31">
        <f t="shared" si="221"/>
        <v>0</v>
      </c>
      <c r="M2446" s="33">
        <f t="shared" si="217"/>
        <v>0</v>
      </c>
      <c r="N2446" s="33"/>
    </row>
    <row r="2447" spans="7:14" ht="16.5" customHeight="1">
      <c r="G2447" s="30">
        <f t="shared" si="218"/>
        <v>0</v>
      </c>
      <c r="H2447" s="31">
        <f t="shared" si="219"/>
        <v>0</v>
      </c>
      <c r="I2447" s="31">
        <f t="shared" si="220"/>
        <v>0</v>
      </c>
      <c r="J2447" s="31">
        <f t="shared" si="221"/>
        <v>0</v>
      </c>
      <c r="M2447" s="33">
        <f t="shared" si="217"/>
        <v>0</v>
      </c>
      <c r="N2447" s="33"/>
    </row>
    <row r="2448" spans="7:14" ht="16.5" customHeight="1">
      <c r="G2448" s="30">
        <f t="shared" si="218"/>
        <v>0</v>
      </c>
      <c r="H2448" s="31">
        <f t="shared" si="219"/>
        <v>0</v>
      </c>
      <c r="I2448" s="31">
        <f t="shared" si="220"/>
        <v>0</v>
      </c>
      <c r="J2448" s="31">
        <f t="shared" si="221"/>
        <v>0</v>
      </c>
      <c r="M2448" s="33">
        <f t="shared" si="217"/>
        <v>0</v>
      </c>
      <c r="N2448" s="33"/>
    </row>
    <row r="2449" spans="7:14" ht="16.5" customHeight="1">
      <c r="G2449" s="30">
        <f t="shared" si="218"/>
        <v>0</v>
      </c>
      <c r="H2449" s="31">
        <f t="shared" si="219"/>
        <v>0</v>
      </c>
      <c r="I2449" s="31">
        <f t="shared" si="220"/>
        <v>0</v>
      </c>
      <c r="J2449" s="31">
        <f t="shared" si="221"/>
        <v>0</v>
      </c>
      <c r="M2449" s="33">
        <f t="shared" si="217"/>
        <v>0</v>
      </c>
      <c r="N2449" s="33"/>
    </row>
    <row r="2450" spans="7:14" ht="16.5" customHeight="1">
      <c r="G2450" s="30">
        <f t="shared" si="218"/>
        <v>0</v>
      </c>
      <c r="H2450" s="31">
        <f t="shared" si="219"/>
        <v>0</v>
      </c>
      <c r="I2450" s="31">
        <f t="shared" si="220"/>
        <v>0</v>
      </c>
      <c r="J2450" s="31">
        <f t="shared" si="221"/>
        <v>0</v>
      </c>
      <c r="M2450" s="33">
        <f t="shared" si="217"/>
        <v>0</v>
      </c>
      <c r="N2450" s="33"/>
    </row>
    <row r="2451" spans="7:14" ht="16.5" customHeight="1">
      <c r="G2451" s="30">
        <f t="shared" si="218"/>
        <v>0</v>
      </c>
      <c r="H2451" s="31">
        <f t="shared" si="219"/>
        <v>0</v>
      </c>
      <c r="I2451" s="31">
        <f t="shared" si="220"/>
        <v>0</v>
      </c>
      <c r="J2451" s="31">
        <f t="shared" si="221"/>
        <v>0</v>
      </c>
      <c r="M2451" s="33">
        <f t="shared" si="217"/>
        <v>0</v>
      </c>
      <c r="N2451" s="33"/>
    </row>
    <row r="2452" spans="7:14" ht="16.5" customHeight="1">
      <c r="G2452" s="30">
        <f t="shared" si="218"/>
        <v>0</v>
      </c>
      <c r="H2452" s="31">
        <f t="shared" si="219"/>
        <v>0</v>
      </c>
      <c r="I2452" s="31">
        <f t="shared" si="220"/>
        <v>0</v>
      </c>
      <c r="J2452" s="31">
        <f t="shared" si="221"/>
        <v>0</v>
      </c>
      <c r="M2452" s="33">
        <f t="shared" si="217"/>
        <v>0</v>
      </c>
      <c r="N2452" s="33"/>
    </row>
    <row r="2453" spans="7:14" ht="16.5" customHeight="1">
      <c r="G2453" s="30">
        <f t="shared" si="218"/>
        <v>0</v>
      </c>
      <c r="H2453" s="31">
        <f t="shared" si="219"/>
        <v>0</v>
      </c>
      <c r="I2453" s="31">
        <f t="shared" si="220"/>
        <v>0</v>
      </c>
      <c r="J2453" s="31">
        <f t="shared" si="221"/>
        <v>0</v>
      </c>
      <c r="M2453" s="33">
        <f t="shared" si="217"/>
        <v>0</v>
      </c>
      <c r="N2453" s="33"/>
    </row>
    <row r="2454" spans="7:14" ht="16.5" customHeight="1">
      <c r="G2454" s="30">
        <f t="shared" si="218"/>
        <v>0</v>
      </c>
      <c r="H2454" s="31">
        <f t="shared" si="219"/>
        <v>0</v>
      </c>
      <c r="I2454" s="31">
        <f t="shared" si="220"/>
        <v>0</v>
      </c>
      <c r="J2454" s="31">
        <f t="shared" si="221"/>
        <v>0</v>
      </c>
      <c r="M2454" s="33">
        <f t="shared" si="217"/>
        <v>0</v>
      </c>
      <c r="N2454" s="33"/>
    </row>
    <row r="2455" spans="7:14" ht="16.5" customHeight="1">
      <c r="G2455" s="30">
        <f t="shared" si="218"/>
        <v>0</v>
      </c>
      <c r="H2455" s="31">
        <f t="shared" si="219"/>
        <v>0</v>
      </c>
      <c r="I2455" s="31">
        <f t="shared" si="220"/>
        <v>0</v>
      </c>
      <c r="J2455" s="31">
        <f t="shared" si="221"/>
        <v>0</v>
      </c>
      <c r="M2455" s="33">
        <f t="shared" si="217"/>
        <v>0</v>
      </c>
      <c r="N2455" s="33"/>
    </row>
    <row r="2456" spans="7:14" ht="16.5" customHeight="1">
      <c r="G2456" s="30">
        <f t="shared" si="218"/>
        <v>0</v>
      </c>
      <c r="H2456" s="31">
        <f t="shared" si="219"/>
        <v>0</v>
      </c>
      <c r="I2456" s="31">
        <f t="shared" si="220"/>
        <v>0</v>
      </c>
      <c r="J2456" s="31">
        <f t="shared" si="221"/>
        <v>0</v>
      </c>
      <c r="M2456" s="33">
        <f t="shared" si="217"/>
        <v>0</v>
      </c>
      <c r="N2456" s="33"/>
    </row>
    <row r="2457" spans="7:14" ht="16.5" customHeight="1">
      <c r="G2457" s="30">
        <f t="shared" si="218"/>
        <v>0</v>
      </c>
      <c r="H2457" s="31">
        <f t="shared" si="219"/>
        <v>0</v>
      </c>
      <c r="I2457" s="31">
        <f t="shared" si="220"/>
        <v>0</v>
      </c>
      <c r="J2457" s="31">
        <f t="shared" si="221"/>
        <v>0</v>
      </c>
      <c r="M2457" s="33">
        <f t="shared" si="217"/>
        <v>0</v>
      </c>
      <c r="N2457" s="33"/>
    </row>
    <row r="2458" spans="7:14" ht="16.5" customHeight="1">
      <c r="G2458" s="30">
        <f t="shared" si="218"/>
        <v>0</v>
      </c>
      <c r="H2458" s="31">
        <f t="shared" si="219"/>
        <v>0</v>
      </c>
      <c r="I2458" s="31">
        <f t="shared" si="220"/>
        <v>0</v>
      </c>
      <c r="J2458" s="31">
        <f t="shared" si="221"/>
        <v>0</v>
      </c>
      <c r="M2458" s="33">
        <f t="shared" si="217"/>
        <v>0</v>
      </c>
      <c r="N2458" s="33"/>
    </row>
    <row r="2459" spans="7:14" ht="16.5" customHeight="1">
      <c r="G2459" s="30">
        <f t="shared" si="218"/>
        <v>0</v>
      </c>
      <c r="H2459" s="31">
        <f t="shared" si="219"/>
        <v>0</v>
      </c>
      <c r="I2459" s="31">
        <f t="shared" si="220"/>
        <v>0</v>
      </c>
      <c r="J2459" s="31">
        <f t="shared" si="221"/>
        <v>0</v>
      </c>
      <c r="M2459" s="33">
        <f t="shared" si="217"/>
        <v>0</v>
      </c>
      <c r="N2459" s="33"/>
    </row>
    <row r="2460" spans="7:14" ht="16.5" customHeight="1">
      <c r="G2460" s="30">
        <f t="shared" si="218"/>
        <v>0</v>
      </c>
      <c r="H2460" s="31">
        <f t="shared" si="219"/>
        <v>0</v>
      </c>
      <c r="I2460" s="31">
        <f t="shared" si="220"/>
        <v>0</v>
      </c>
      <c r="J2460" s="31">
        <f t="shared" si="221"/>
        <v>0</v>
      </c>
      <c r="M2460" s="33">
        <f t="shared" si="217"/>
        <v>0</v>
      </c>
      <c r="N2460" s="33"/>
    </row>
    <row r="2461" spans="7:14" ht="16.5" customHeight="1">
      <c r="G2461" s="30">
        <f t="shared" si="218"/>
        <v>0</v>
      </c>
      <c r="H2461" s="31">
        <f t="shared" si="219"/>
        <v>0</v>
      </c>
      <c r="I2461" s="31">
        <f t="shared" si="220"/>
        <v>0</v>
      </c>
      <c r="J2461" s="31">
        <f t="shared" si="221"/>
        <v>0</v>
      </c>
      <c r="M2461" s="33">
        <f t="shared" si="217"/>
        <v>0</v>
      </c>
      <c r="N2461" s="33"/>
    </row>
    <row r="2462" spans="7:14" ht="16.5" customHeight="1">
      <c r="G2462" s="30">
        <f t="shared" si="218"/>
        <v>0</v>
      </c>
      <c r="H2462" s="31">
        <f t="shared" si="219"/>
        <v>0</v>
      </c>
      <c r="I2462" s="31">
        <f t="shared" si="220"/>
        <v>0</v>
      </c>
      <c r="J2462" s="31">
        <f t="shared" si="221"/>
        <v>0</v>
      </c>
      <c r="M2462" s="33">
        <f t="shared" si="217"/>
        <v>0</v>
      </c>
      <c r="N2462" s="33"/>
    </row>
    <row r="2463" spans="7:14" ht="16.5" customHeight="1">
      <c r="G2463" s="30">
        <f t="shared" si="218"/>
        <v>0</v>
      </c>
      <c r="H2463" s="31">
        <f t="shared" si="219"/>
        <v>0</v>
      </c>
      <c r="I2463" s="31">
        <f t="shared" si="220"/>
        <v>0</v>
      </c>
      <c r="J2463" s="31">
        <f t="shared" si="221"/>
        <v>0</v>
      </c>
      <c r="M2463" s="33">
        <f t="shared" si="217"/>
        <v>0</v>
      </c>
      <c r="N2463" s="33"/>
    </row>
    <row r="2464" spans="7:14" ht="16.5" customHeight="1">
      <c r="G2464" s="30">
        <f t="shared" si="218"/>
        <v>0</v>
      </c>
      <c r="H2464" s="31">
        <f t="shared" si="219"/>
        <v>0</v>
      </c>
      <c r="I2464" s="31">
        <f t="shared" si="220"/>
        <v>0</v>
      </c>
      <c r="J2464" s="31">
        <f t="shared" si="221"/>
        <v>0</v>
      </c>
      <c r="M2464" s="33">
        <f t="shared" si="217"/>
        <v>0</v>
      </c>
      <c r="N2464" s="33"/>
    </row>
    <row r="2465" spans="7:14" ht="16.5" customHeight="1">
      <c r="G2465" s="30">
        <f t="shared" si="218"/>
        <v>0</v>
      </c>
      <c r="H2465" s="31">
        <f t="shared" si="219"/>
        <v>0</v>
      </c>
      <c r="I2465" s="31">
        <f t="shared" si="220"/>
        <v>0</v>
      </c>
      <c r="J2465" s="31">
        <f t="shared" si="221"/>
        <v>0</v>
      </c>
      <c r="M2465" s="33">
        <f t="shared" si="217"/>
        <v>0</v>
      </c>
      <c r="N2465" s="33"/>
    </row>
    <row r="2466" spans="7:14" ht="16.5" customHeight="1">
      <c r="G2466" s="30">
        <f t="shared" si="218"/>
        <v>0</v>
      </c>
      <c r="H2466" s="31">
        <f t="shared" si="219"/>
        <v>0</v>
      </c>
      <c r="I2466" s="31">
        <f t="shared" si="220"/>
        <v>0</v>
      </c>
      <c r="J2466" s="31">
        <f t="shared" si="221"/>
        <v>0</v>
      </c>
      <c r="M2466" s="33">
        <f t="shared" si="217"/>
        <v>0</v>
      </c>
      <c r="N2466" s="33"/>
    </row>
    <row r="2467" spans="7:14" ht="16.5" customHeight="1">
      <c r="G2467" s="30">
        <f t="shared" si="218"/>
        <v>0</v>
      </c>
      <c r="H2467" s="31">
        <f t="shared" si="219"/>
        <v>0</v>
      </c>
      <c r="I2467" s="31">
        <f t="shared" si="220"/>
        <v>0</v>
      </c>
      <c r="J2467" s="31">
        <f t="shared" si="221"/>
        <v>0</v>
      </c>
      <c r="M2467" s="33">
        <f t="shared" si="217"/>
        <v>0</v>
      </c>
      <c r="N2467" s="33"/>
    </row>
    <row r="2468" spans="7:14" ht="16.5" customHeight="1">
      <c r="G2468" s="30">
        <f t="shared" si="218"/>
        <v>0</v>
      </c>
      <c r="H2468" s="31">
        <f t="shared" si="219"/>
        <v>0</v>
      </c>
      <c r="I2468" s="31">
        <f t="shared" si="220"/>
        <v>0</v>
      </c>
      <c r="J2468" s="31">
        <f t="shared" si="221"/>
        <v>0</v>
      </c>
      <c r="M2468" s="33">
        <f t="shared" si="217"/>
        <v>0</v>
      </c>
      <c r="N2468" s="33"/>
    </row>
    <row r="2469" spans="7:14" ht="16.5" customHeight="1">
      <c r="G2469" s="30">
        <f t="shared" si="218"/>
        <v>0</v>
      </c>
      <c r="H2469" s="31">
        <f t="shared" si="219"/>
        <v>0</v>
      </c>
      <c r="I2469" s="31">
        <f t="shared" si="220"/>
        <v>0</v>
      </c>
      <c r="J2469" s="31">
        <f t="shared" si="221"/>
        <v>0</v>
      </c>
      <c r="M2469" s="33">
        <f t="shared" si="217"/>
        <v>0</v>
      </c>
      <c r="N2469" s="33"/>
    </row>
    <row r="2470" spans="7:14" ht="16.5" customHeight="1">
      <c r="G2470" s="30">
        <f t="shared" si="218"/>
        <v>0</v>
      </c>
      <c r="H2470" s="31">
        <f t="shared" si="219"/>
        <v>0</v>
      </c>
      <c r="I2470" s="31">
        <f t="shared" si="220"/>
        <v>0</v>
      </c>
      <c r="J2470" s="31">
        <f t="shared" si="221"/>
        <v>0</v>
      </c>
      <c r="M2470" s="33">
        <f t="shared" si="217"/>
        <v>0</v>
      </c>
      <c r="N2470" s="33"/>
    </row>
    <row r="2471" spans="7:14" ht="16.5" customHeight="1">
      <c r="G2471" s="30">
        <f t="shared" si="218"/>
        <v>0</v>
      </c>
      <c r="H2471" s="31">
        <f t="shared" si="219"/>
        <v>0</v>
      </c>
      <c r="I2471" s="31">
        <f t="shared" si="220"/>
        <v>0</v>
      </c>
      <c r="J2471" s="31">
        <f t="shared" si="221"/>
        <v>0</v>
      </c>
      <c r="M2471" s="33">
        <f t="shared" si="217"/>
        <v>0</v>
      </c>
      <c r="N2471" s="33"/>
    </row>
    <row r="2472" spans="7:14" ht="16.5" customHeight="1">
      <c r="G2472" s="30">
        <f t="shared" si="218"/>
        <v>0</v>
      </c>
      <c r="H2472" s="31">
        <f t="shared" si="219"/>
        <v>0</v>
      </c>
      <c r="I2472" s="31">
        <f t="shared" si="220"/>
        <v>0</v>
      </c>
      <c r="J2472" s="31">
        <f t="shared" si="221"/>
        <v>0</v>
      </c>
      <c r="M2472" s="33">
        <f t="shared" si="217"/>
        <v>0</v>
      </c>
      <c r="N2472" s="33"/>
    </row>
    <row r="2473" spans="7:14" ht="16.5" customHeight="1">
      <c r="G2473" s="30">
        <f t="shared" si="218"/>
        <v>0</v>
      </c>
      <c r="H2473" s="31">
        <f t="shared" si="219"/>
        <v>0</v>
      </c>
      <c r="I2473" s="31">
        <f t="shared" si="220"/>
        <v>0</v>
      </c>
      <c r="J2473" s="31">
        <f t="shared" si="221"/>
        <v>0</v>
      </c>
      <c r="M2473" s="33">
        <f t="shared" si="217"/>
        <v>0</v>
      </c>
      <c r="N2473" s="33"/>
    </row>
    <row r="2474" spans="7:14" ht="16.5" customHeight="1">
      <c r="G2474" s="30">
        <f t="shared" si="218"/>
        <v>0</v>
      </c>
      <c r="H2474" s="31">
        <f t="shared" si="219"/>
        <v>0</v>
      </c>
      <c r="I2474" s="31">
        <f t="shared" si="220"/>
        <v>0</v>
      </c>
      <c r="J2474" s="31">
        <f t="shared" si="221"/>
        <v>0</v>
      </c>
      <c r="M2474" s="33">
        <f t="shared" si="217"/>
        <v>0</v>
      </c>
      <c r="N2474" s="33"/>
    </row>
    <row r="2475" spans="7:14" ht="16.5" customHeight="1">
      <c r="G2475" s="30">
        <f t="shared" si="218"/>
        <v>0</v>
      </c>
      <c r="H2475" s="31">
        <f t="shared" si="219"/>
        <v>0</v>
      </c>
      <c r="I2475" s="31">
        <f t="shared" si="220"/>
        <v>0</v>
      </c>
      <c r="J2475" s="31">
        <f t="shared" si="221"/>
        <v>0</v>
      </c>
      <c r="M2475" s="33">
        <f t="shared" si="217"/>
        <v>0</v>
      </c>
      <c r="N2475" s="33"/>
    </row>
    <row r="2476" spans="7:14" ht="16.5" customHeight="1">
      <c r="G2476" s="30">
        <f t="shared" si="218"/>
        <v>0</v>
      </c>
      <c r="H2476" s="31">
        <f t="shared" si="219"/>
        <v>0</v>
      </c>
      <c r="I2476" s="31">
        <f t="shared" si="220"/>
        <v>0</v>
      </c>
      <c r="J2476" s="31">
        <f t="shared" si="221"/>
        <v>0</v>
      </c>
      <c r="M2476" s="33">
        <f t="shared" si="217"/>
        <v>0</v>
      </c>
      <c r="N2476" s="33"/>
    </row>
    <row r="2477" spans="7:14" ht="16.5" customHeight="1">
      <c r="G2477" s="30">
        <f t="shared" si="218"/>
        <v>0</v>
      </c>
      <c r="H2477" s="31">
        <f t="shared" si="219"/>
        <v>0</v>
      </c>
      <c r="I2477" s="31">
        <f t="shared" si="220"/>
        <v>0</v>
      </c>
      <c r="J2477" s="31">
        <f t="shared" si="221"/>
        <v>0</v>
      </c>
      <c r="M2477" s="33">
        <f t="shared" si="217"/>
        <v>0</v>
      </c>
      <c r="N2477" s="33"/>
    </row>
    <row r="2478" spans="7:14" ht="16.5" customHeight="1">
      <c r="G2478" s="30">
        <f t="shared" si="218"/>
        <v>0</v>
      </c>
      <c r="H2478" s="31">
        <f t="shared" si="219"/>
        <v>0</v>
      </c>
      <c r="I2478" s="31">
        <f t="shared" si="220"/>
        <v>0</v>
      </c>
      <c r="J2478" s="31">
        <f t="shared" si="221"/>
        <v>0</v>
      </c>
      <c r="M2478" s="33">
        <f t="shared" si="217"/>
        <v>0</v>
      </c>
      <c r="N2478" s="33"/>
    </row>
    <row r="2479" spans="7:14" ht="16.5" customHeight="1">
      <c r="G2479" s="30">
        <f t="shared" si="218"/>
        <v>0</v>
      </c>
      <c r="H2479" s="31">
        <f t="shared" si="219"/>
        <v>0</v>
      </c>
      <c r="I2479" s="31">
        <f t="shared" si="220"/>
        <v>0</v>
      </c>
      <c r="J2479" s="31">
        <f t="shared" si="221"/>
        <v>0</v>
      </c>
      <c r="M2479" s="33">
        <f t="shared" si="217"/>
        <v>0</v>
      </c>
      <c r="N2479" s="33"/>
    </row>
    <row r="2480" spans="7:14" ht="16.5" customHeight="1">
      <c r="G2480" s="30">
        <f t="shared" si="218"/>
        <v>0</v>
      </c>
      <c r="H2480" s="31">
        <f t="shared" si="219"/>
        <v>0</v>
      </c>
      <c r="I2480" s="31">
        <f t="shared" si="220"/>
        <v>0</v>
      </c>
      <c r="J2480" s="31">
        <f t="shared" si="221"/>
        <v>0</v>
      </c>
      <c r="M2480" s="33">
        <f t="shared" si="217"/>
        <v>0</v>
      </c>
      <c r="N2480" s="33"/>
    </row>
    <row r="2481" spans="7:14" ht="16.5" customHeight="1">
      <c r="G2481" s="30">
        <f t="shared" si="218"/>
        <v>0</v>
      </c>
      <c r="H2481" s="31">
        <f t="shared" si="219"/>
        <v>0</v>
      </c>
      <c r="I2481" s="31">
        <f t="shared" si="220"/>
        <v>0</v>
      </c>
      <c r="J2481" s="31">
        <f t="shared" si="221"/>
        <v>0</v>
      </c>
      <c r="M2481" s="33">
        <f t="shared" si="217"/>
        <v>0</v>
      </c>
      <c r="N2481" s="33"/>
    </row>
    <row r="2482" spans="7:14" ht="16.5" customHeight="1">
      <c r="G2482" s="30">
        <f t="shared" si="218"/>
        <v>0</v>
      </c>
      <c r="H2482" s="31">
        <f t="shared" si="219"/>
        <v>0</v>
      </c>
      <c r="I2482" s="31">
        <f t="shared" si="220"/>
        <v>0</v>
      </c>
      <c r="J2482" s="31">
        <f t="shared" si="221"/>
        <v>0</v>
      </c>
      <c r="M2482" s="33">
        <f t="shared" si="217"/>
        <v>0</v>
      </c>
      <c r="N2482" s="33"/>
    </row>
    <row r="2483" spans="7:14" ht="16.5" customHeight="1">
      <c r="G2483" s="30">
        <f t="shared" si="218"/>
        <v>0</v>
      </c>
      <c r="H2483" s="31">
        <f t="shared" si="219"/>
        <v>0</v>
      </c>
      <c r="I2483" s="31">
        <f t="shared" si="220"/>
        <v>0</v>
      </c>
      <c r="J2483" s="31">
        <f t="shared" si="221"/>
        <v>0</v>
      </c>
      <c r="M2483" s="33">
        <f t="shared" si="217"/>
        <v>0</v>
      </c>
      <c r="N2483" s="33"/>
    </row>
    <row r="2484" spans="7:14" ht="16.5" customHeight="1">
      <c r="G2484" s="30">
        <f t="shared" si="218"/>
        <v>0</v>
      </c>
      <c r="H2484" s="31">
        <f t="shared" si="219"/>
        <v>0</v>
      </c>
      <c r="I2484" s="31">
        <f t="shared" si="220"/>
        <v>0</v>
      </c>
      <c r="J2484" s="31">
        <f t="shared" si="221"/>
        <v>0</v>
      </c>
      <c r="M2484" s="33">
        <f t="shared" si="217"/>
        <v>0</v>
      </c>
      <c r="N2484" s="33"/>
    </row>
    <row r="2485" spans="7:14" ht="16.5" customHeight="1">
      <c r="G2485" s="30">
        <f t="shared" si="218"/>
        <v>0</v>
      </c>
      <c r="H2485" s="31">
        <f t="shared" si="219"/>
        <v>0</v>
      </c>
      <c r="I2485" s="31">
        <f t="shared" si="220"/>
        <v>0</v>
      </c>
      <c r="J2485" s="31">
        <f t="shared" si="221"/>
        <v>0</v>
      </c>
      <c r="M2485" s="33">
        <f t="shared" si="217"/>
        <v>0</v>
      </c>
      <c r="N2485" s="33"/>
    </row>
    <row r="2486" spans="7:14" ht="16.5" customHeight="1">
      <c r="G2486" s="30">
        <f t="shared" si="218"/>
        <v>0</v>
      </c>
      <c r="H2486" s="31">
        <f t="shared" si="219"/>
        <v>0</v>
      </c>
      <c r="I2486" s="31">
        <f t="shared" si="220"/>
        <v>0</v>
      </c>
      <c r="J2486" s="31">
        <f t="shared" si="221"/>
        <v>0</v>
      </c>
      <c r="M2486" s="33">
        <f t="shared" si="217"/>
        <v>0</v>
      </c>
      <c r="N2486" s="33"/>
    </row>
    <row r="2487" spans="7:14" ht="16.5" customHeight="1">
      <c r="G2487" s="30">
        <f t="shared" si="218"/>
        <v>0</v>
      </c>
      <c r="H2487" s="31">
        <f t="shared" si="219"/>
        <v>0</v>
      </c>
      <c r="I2487" s="31">
        <f t="shared" si="220"/>
        <v>0</v>
      </c>
      <c r="J2487" s="31">
        <f t="shared" si="221"/>
        <v>0</v>
      </c>
      <c r="M2487" s="33">
        <f t="shared" si="217"/>
        <v>0</v>
      </c>
      <c r="N2487" s="33"/>
    </row>
    <row r="2488" spans="7:14" ht="16.5" customHeight="1">
      <c r="G2488" s="30">
        <f t="shared" si="218"/>
        <v>0</v>
      </c>
      <c r="H2488" s="31">
        <f t="shared" si="219"/>
        <v>0</v>
      </c>
      <c r="I2488" s="31">
        <f t="shared" si="220"/>
        <v>0</v>
      </c>
      <c r="J2488" s="31">
        <f t="shared" si="221"/>
        <v>0</v>
      </c>
      <c r="M2488" s="33">
        <f t="shared" si="217"/>
        <v>0</v>
      </c>
      <c r="N2488" s="33"/>
    </row>
    <row r="2489" spans="7:14" ht="16.5" customHeight="1">
      <c r="G2489" s="30">
        <f t="shared" si="218"/>
        <v>0</v>
      </c>
      <c r="H2489" s="31">
        <f t="shared" si="219"/>
        <v>0</v>
      </c>
      <c r="I2489" s="31">
        <f t="shared" si="220"/>
        <v>0</v>
      </c>
      <c r="J2489" s="31">
        <f t="shared" si="221"/>
        <v>0</v>
      </c>
      <c r="M2489" s="33">
        <f t="shared" si="217"/>
        <v>0</v>
      </c>
      <c r="N2489" s="33"/>
    </row>
    <row r="2490" spans="7:14" ht="16.5" customHeight="1">
      <c r="G2490" s="30">
        <f t="shared" si="218"/>
        <v>0</v>
      </c>
      <c r="H2490" s="31">
        <f t="shared" si="219"/>
        <v>0</v>
      </c>
      <c r="I2490" s="31">
        <f t="shared" si="220"/>
        <v>0</v>
      </c>
      <c r="J2490" s="31">
        <f t="shared" si="221"/>
        <v>0</v>
      </c>
      <c r="M2490" s="33">
        <f t="shared" si="217"/>
        <v>0</v>
      </c>
      <c r="N2490" s="33"/>
    </row>
    <row r="2491" spans="7:14" ht="16.5" customHeight="1">
      <c r="G2491" s="30">
        <f t="shared" si="218"/>
        <v>0</v>
      </c>
      <c r="H2491" s="31">
        <f t="shared" si="219"/>
        <v>0</v>
      </c>
      <c r="I2491" s="31">
        <f t="shared" si="220"/>
        <v>0</v>
      </c>
      <c r="J2491" s="31">
        <f t="shared" si="221"/>
        <v>0</v>
      </c>
      <c r="M2491" s="33">
        <f t="shared" si="217"/>
        <v>0</v>
      </c>
      <c r="N2491" s="33"/>
    </row>
    <row r="2492" spans="7:14" ht="16.5" customHeight="1">
      <c r="G2492" s="30">
        <f t="shared" si="218"/>
        <v>0</v>
      </c>
      <c r="H2492" s="31">
        <f t="shared" si="219"/>
        <v>0</v>
      </c>
      <c r="I2492" s="31">
        <f t="shared" si="220"/>
        <v>0</v>
      </c>
      <c r="J2492" s="31">
        <f t="shared" si="221"/>
        <v>0</v>
      </c>
      <c r="M2492" s="33">
        <f t="shared" si="217"/>
        <v>0</v>
      </c>
      <c r="N2492" s="33"/>
    </row>
    <row r="2493" spans="7:14" ht="16.5" customHeight="1">
      <c r="G2493" s="30">
        <f t="shared" si="218"/>
        <v>0</v>
      </c>
      <c r="H2493" s="31">
        <f t="shared" si="219"/>
        <v>0</v>
      </c>
      <c r="I2493" s="31">
        <f t="shared" si="220"/>
        <v>0</v>
      </c>
      <c r="J2493" s="31">
        <f t="shared" si="221"/>
        <v>0</v>
      </c>
      <c r="M2493" s="33">
        <f t="shared" si="217"/>
        <v>0</v>
      </c>
      <c r="N2493" s="33"/>
    </row>
    <row r="2494" spans="7:14" ht="16.5" customHeight="1">
      <c r="G2494" s="30">
        <f t="shared" si="218"/>
        <v>0</v>
      </c>
      <c r="H2494" s="31">
        <f t="shared" si="219"/>
        <v>0</v>
      </c>
      <c r="I2494" s="31">
        <f t="shared" si="220"/>
        <v>0</v>
      </c>
      <c r="J2494" s="31">
        <f t="shared" si="221"/>
        <v>0</v>
      </c>
      <c r="M2494" s="33">
        <f t="shared" ref="M2494:M2557" si="222">IF(P2494="TL tuyệt đối",0, IF(K2494&lt;5,0,IF(K2494&lt;50,K2494*9%,IF(K2494&lt;100,4.5,IF(K2494&lt;200,4.5%*K2494,IF(K2494&lt;300,9,IF(K2494&lt;500,K2494*3%,IF(K2494&lt;1000,15,))))))))</f>
        <v>0</v>
      </c>
      <c r="N2494" s="33"/>
    </row>
    <row r="2495" spans="7:14" ht="16.5" customHeight="1">
      <c r="G2495" s="30">
        <f t="shared" si="218"/>
        <v>0</v>
      </c>
      <c r="H2495" s="31">
        <f t="shared" si="219"/>
        <v>0</v>
      </c>
      <c r="I2495" s="31">
        <f t="shared" si="220"/>
        <v>0</v>
      </c>
      <c r="J2495" s="31">
        <f t="shared" si="221"/>
        <v>0</v>
      </c>
      <c r="M2495" s="33">
        <f t="shared" si="222"/>
        <v>0</v>
      </c>
      <c r="N2495" s="33"/>
    </row>
    <row r="2496" spans="7:14" ht="16.5" customHeight="1">
      <c r="G2496" s="30">
        <f t="shared" ref="G2496:G2559" si="223">IF(P2496="TL tuyệt đối",K2496*103%,K2496+1/3*M2496)</f>
        <v>0</v>
      </c>
      <c r="H2496" s="31">
        <f t="shared" ref="H2496:H2559" si="224">IF(P2496="TL tuyệt đối",K2496*101%,K2496-1/3*M2496)</f>
        <v>0</v>
      </c>
      <c r="I2496" s="31">
        <f t="shared" ref="I2496:I2559" si="225">IF(P2496="TL tuyệt đối", K2496*105%,K2496+M2496)</f>
        <v>0</v>
      </c>
      <c r="J2496" s="31">
        <f t="shared" si="221"/>
        <v>0</v>
      </c>
      <c r="M2496" s="33">
        <f t="shared" si="222"/>
        <v>0</v>
      </c>
      <c r="N2496" s="33"/>
    </row>
    <row r="2497" spans="7:14" ht="16.5" customHeight="1">
      <c r="G2497" s="30">
        <f t="shared" si="223"/>
        <v>0</v>
      </c>
      <c r="H2497" s="31">
        <f t="shared" si="224"/>
        <v>0</v>
      </c>
      <c r="I2497" s="31">
        <f t="shared" si="225"/>
        <v>0</v>
      </c>
      <c r="J2497" s="31">
        <f t="shared" si="221"/>
        <v>0</v>
      </c>
      <c r="M2497" s="33">
        <f t="shared" si="222"/>
        <v>0</v>
      </c>
      <c r="N2497" s="33"/>
    </row>
    <row r="2498" spans="7:14" ht="16.5" customHeight="1">
      <c r="G2498" s="30">
        <f t="shared" si="223"/>
        <v>0</v>
      </c>
      <c r="H2498" s="31">
        <f t="shared" si="224"/>
        <v>0</v>
      </c>
      <c r="I2498" s="31">
        <f t="shared" si="225"/>
        <v>0</v>
      </c>
      <c r="J2498" s="31">
        <f t="shared" si="221"/>
        <v>0</v>
      </c>
      <c r="M2498" s="33">
        <f t="shared" si="222"/>
        <v>0</v>
      </c>
      <c r="N2498" s="33"/>
    </row>
    <row r="2499" spans="7:14" ht="16.5" customHeight="1">
      <c r="G2499" s="30">
        <f t="shared" si="223"/>
        <v>0</v>
      </c>
      <c r="H2499" s="31">
        <f t="shared" si="224"/>
        <v>0</v>
      </c>
      <c r="I2499" s="31">
        <f t="shared" si="225"/>
        <v>0</v>
      </c>
      <c r="J2499" s="31">
        <f t="shared" si="221"/>
        <v>0</v>
      </c>
      <c r="M2499" s="33">
        <f t="shared" si="222"/>
        <v>0</v>
      </c>
      <c r="N2499" s="33"/>
    </row>
    <row r="2500" spans="7:14" ht="16.5" customHeight="1">
      <c r="G2500" s="30">
        <f t="shared" si="223"/>
        <v>0</v>
      </c>
      <c r="H2500" s="31">
        <f t="shared" si="224"/>
        <v>0</v>
      </c>
      <c r="I2500" s="31">
        <f t="shared" si="225"/>
        <v>0</v>
      </c>
      <c r="J2500" s="31">
        <f t="shared" ref="J2500:J2563" si="226">K2500-M2500</f>
        <v>0</v>
      </c>
      <c r="M2500" s="33">
        <f t="shared" si="222"/>
        <v>0</v>
      </c>
      <c r="N2500" s="33"/>
    </row>
    <row r="2501" spans="7:14" ht="16.5" customHeight="1">
      <c r="G2501" s="30">
        <f t="shared" si="223"/>
        <v>0</v>
      </c>
      <c r="H2501" s="31">
        <f t="shared" si="224"/>
        <v>0</v>
      </c>
      <c r="I2501" s="31">
        <f t="shared" si="225"/>
        <v>0</v>
      </c>
      <c r="J2501" s="31">
        <f t="shared" si="226"/>
        <v>0</v>
      </c>
      <c r="M2501" s="33">
        <f t="shared" si="222"/>
        <v>0</v>
      </c>
      <c r="N2501" s="33"/>
    </row>
    <row r="2502" spans="7:14" ht="16.5" customHeight="1">
      <c r="G2502" s="30">
        <f t="shared" si="223"/>
        <v>0</v>
      </c>
      <c r="H2502" s="31">
        <f t="shared" si="224"/>
        <v>0</v>
      </c>
      <c r="I2502" s="31">
        <f t="shared" si="225"/>
        <v>0</v>
      </c>
      <c r="J2502" s="31">
        <f t="shared" si="226"/>
        <v>0</v>
      </c>
      <c r="M2502" s="33">
        <f t="shared" si="222"/>
        <v>0</v>
      </c>
      <c r="N2502" s="33"/>
    </row>
    <row r="2503" spans="7:14" ht="16.5" customHeight="1">
      <c r="G2503" s="30">
        <f t="shared" si="223"/>
        <v>0</v>
      </c>
      <c r="H2503" s="31">
        <f t="shared" si="224"/>
        <v>0</v>
      </c>
      <c r="I2503" s="31">
        <f t="shared" si="225"/>
        <v>0</v>
      </c>
      <c r="J2503" s="31">
        <f t="shared" si="226"/>
        <v>0</v>
      </c>
      <c r="M2503" s="33">
        <f t="shared" si="222"/>
        <v>0</v>
      </c>
      <c r="N2503" s="33"/>
    </row>
    <row r="2504" spans="7:14" ht="16.5" customHeight="1">
      <c r="G2504" s="30">
        <f t="shared" si="223"/>
        <v>0</v>
      </c>
      <c r="H2504" s="31">
        <f t="shared" si="224"/>
        <v>0</v>
      </c>
      <c r="I2504" s="31">
        <f t="shared" si="225"/>
        <v>0</v>
      </c>
      <c r="J2504" s="31">
        <f t="shared" si="226"/>
        <v>0</v>
      </c>
      <c r="M2504" s="33">
        <f t="shared" si="222"/>
        <v>0</v>
      </c>
      <c r="N2504" s="33"/>
    </row>
    <row r="2505" spans="7:14" ht="16.5" customHeight="1">
      <c r="G2505" s="30">
        <f t="shared" si="223"/>
        <v>0</v>
      </c>
      <c r="H2505" s="31">
        <f t="shared" si="224"/>
        <v>0</v>
      </c>
      <c r="I2505" s="31">
        <f t="shared" si="225"/>
        <v>0</v>
      </c>
      <c r="J2505" s="31">
        <f t="shared" si="226"/>
        <v>0</v>
      </c>
      <c r="M2505" s="33">
        <f t="shared" si="222"/>
        <v>0</v>
      </c>
      <c r="N2505" s="33"/>
    </row>
    <row r="2506" spans="7:14" ht="16.5" customHeight="1">
      <c r="G2506" s="30">
        <f t="shared" si="223"/>
        <v>0</v>
      </c>
      <c r="H2506" s="31">
        <f t="shared" si="224"/>
        <v>0</v>
      </c>
      <c r="I2506" s="31">
        <f t="shared" si="225"/>
        <v>0</v>
      </c>
      <c r="J2506" s="31">
        <f t="shared" si="226"/>
        <v>0</v>
      </c>
      <c r="M2506" s="33">
        <f t="shared" si="222"/>
        <v>0</v>
      </c>
      <c r="N2506" s="33"/>
    </row>
    <row r="2507" spans="7:14" ht="16.5" customHeight="1">
      <c r="G2507" s="30">
        <f t="shared" si="223"/>
        <v>0</v>
      </c>
      <c r="H2507" s="31">
        <f t="shared" si="224"/>
        <v>0</v>
      </c>
      <c r="I2507" s="31">
        <f t="shared" si="225"/>
        <v>0</v>
      </c>
      <c r="J2507" s="31">
        <f t="shared" si="226"/>
        <v>0</v>
      </c>
      <c r="M2507" s="33">
        <f t="shared" si="222"/>
        <v>0</v>
      </c>
      <c r="N2507" s="33"/>
    </row>
    <row r="2508" spans="7:14" ht="16.5" customHeight="1">
      <c r="G2508" s="30">
        <f t="shared" si="223"/>
        <v>0</v>
      </c>
      <c r="H2508" s="31">
        <f t="shared" si="224"/>
        <v>0</v>
      </c>
      <c r="I2508" s="31">
        <f t="shared" si="225"/>
        <v>0</v>
      </c>
      <c r="J2508" s="31">
        <f t="shared" si="226"/>
        <v>0</v>
      </c>
      <c r="M2508" s="33">
        <f t="shared" si="222"/>
        <v>0</v>
      </c>
      <c r="N2508" s="33"/>
    </row>
    <row r="2509" spans="7:14" ht="16.5" customHeight="1">
      <c r="G2509" s="30">
        <f t="shared" si="223"/>
        <v>0</v>
      </c>
      <c r="H2509" s="31">
        <f t="shared" si="224"/>
        <v>0</v>
      </c>
      <c r="I2509" s="31">
        <f t="shared" si="225"/>
        <v>0</v>
      </c>
      <c r="J2509" s="31">
        <f t="shared" si="226"/>
        <v>0</v>
      </c>
      <c r="M2509" s="33">
        <f t="shared" si="222"/>
        <v>0</v>
      </c>
      <c r="N2509" s="33"/>
    </row>
    <row r="2510" spans="7:14" ht="16.5" customHeight="1">
      <c r="G2510" s="30">
        <f t="shared" si="223"/>
        <v>0</v>
      </c>
      <c r="H2510" s="31">
        <f t="shared" si="224"/>
        <v>0</v>
      </c>
      <c r="I2510" s="31">
        <f t="shared" si="225"/>
        <v>0</v>
      </c>
      <c r="J2510" s="31">
        <f t="shared" si="226"/>
        <v>0</v>
      </c>
      <c r="M2510" s="33">
        <f t="shared" si="222"/>
        <v>0</v>
      </c>
      <c r="N2510" s="33"/>
    </row>
    <row r="2511" spans="7:14" ht="16.5" customHeight="1">
      <c r="G2511" s="30">
        <f t="shared" si="223"/>
        <v>0</v>
      </c>
      <c r="H2511" s="31">
        <f t="shared" si="224"/>
        <v>0</v>
      </c>
      <c r="I2511" s="31">
        <f t="shared" si="225"/>
        <v>0</v>
      </c>
      <c r="J2511" s="31">
        <f t="shared" si="226"/>
        <v>0</v>
      </c>
      <c r="M2511" s="33">
        <f t="shared" si="222"/>
        <v>0</v>
      </c>
      <c r="N2511" s="33"/>
    </row>
    <row r="2512" spans="7:14" ht="16.5" customHeight="1">
      <c r="G2512" s="30">
        <f t="shared" si="223"/>
        <v>0</v>
      </c>
      <c r="H2512" s="31">
        <f t="shared" si="224"/>
        <v>0</v>
      </c>
      <c r="I2512" s="31">
        <f t="shared" si="225"/>
        <v>0</v>
      </c>
      <c r="J2512" s="31">
        <f t="shared" si="226"/>
        <v>0</v>
      </c>
      <c r="M2512" s="33">
        <f t="shared" si="222"/>
        <v>0</v>
      </c>
      <c r="N2512" s="33"/>
    </row>
    <row r="2513" spans="7:14" ht="16.5" customHeight="1">
      <c r="G2513" s="30">
        <f t="shared" si="223"/>
        <v>0</v>
      </c>
      <c r="H2513" s="31">
        <f t="shared" si="224"/>
        <v>0</v>
      </c>
      <c r="I2513" s="31">
        <f t="shared" si="225"/>
        <v>0</v>
      </c>
      <c r="J2513" s="31">
        <f t="shared" si="226"/>
        <v>0</v>
      </c>
      <c r="M2513" s="33">
        <f t="shared" si="222"/>
        <v>0</v>
      </c>
      <c r="N2513" s="33"/>
    </row>
    <row r="2514" spans="7:14" ht="16.5" customHeight="1">
      <c r="G2514" s="30">
        <f t="shared" si="223"/>
        <v>0</v>
      </c>
      <c r="H2514" s="31">
        <f t="shared" si="224"/>
        <v>0</v>
      </c>
      <c r="I2514" s="31">
        <f t="shared" si="225"/>
        <v>0</v>
      </c>
      <c r="J2514" s="31">
        <f t="shared" si="226"/>
        <v>0</v>
      </c>
      <c r="M2514" s="33">
        <f t="shared" si="222"/>
        <v>0</v>
      </c>
      <c r="N2514" s="33"/>
    </row>
    <row r="2515" spans="7:14" ht="16.5" customHeight="1">
      <c r="G2515" s="30">
        <f t="shared" si="223"/>
        <v>0</v>
      </c>
      <c r="H2515" s="31">
        <f t="shared" si="224"/>
        <v>0</v>
      </c>
      <c r="I2515" s="31">
        <f t="shared" si="225"/>
        <v>0</v>
      </c>
      <c r="J2515" s="31">
        <f t="shared" si="226"/>
        <v>0</v>
      </c>
      <c r="M2515" s="33">
        <f t="shared" si="222"/>
        <v>0</v>
      </c>
      <c r="N2515" s="33"/>
    </row>
    <row r="2516" spans="7:14" ht="16.5" customHeight="1">
      <c r="G2516" s="30">
        <f t="shared" si="223"/>
        <v>0</v>
      </c>
      <c r="H2516" s="31">
        <f t="shared" si="224"/>
        <v>0</v>
      </c>
      <c r="I2516" s="31">
        <f t="shared" si="225"/>
        <v>0</v>
      </c>
      <c r="J2516" s="31">
        <f t="shared" si="226"/>
        <v>0</v>
      </c>
      <c r="M2516" s="33">
        <f t="shared" si="222"/>
        <v>0</v>
      </c>
      <c r="N2516" s="33"/>
    </row>
    <row r="2517" spans="7:14" ht="16.5" customHeight="1">
      <c r="G2517" s="30">
        <f t="shared" si="223"/>
        <v>0</v>
      </c>
      <c r="H2517" s="31">
        <f t="shared" si="224"/>
        <v>0</v>
      </c>
      <c r="I2517" s="31">
        <f t="shared" si="225"/>
        <v>0</v>
      </c>
      <c r="J2517" s="31">
        <f t="shared" si="226"/>
        <v>0</v>
      </c>
      <c r="M2517" s="33">
        <f t="shared" si="222"/>
        <v>0</v>
      </c>
      <c r="N2517" s="33"/>
    </row>
    <row r="2518" spans="7:14" ht="16.5" customHeight="1">
      <c r="G2518" s="30">
        <f t="shared" si="223"/>
        <v>0</v>
      </c>
      <c r="H2518" s="31">
        <f t="shared" si="224"/>
        <v>0</v>
      </c>
      <c r="I2518" s="31">
        <f t="shared" si="225"/>
        <v>0</v>
      </c>
      <c r="J2518" s="31">
        <f t="shared" si="226"/>
        <v>0</v>
      </c>
      <c r="M2518" s="33">
        <f t="shared" si="222"/>
        <v>0</v>
      </c>
      <c r="N2518" s="33"/>
    </row>
    <row r="2519" spans="7:14" ht="16.5" customHeight="1">
      <c r="G2519" s="30">
        <f t="shared" si="223"/>
        <v>0</v>
      </c>
      <c r="H2519" s="31">
        <f t="shared" si="224"/>
        <v>0</v>
      </c>
      <c r="I2519" s="31">
        <f t="shared" si="225"/>
        <v>0</v>
      </c>
      <c r="J2519" s="31">
        <f t="shared" si="226"/>
        <v>0</v>
      </c>
      <c r="M2519" s="33">
        <f t="shared" si="222"/>
        <v>0</v>
      </c>
      <c r="N2519" s="33"/>
    </row>
    <row r="2520" spans="7:14" ht="16.5" customHeight="1">
      <c r="G2520" s="30">
        <f t="shared" si="223"/>
        <v>0</v>
      </c>
      <c r="H2520" s="31">
        <f t="shared" si="224"/>
        <v>0</v>
      </c>
      <c r="I2520" s="31">
        <f t="shared" si="225"/>
        <v>0</v>
      </c>
      <c r="J2520" s="31">
        <f t="shared" si="226"/>
        <v>0</v>
      </c>
      <c r="M2520" s="33">
        <f t="shared" si="222"/>
        <v>0</v>
      </c>
      <c r="N2520" s="33"/>
    </row>
    <row r="2521" spans="7:14" ht="16.5" customHeight="1">
      <c r="G2521" s="30">
        <f t="shared" si="223"/>
        <v>0</v>
      </c>
      <c r="H2521" s="31">
        <f t="shared" si="224"/>
        <v>0</v>
      </c>
      <c r="I2521" s="31">
        <f t="shared" si="225"/>
        <v>0</v>
      </c>
      <c r="J2521" s="31">
        <f t="shared" si="226"/>
        <v>0</v>
      </c>
      <c r="M2521" s="33">
        <f t="shared" si="222"/>
        <v>0</v>
      </c>
      <c r="N2521" s="33"/>
    </row>
    <row r="2522" spans="7:14" ht="16.5" customHeight="1">
      <c r="G2522" s="30">
        <f t="shared" si="223"/>
        <v>0</v>
      </c>
      <c r="H2522" s="31">
        <f t="shared" si="224"/>
        <v>0</v>
      </c>
      <c r="I2522" s="31">
        <f t="shared" si="225"/>
        <v>0</v>
      </c>
      <c r="J2522" s="31">
        <f t="shared" si="226"/>
        <v>0</v>
      </c>
      <c r="M2522" s="33">
        <f t="shared" si="222"/>
        <v>0</v>
      </c>
      <c r="N2522" s="33"/>
    </row>
    <row r="2523" spans="7:14" ht="16.5" customHeight="1">
      <c r="G2523" s="30">
        <f t="shared" si="223"/>
        <v>0</v>
      </c>
      <c r="H2523" s="31">
        <f t="shared" si="224"/>
        <v>0</v>
      </c>
      <c r="I2523" s="31">
        <f t="shared" si="225"/>
        <v>0</v>
      </c>
      <c r="J2523" s="31">
        <f t="shared" si="226"/>
        <v>0</v>
      </c>
      <c r="M2523" s="33">
        <f t="shared" si="222"/>
        <v>0</v>
      </c>
      <c r="N2523" s="33"/>
    </row>
    <row r="2524" spans="7:14" ht="16.5" customHeight="1">
      <c r="G2524" s="30">
        <f t="shared" si="223"/>
        <v>0</v>
      </c>
      <c r="H2524" s="31">
        <f t="shared" si="224"/>
        <v>0</v>
      </c>
      <c r="I2524" s="31">
        <f t="shared" si="225"/>
        <v>0</v>
      </c>
      <c r="J2524" s="31">
        <f t="shared" si="226"/>
        <v>0</v>
      </c>
      <c r="M2524" s="33">
        <f t="shared" si="222"/>
        <v>0</v>
      </c>
      <c r="N2524" s="33"/>
    </row>
    <row r="2525" spans="7:14" ht="16.5" customHeight="1">
      <c r="G2525" s="30">
        <f t="shared" si="223"/>
        <v>0</v>
      </c>
      <c r="H2525" s="31">
        <f t="shared" si="224"/>
        <v>0</v>
      </c>
      <c r="I2525" s="31">
        <f t="shared" si="225"/>
        <v>0</v>
      </c>
      <c r="J2525" s="31">
        <f t="shared" si="226"/>
        <v>0</v>
      </c>
      <c r="M2525" s="33">
        <f t="shared" si="222"/>
        <v>0</v>
      </c>
      <c r="N2525" s="33"/>
    </row>
    <row r="2526" spans="7:14" ht="16.5" customHeight="1">
      <c r="G2526" s="30">
        <f t="shared" si="223"/>
        <v>0</v>
      </c>
      <c r="H2526" s="31">
        <f t="shared" si="224"/>
        <v>0</v>
      </c>
      <c r="I2526" s="31">
        <f t="shared" si="225"/>
        <v>0</v>
      </c>
      <c r="J2526" s="31">
        <f t="shared" si="226"/>
        <v>0</v>
      </c>
      <c r="M2526" s="33">
        <f t="shared" si="222"/>
        <v>0</v>
      </c>
      <c r="N2526" s="33"/>
    </row>
    <row r="2527" spans="7:14" ht="16.5" customHeight="1">
      <c r="G2527" s="30">
        <f t="shared" si="223"/>
        <v>0</v>
      </c>
      <c r="H2527" s="31">
        <f t="shared" si="224"/>
        <v>0</v>
      </c>
      <c r="I2527" s="31">
        <f t="shared" si="225"/>
        <v>0</v>
      </c>
      <c r="J2527" s="31">
        <f t="shared" si="226"/>
        <v>0</v>
      </c>
      <c r="M2527" s="33">
        <f t="shared" si="222"/>
        <v>0</v>
      </c>
      <c r="N2527" s="33"/>
    </row>
    <row r="2528" spans="7:14" ht="16.5" customHeight="1">
      <c r="G2528" s="30">
        <f t="shared" si="223"/>
        <v>0</v>
      </c>
      <c r="H2528" s="31">
        <f t="shared" si="224"/>
        <v>0</v>
      </c>
      <c r="I2528" s="31">
        <f t="shared" si="225"/>
        <v>0</v>
      </c>
      <c r="J2528" s="31">
        <f t="shared" si="226"/>
        <v>0</v>
      </c>
      <c r="M2528" s="33">
        <f t="shared" si="222"/>
        <v>0</v>
      </c>
      <c r="N2528" s="33"/>
    </row>
    <row r="2529" spans="7:14" ht="16.5" customHeight="1">
      <c r="G2529" s="30">
        <f t="shared" si="223"/>
        <v>0</v>
      </c>
      <c r="H2529" s="31">
        <f t="shared" si="224"/>
        <v>0</v>
      </c>
      <c r="I2529" s="31">
        <f t="shared" si="225"/>
        <v>0</v>
      </c>
      <c r="J2529" s="31">
        <f t="shared" si="226"/>
        <v>0</v>
      </c>
      <c r="M2529" s="33">
        <f t="shared" si="222"/>
        <v>0</v>
      </c>
      <c r="N2529" s="33"/>
    </row>
    <row r="2530" spans="7:14" ht="16.5" customHeight="1">
      <c r="G2530" s="30">
        <f t="shared" si="223"/>
        <v>0</v>
      </c>
      <c r="H2530" s="31">
        <f t="shared" si="224"/>
        <v>0</v>
      </c>
      <c r="I2530" s="31">
        <f t="shared" si="225"/>
        <v>0</v>
      </c>
      <c r="J2530" s="31">
        <f t="shared" si="226"/>
        <v>0</v>
      </c>
      <c r="M2530" s="33">
        <f t="shared" si="222"/>
        <v>0</v>
      </c>
      <c r="N2530" s="33"/>
    </row>
    <row r="2531" spans="7:14" ht="16.5" customHeight="1">
      <c r="G2531" s="30">
        <f t="shared" si="223"/>
        <v>0</v>
      </c>
      <c r="H2531" s="31">
        <f t="shared" si="224"/>
        <v>0</v>
      </c>
      <c r="I2531" s="31">
        <f t="shared" si="225"/>
        <v>0</v>
      </c>
      <c r="J2531" s="31">
        <f t="shared" si="226"/>
        <v>0</v>
      </c>
      <c r="M2531" s="33">
        <f t="shared" si="222"/>
        <v>0</v>
      </c>
      <c r="N2531" s="33"/>
    </row>
    <row r="2532" spans="7:14" ht="16.5" customHeight="1">
      <c r="G2532" s="30">
        <f t="shared" si="223"/>
        <v>0</v>
      </c>
      <c r="H2532" s="31">
        <f t="shared" si="224"/>
        <v>0</v>
      </c>
      <c r="I2532" s="31">
        <f t="shared" si="225"/>
        <v>0</v>
      </c>
      <c r="J2532" s="31">
        <f t="shared" si="226"/>
        <v>0</v>
      </c>
      <c r="M2532" s="33">
        <f t="shared" si="222"/>
        <v>0</v>
      </c>
      <c r="N2532" s="33"/>
    </row>
    <row r="2533" spans="7:14" ht="16.5" customHeight="1">
      <c r="G2533" s="30">
        <f t="shared" si="223"/>
        <v>0</v>
      </c>
      <c r="H2533" s="31">
        <f t="shared" si="224"/>
        <v>0</v>
      </c>
      <c r="I2533" s="31">
        <f t="shared" si="225"/>
        <v>0</v>
      </c>
      <c r="J2533" s="31">
        <f t="shared" si="226"/>
        <v>0</v>
      </c>
      <c r="M2533" s="33">
        <f t="shared" si="222"/>
        <v>0</v>
      </c>
      <c r="N2533" s="33"/>
    </row>
    <row r="2534" spans="7:14" ht="16.5" customHeight="1">
      <c r="G2534" s="30">
        <f t="shared" si="223"/>
        <v>0</v>
      </c>
      <c r="H2534" s="31">
        <f t="shared" si="224"/>
        <v>0</v>
      </c>
      <c r="I2534" s="31">
        <f t="shared" si="225"/>
        <v>0</v>
      </c>
      <c r="J2534" s="31">
        <f t="shared" si="226"/>
        <v>0</v>
      </c>
      <c r="M2534" s="33">
        <f t="shared" si="222"/>
        <v>0</v>
      </c>
      <c r="N2534" s="33"/>
    </row>
    <row r="2535" spans="7:14" ht="16.5" customHeight="1">
      <c r="G2535" s="30">
        <f t="shared" si="223"/>
        <v>0</v>
      </c>
      <c r="H2535" s="31">
        <f t="shared" si="224"/>
        <v>0</v>
      </c>
      <c r="I2535" s="31">
        <f t="shared" si="225"/>
        <v>0</v>
      </c>
      <c r="J2535" s="31">
        <f t="shared" si="226"/>
        <v>0</v>
      </c>
      <c r="M2535" s="33">
        <f t="shared" si="222"/>
        <v>0</v>
      </c>
      <c r="N2535" s="33"/>
    </row>
    <row r="2536" spans="7:14" ht="16.5" customHeight="1">
      <c r="G2536" s="30">
        <f t="shared" si="223"/>
        <v>0</v>
      </c>
      <c r="H2536" s="31">
        <f t="shared" si="224"/>
        <v>0</v>
      </c>
      <c r="I2536" s="31">
        <f t="shared" si="225"/>
        <v>0</v>
      </c>
      <c r="J2536" s="31">
        <f t="shared" si="226"/>
        <v>0</v>
      </c>
      <c r="M2536" s="33">
        <f t="shared" si="222"/>
        <v>0</v>
      </c>
      <c r="N2536" s="33"/>
    </row>
    <row r="2537" spans="7:14" ht="16.5" customHeight="1">
      <c r="G2537" s="30">
        <f t="shared" si="223"/>
        <v>0</v>
      </c>
      <c r="H2537" s="31">
        <f t="shared" si="224"/>
        <v>0</v>
      </c>
      <c r="I2537" s="31">
        <f t="shared" si="225"/>
        <v>0</v>
      </c>
      <c r="J2537" s="31">
        <f t="shared" si="226"/>
        <v>0</v>
      </c>
      <c r="M2537" s="33">
        <f t="shared" si="222"/>
        <v>0</v>
      </c>
      <c r="N2537" s="33"/>
    </row>
    <row r="2538" spans="7:14" ht="16.5" customHeight="1">
      <c r="G2538" s="30">
        <f t="shared" si="223"/>
        <v>0</v>
      </c>
      <c r="H2538" s="31">
        <f t="shared" si="224"/>
        <v>0</v>
      </c>
      <c r="I2538" s="31">
        <f t="shared" si="225"/>
        <v>0</v>
      </c>
      <c r="J2538" s="31">
        <f t="shared" si="226"/>
        <v>0</v>
      </c>
      <c r="M2538" s="33">
        <f t="shared" si="222"/>
        <v>0</v>
      </c>
      <c r="N2538" s="33"/>
    </row>
    <row r="2539" spans="7:14" ht="16.5" customHeight="1">
      <c r="G2539" s="30">
        <f t="shared" si="223"/>
        <v>0</v>
      </c>
      <c r="H2539" s="31">
        <f t="shared" si="224"/>
        <v>0</v>
      </c>
      <c r="I2539" s="31">
        <f t="shared" si="225"/>
        <v>0</v>
      </c>
      <c r="J2539" s="31">
        <f t="shared" si="226"/>
        <v>0</v>
      </c>
      <c r="M2539" s="33">
        <f t="shared" si="222"/>
        <v>0</v>
      </c>
      <c r="N2539" s="33"/>
    </row>
    <row r="2540" spans="7:14" ht="16.5" customHeight="1">
      <c r="G2540" s="30">
        <f t="shared" si="223"/>
        <v>0</v>
      </c>
      <c r="H2540" s="31">
        <f t="shared" si="224"/>
        <v>0</v>
      </c>
      <c r="I2540" s="31">
        <f t="shared" si="225"/>
        <v>0</v>
      </c>
      <c r="J2540" s="31">
        <f t="shared" si="226"/>
        <v>0</v>
      </c>
      <c r="M2540" s="33">
        <f t="shared" si="222"/>
        <v>0</v>
      </c>
      <c r="N2540" s="33"/>
    </row>
    <row r="2541" spans="7:14" ht="16.5" customHeight="1">
      <c r="G2541" s="30">
        <f t="shared" si="223"/>
        <v>0</v>
      </c>
      <c r="H2541" s="31">
        <f t="shared" si="224"/>
        <v>0</v>
      </c>
      <c r="I2541" s="31">
        <f t="shared" si="225"/>
        <v>0</v>
      </c>
      <c r="J2541" s="31">
        <f t="shared" si="226"/>
        <v>0</v>
      </c>
      <c r="M2541" s="33">
        <f t="shared" si="222"/>
        <v>0</v>
      </c>
      <c r="N2541" s="33"/>
    </row>
    <row r="2542" spans="7:14" ht="16.5" customHeight="1">
      <c r="G2542" s="30">
        <f t="shared" si="223"/>
        <v>0</v>
      </c>
      <c r="H2542" s="31">
        <f t="shared" si="224"/>
        <v>0</v>
      </c>
      <c r="I2542" s="31">
        <f t="shared" si="225"/>
        <v>0</v>
      </c>
      <c r="J2542" s="31">
        <f t="shared" si="226"/>
        <v>0</v>
      </c>
      <c r="M2542" s="33">
        <f t="shared" si="222"/>
        <v>0</v>
      </c>
      <c r="N2542" s="33"/>
    </row>
    <row r="2543" spans="7:14" ht="16.5" customHeight="1">
      <c r="G2543" s="30">
        <f t="shared" si="223"/>
        <v>0</v>
      </c>
      <c r="H2543" s="31">
        <f t="shared" si="224"/>
        <v>0</v>
      </c>
      <c r="I2543" s="31">
        <f t="shared" si="225"/>
        <v>0</v>
      </c>
      <c r="J2543" s="31">
        <f t="shared" si="226"/>
        <v>0</v>
      </c>
      <c r="M2543" s="33">
        <f t="shared" si="222"/>
        <v>0</v>
      </c>
      <c r="N2543" s="33"/>
    </row>
    <row r="2544" spans="7:14" ht="16.5" customHeight="1">
      <c r="G2544" s="30">
        <f t="shared" si="223"/>
        <v>0</v>
      </c>
      <c r="H2544" s="31">
        <f t="shared" si="224"/>
        <v>0</v>
      </c>
      <c r="I2544" s="31">
        <f t="shared" si="225"/>
        <v>0</v>
      </c>
      <c r="J2544" s="31">
        <f t="shared" si="226"/>
        <v>0</v>
      </c>
      <c r="M2544" s="33">
        <f t="shared" si="222"/>
        <v>0</v>
      </c>
      <c r="N2544" s="33"/>
    </row>
    <row r="2545" spans="7:14" ht="16.5" customHeight="1">
      <c r="G2545" s="30">
        <f t="shared" si="223"/>
        <v>0</v>
      </c>
      <c r="H2545" s="31">
        <f t="shared" si="224"/>
        <v>0</v>
      </c>
      <c r="I2545" s="31">
        <f t="shared" si="225"/>
        <v>0</v>
      </c>
      <c r="J2545" s="31">
        <f t="shared" si="226"/>
        <v>0</v>
      </c>
      <c r="M2545" s="33">
        <f t="shared" si="222"/>
        <v>0</v>
      </c>
      <c r="N2545" s="33"/>
    </row>
    <row r="2546" spans="7:14" ht="16.5" customHeight="1">
      <c r="G2546" s="30">
        <f t="shared" si="223"/>
        <v>0</v>
      </c>
      <c r="H2546" s="31">
        <f t="shared" si="224"/>
        <v>0</v>
      </c>
      <c r="I2546" s="31">
        <f t="shared" si="225"/>
        <v>0</v>
      </c>
      <c r="J2546" s="31">
        <f t="shared" si="226"/>
        <v>0</v>
      </c>
      <c r="M2546" s="33">
        <f t="shared" si="222"/>
        <v>0</v>
      </c>
      <c r="N2546" s="33"/>
    </row>
    <row r="2547" spans="7:14" ht="16.5" customHeight="1">
      <c r="G2547" s="30">
        <f t="shared" si="223"/>
        <v>0</v>
      </c>
      <c r="H2547" s="31">
        <f t="shared" si="224"/>
        <v>0</v>
      </c>
      <c r="I2547" s="31">
        <f t="shared" si="225"/>
        <v>0</v>
      </c>
      <c r="J2547" s="31">
        <f t="shared" si="226"/>
        <v>0</v>
      </c>
      <c r="M2547" s="33">
        <f t="shared" si="222"/>
        <v>0</v>
      </c>
      <c r="N2547" s="33"/>
    </row>
    <row r="2548" spans="7:14" ht="16.5" customHeight="1">
      <c r="G2548" s="30">
        <f t="shared" si="223"/>
        <v>0</v>
      </c>
      <c r="H2548" s="31">
        <f t="shared" si="224"/>
        <v>0</v>
      </c>
      <c r="I2548" s="31">
        <f t="shared" si="225"/>
        <v>0</v>
      </c>
      <c r="J2548" s="31">
        <f t="shared" si="226"/>
        <v>0</v>
      </c>
      <c r="M2548" s="33">
        <f t="shared" si="222"/>
        <v>0</v>
      </c>
      <c r="N2548" s="33"/>
    </row>
    <row r="2549" spans="7:14" ht="16.5" customHeight="1">
      <c r="G2549" s="30">
        <f t="shared" si="223"/>
        <v>0</v>
      </c>
      <c r="H2549" s="31">
        <f t="shared" si="224"/>
        <v>0</v>
      </c>
      <c r="I2549" s="31">
        <f t="shared" si="225"/>
        <v>0</v>
      </c>
      <c r="J2549" s="31">
        <f t="shared" si="226"/>
        <v>0</v>
      </c>
      <c r="M2549" s="33">
        <f t="shared" si="222"/>
        <v>0</v>
      </c>
      <c r="N2549" s="33"/>
    </row>
    <row r="2550" spans="7:14" ht="16.5" customHeight="1">
      <c r="G2550" s="30">
        <f t="shared" si="223"/>
        <v>0</v>
      </c>
      <c r="H2550" s="31">
        <f t="shared" si="224"/>
        <v>0</v>
      </c>
      <c r="I2550" s="31">
        <f t="shared" si="225"/>
        <v>0</v>
      </c>
      <c r="J2550" s="31">
        <f t="shared" si="226"/>
        <v>0</v>
      </c>
      <c r="M2550" s="33">
        <f t="shared" si="222"/>
        <v>0</v>
      </c>
      <c r="N2550" s="33"/>
    </row>
    <row r="2551" spans="7:14" ht="16.5" customHeight="1">
      <c r="G2551" s="30">
        <f t="shared" si="223"/>
        <v>0</v>
      </c>
      <c r="H2551" s="31">
        <f t="shared" si="224"/>
        <v>0</v>
      </c>
      <c r="I2551" s="31">
        <f t="shared" si="225"/>
        <v>0</v>
      </c>
      <c r="J2551" s="31">
        <f t="shared" si="226"/>
        <v>0</v>
      </c>
      <c r="M2551" s="33">
        <f t="shared" si="222"/>
        <v>0</v>
      </c>
      <c r="N2551" s="33"/>
    </row>
    <row r="2552" spans="7:14" ht="16.5" customHeight="1">
      <c r="G2552" s="30">
        <f t="shared" si="223"/>
        <v>0</v>
      </c>
      <c r="H2552" s="31">
        <f t="shared" si="224"/>
        <v>0</v>
      </c>
      <c r="I2552" s="31">
        <f t="shared" si="225"/>
        <v>0</v>
      </c>
      <c r="J2552" s="31">
        <f t="shared" si="226"/>
        <v>0</v>
      </c>
      <c r="M2552" s="33">
        <f t="shared" si="222"/>
        <v>0</v>
      </c>
      <c r="N2552" s="33"/>
    </row>
    <row r="2553" spans="7:14" ht="16.5" customHeight="1">
      <c r="G2553" s="30">
        <f t="shared" si="223"/>
        <v>0</v>
      </c>
      <c r="H2553" s="31">
        <f t="shared" si="224"/>
        <v>0</v>
      </c>
      <c r="I2553" s="31">
        <f t="shared" si="225"/>
        <v>0</v>
      </c>
      <c r="J2553" s="31">
        <f t="shared" si="226"/>
        <v>0</v>
      </c>
      <c r="M2553" s="33">
        <f t="shared" si="222"/>
        <v>0</v>
      </c>
      <c r="N2553" s="33"/>
    </row>
    <row r="2554" spans="7:14" ht="16.5" customHeight="1">
      <c r="G2554" s="30">
        <f t="shared" si="223"/>
        <v>0</v>
      </c>
      <c r="H2554" s="31">
        <f t="shared" si="224"/>
        <v>0</v>
      </c>
      <c r="I2554" s="31">
        <f t="shared" si="225"/>
        <v>0</v>
      </c>
      <c r="J2554" s="31">
        <f t="shared" si="226"/>
        <v>0</v>
      </c>
      <c r="M2554" s="33">
        <f t="shared" si="222"/>
        <v>0</v>
      </c>
      <c r="N2554" s="33"/>
    </row>
    <row r="2555" spans="7:14" ht="16.5" customHeight="1">
      <c r="G2555" s="30">
        <f t="shared" si="223"/>
        <v>0</v>
      </c>
      <c r="H2555" s="31">
        <f t="shared" si="224"/>
        <v>0</v>
      </c>
      <c r="I2555" s="31">
        <f t="shared" si="225"/>
        <v>0</v>
      </c>
      <c r="J2555" s="31">
        <f t="shared" si="226"/>
        <v>0</v>
      </c>
      <c r="M2555" s="33">
        <f t="shared" si="222"/>
        <v>0</v>
      </c>
      <c r="N2555" s="33"/>
    </row>
    <row r="2556" spans="7:14" ht="16.5" customHeight="1">
      <c r="G2556" s="30">
        <f t="shared" si="223"/>
        <v>0</v>
      </c>
      <c r="H2556" s="31">
        <f t="shared" si="224"/>
        <v>0</v>
      </c>
      <c r="I2556" s="31">
        <f t="shared" si="225"/>
        <v>0</v>
      </c>
      <c r="J2556" s="31">
        <f t="shared" si="226"/>
        <v>0</v>
      </c>
      <c r="M2556" s="33">
        <f t="shared" si="222"/>
        <v>0</v>
      </c>
      <c r="N2556" s="33"/>
    </row>
    <row r="2557" spans="7:14" ht="16.5" customHeight="1">
      <c r="G2557" s="30">
        <f t="shared" si="223"/>
        <v>0</v>
      </c>
      <c r="H2557" s="31">
        <f t="shared" si="224"/>
        <v>0</v>
      </c>
      <c r="I2557" s="31">
        <f t="shared" si="225"/>
        <v>0</v>
      </c>
      <c r="J2557" s="31">
        <f t="shared" si="226"/>
        <v>0</v>
      </c>
      <c r="M2557" s="33">
        <f t="shared" si="222"/>
        <v>0</v>
      </c>
      <c r="N2557" s="33"/>
    </row>
    <row r="2558" spans="7:14" ht="16.5" customHeight="1">
      <c r="G2558" s="30">
        <f t="shared" si="223"/>
        <v>0</v>
      </c>
      <c r="H2558" s="31">
        <f t="shared" si="224"/>
        <v>0</v>
      </c>
      <c r="I2558" s="31">
        <f t="shared" si="225"/>
        <v>0</v>
      </c>
      <c r="J2558" s="31">
        <f t="shared" si="226"/>
        <v>0</v>
      </c>
      <c r="M2558" s="33">
        <f t="shared" ref="M2558:M2621" si="227">IF(P2558="TL tuyệt đối",0, IF(K2558&lt;5,0,IF(K2558&lt;50,K2558*9%,IF(K2558&lt;100,4.5,IF(K2558&lt;200,4.5%*K2558,IF(K2558&lt;300,9,IF(K2558&lt;500,K2558*3%,IF(K2558&lt;1000,15,))))))))</f>
        <v>0</v>
      </c>
      <c r="N2558" s="33"/>
    </row>
    <row r="2559" spans="7:14" ht="16.5" customHeight="1">
      <c r="G2559" s="30">
        <f t="shared" si="223"/>
        <v>0</v>
      </c>
      <c r="H2559" s="31">
        <f t="shared" si="224"/>
        <v>0</v>
      </c>
      <c r="I2559" s="31">
        <f t="shared" si="225"/>
        <v>0</v>
      </c>
      <c r="J2559" s="31">
        <f t="shared" si="226"/>
        <v>0</v>
      </c>
      <c r="M2559" s="33">
        <f t="shared" si="227"/>
        <v>0</v>
      </c>
      <c r="N2559" s="33"/>
    </row>
    <row r="2560" spans="7:14" ht="16.5" customHeight="1">
      <c r="G2560" s="30">
        <f t="shared" ref="G2560:G2623" si="228">IF(P2560="TL tuyệt đối",K2560*103%,K2560+1/3*M2560)</f>
        <v>0</v>
      </c>
      <c r="H2560" s="31">
        <f t="shared" ref="H2560:H2623" si="229">IF(P2560="TL tuyệt đối",K2560*101%,K2560-1/3*M2560)</f>
        <v>0</v>
      </c>
      <c r="I2560" s="31">
        <f t="shared" ref="I2560:I2623" si="230">IF(P2560="TL tuyệt đối", K2560*105%,K2560+M2560)</f>
        <v>0</v>
      </c>
      <c r="J2560" s="31">
        <f t="shared" si="226"/>
        <v>0</v>
      </c>
      <c r="M2560" s="33">
        <f t="shared" si="227"/>
        <v>0</v>
      </c>
      <c r="N2560" s="33"/>
    </row>
    <row r="2561" spans="7:14" ht="16.5" customHeight="1">
      <c r="G2561" s="30">
        <f t="shared" si="228"/>
        <v>0</v>
      </c>
      <c r="H2561" s="31">
        <f t="shared" si="229"/>
        <v>0</v>
      </c>
      <c r="I2561" s="31">
        <f t="shared" si="230"/>
        <v>0</v>
      </c>
      <c r="J2561" s="31">
        <f t="shared" si="226"/>
        <v>0</v>
      </c>
      <c r="M2561" s="33">
        <f t="shared" si="227"/>
        <v>0</v>
      </c>
      <c r="N2561" s="33"/>
    </row>
    <row r="2562" spans="7:14" ht="16.5" customHeight="1">
      <c r="G2562" s="30">
        <f t="shared" si="228"/>
        <v>0</v>
      </c>
      <c r="H2562" s="31">
        <f t="shared" si="229"/>
        <v>0</v>
      </c>
      <c r="I2562" s="31">
        <f t="shared" si="230"/>
        <v>0</v>
      </c>
      <c r="J2562" s="31">
        <f t="shared" si="226"/>
        <v>0</v>
      </c>
      <c r="M2562" s="33">
        <f t="shared" si="227"/>
        <v>0</v>
      </c>
      <c r="N2562" s="33"/>
    </row>
    <row r="2563" spans="7:14" ht="16.5" customHeight="1">
      <c r="G2563" s="30">
        <f t="shared" si="228"/>
        <v>0</v>
      </c>
      <c r="H2563" s="31">
        <f t="shared" si="229"/>
        <v>0</v>
      </c>
      <c r="I2563" s="31">
        <f t="shared" si="230"/>
        <v>0</v>
      </c>
      <c r="J2563" s="31">
        <f t="shared" si="226"/>
        <v>0</v>
      </c>
      <c r="M2563" s="33">
        <f t="shared" si="227"/>
        <v>0</v>
      </c>
      <c r="N2563" s="33"/>
    </row>
    <row r="2564" spans="7:14" ht="16.5" customHeight="1">
      <c r="G2564" s="30">
        <f t="shared" si="228"/>
        <v>0</v>
      </c>
      <c r="H2564" s="31">
        <f t="shared" si="229"/>
        <v>0</v>
      </c>
      <c r="I2564" s="31">
        <f t="shared" si="230"/>
        <v>0</v>
      </c>
      <c r="J2564" s="31">
        <f t="shared" ref="J2564:J2627" si="231">K2564-M2564</f>
        <v>0</v>
      </c>
      <c r="M2564" s="33">
        <f t="shared" si="227"/>
        <v>0</v>
      </c>
      <c r="N2564" s="33"/>
    </row>
    <row r="2565" spans="7:14" ht="16.5" customHeight="1">
      <c r="G2565" s="30">
        <f t="shared" si="228"/>
        <v>0</v>
      </c>
      <c r="H2565" s="31">
        <f t="shared" si="229"/>
        <v>0</v>
      </c>
      <c r="I2565" s="31">
        <f t="shared" si="230"/>
        <v>0</v>
      </c>
      <c r="J2565" s="31">
        <f t="shared" si="231"/>
        <v>0</v>
      </c>
      <c r="M2565" s="33">
        <f t="shared" si="227"/>
        <v>0</v>
      </c>
      <c r="N2565" s="33"/>
    </row>
    <row r="2566" spans="7:14" ht="16.5" customHeight="1">
      <c r="G2566" s="30">
        <f t="shared" si="228"/>
        <v>0</v>
      </c>
      <c r="H2566" s="31">
        <f t="shared" si="229"/>
        <v>0</v>
      </c>
      <c r="I2566" s="31">
        <f t="shared" si="230"/>
        <v>0</v>
      </c>
      <c r="J2566" s="31">
        <f t="shared" si="231"/>
        <v>0</v>
      </c>
      <c r="M2566" s="33">
        <f t="shared" si="227"/>
        <v>0</v>
      </c>
      <c r="N2566" s="33"/>
    </row>
    <row r="2567" spans="7:14" ht="16.5" customHeight="1">
      <c r="G2567" s="30">
        <f t="shared" si="228"/>
        <v>0</v>
      </c>
      <c r="H2567" s="31">
        <f t="shared" si="229"/>
        <v>0</v>
      </c>
      <c r="I2567" s="31">
        <f t="shared" si="230"/>
        <v>0</v>
      </c>
      <c r="J2567" s="31">
        <f t="shared" si="231"/>
        <v>0</v>
      </c>
      <c r="M2567" s="33">
        <f t="shared" si="227"/>
        <v>0</v>
      </c>
      <c r="N2567" s="33"/>
    </row>
    <row r="2568" spans="7:14" ht="16.5" customHeight="1">
      <c r="G2568" s="30">
        <f t="shared" si="228"/>
        <v>0</v>
      </c>
      <c r="H2568" s="31">
        <f t="shared" si="229"/>
        <v>0</v>
      </c>
      <c r="I2568" s="31">
        <f t="shared" si="230"/>
        <v>0</v>
      </c>
      <c r="J2568" s="31">
        <f t="shared" si="231"/>
        <v>0</v>
      </c>
      <c r="M2568" s="33">
        <f t="shared" si="227"/>
        <v>0</v>
      </c>
      <c r="N2568" s="33"/>
    </row>
    <row r="2569" spans="7:14" ht="16.5" customHeight="1">
      <c r="G2569" s="30">
        <f t="shared" si="228"/>
        <v>0</v>
      </c>
      <c r="H2569" s="31">
        <f t="shared" si="229"/>
        <v>0</v>
      </c>
      <c r="I2569" s="31">
        <f t="shared" si="230"/>
        <v>0</v>
      </c>
      <c r="J2569" s="31">
        <f t="shared" si="231"/>
        <v>0</v>
      </c>
      <c r="M2569" s="33">
        <f t="shared" si="227"/>
        <v>0</v>
      </c>
      <c r="N2569" s="33"/>
    </row>
    <row r="2570" spans="7:14" ht="16.5" customHeight="1">
      <c r="G2570" s="30">
        <f t="shared" si="228"/>
        <v>0</v>
      </c>
      <c r="H2570" s="31">
        <f t="shared" si="229"/>
        <v>0</v>
      </c>
      <c r="I2570" s="31">
        <f t="shared" si="230"/>
        <v>0</v>
      </c>
      <c r="J2570" s="31">
        <f t="shared" si="231"/>
        <v>0</v>
      </c>
      <c r="M2570" s="33">
        <f t="shared" si="227"/>
        <v>0</v>
      </c>
      <c r="N2570" s="33"/>
    </row>
    <row r="2571" spans="7:14" ht="16.5" customHeight="1">
      <c r="G2571" s="30">
        <f t="shared" si="228"/>
        <v>0</v>
      </c>
      <c r="H2571" s="31">
        <f t="shared" si="229"/>
        <v>0</v>
      </c>
      <c r="I2571" s="31">
        <f t="shared" si="230"/>
        <v>0</v>
      </c>
      <c r="J2571" s="31">
        <f t="shared" si="231"/>
        <v>0</v>
      </c>
      <c r="M2571" s="33">
        <f t="shared" si="227"/>
        <v>0</v>
      </c>
      <c r="N2571" s="33"/>
    </row>
    <row r="2572" spans="7:14" ht="16.5" customHeight="1">
      <c r="G2572" s="30">
        <f t="shared" si="228"/>
        <v>0</v>
      </c>
      <c r="H2572" s="31">
        <f t="shared" si="229"/>
        <v>0</v>
      </c>
      <c r="I2572" s="31">
        <f t="shared" si="230"/>
        <v>0</v>
      </c>
      <c r="J2572" s="31">
        <f t="shared" si="231"/>
        <v>0</v>
      </c>
      <c r="M2572" s="33">
        <f t="shared" si="227"/>
        <v>0</v>
      </c>
      <c r="N2572" s="33"/>
    </row>
    <row r="2573" spans="7:14" ht="16.5" customHeight="1">
      <c r="G2573" s="30">
        <f t="shared" si="228"/>
        <v>0</v>
      </c>
      <c r="H2573" s="31">
        <f t="shared" si="229"/>
        <v>0</v>
      </c>
      <c r="I2573" s="31">
        <f t="shared" si="230"/>
        <v>0</v>
      </c>
      <c r="J2573" s="31">
        <f t="shared" si="231"/>
        <v>0</v>
      </c>
      <c r="M2573" s="33">
        <f t="shared" si="227"/>
        <v>0</v>
      </c>
      <c r="N2573" s="33"/>
    </row>
    <row r="2574" spans="7:14" ht="16.5" customHeight="1">
      <c r="G2574" s="30">
        <f t="shared" si="228"/>
        <v>0</v>
      </c>
      <c r="H2574" s="31">
        <f t="shared" si="229"/>
        <v>0</v>
      </c>
      <c r="I2574" s="31">
        <f t="shared" si="230"/>
        <v>0</v>
      </c>
      <c r="J2574" s="31">
        <f t="shared" si="231"/>
        <v>0</v>
      </c>
      <c r="M2574" s="33">
        <f t="shared" si="227"/>
        <v>0</v>
      </c>
      <c r="N2574" s="33"/>
    </row>
    <row r="2575" spans="7:14" ht="16.5" customHeight="1">
      <c r="G2575" s="30">
        <f t="shared" si="228"/>
        <v>0</v>
      </c>
      <c r="H2575" s="31">
        <f t="shared" si="229"/>
        <v>0</v>
      </c>
      <c r="I2575" s="31">
        <f t="shared" si="230"/>
        <v>0</v>
      </c>
      <c r="J2575" s="31">
        <f t="shared" si="231"/>
        <v>0</v>
      </c>
      <c r="M2575" s="33">
        <f t="shared" si="227"/>
        <v>0</v>
      </c>
      <c r="N2575" s="33"/>
    </row>
    <row r="2576" spans="7:14" ht="16.5" customHeight="1">
      <c r="G2576" s="30">
        <f t="shared" si="228"/>
        <v>0</v>
      </c>
      <c r="H2576" s="31">
        <f t="shared" si="229"/>
        <v>0</v>
      </c>
      <c r="I2576" s="31">
        <f t="shared" si="230"/>
        <v>0</v>
      </c>
      <c r="J2576" s="31">
        <f t="shared" si="231"/>
        <v>0</v>
      </c>
      <c r="M2576" s="33">
        <f t="shared" si="227"/>
        <v>0</v>
      </c>
      <c r="N2576" s="33"/>
    </row>
    <row r="2577" spans="7:14" ht="16.5" customHeight="1">
      <c r="G2577" s="30">
        <f t="shared" si="228"/>
        <v>0</v>
      </c>
      <c r="H2577" s="31">
        <f t="shared" si="229"/>
        <v>0</v>
      </c>
      <c r="I2577" s="31">
        <f t="shared" si="230"/>
        <v>0</v>
      </c>
      <c r="J2577" s="31">
        <f t="shared" si="231"/>
        <v>0</v>
      </c>
      <c r="M2577" s="33">
        <f t="shared" si="227"/>
        <v>0</v>
      </c>
      <c r="N2577" s="33"/>
    </row>
    <row r="2578" spans="7:14" ht="16.5" customHeight="1">
      <c r="G2578" s="30">
        <f t="shared" si="228"/>
        <v>0</v>
      </c>
      <c r="H2578" s="31">
        <f t="shared" si="229"/>
        <v>0</v>
      </c>
      <c r="I2578" s="31">
        <f t="shared" si="230"/>
        <v>0</v>
      </c>
      <c r="J2578" s="31">
        <f t="shared" si="231"/>
        <v>0</v>
      </c>
      <c r="M2578" s="33">
        <f t="shared" si="227"/>
        <v>0</v>
      </c>
      <c r="N2578" s="33"/>
    </row>
    <row r="2579" spans="7:14" ht="16.5" customHeight="1">
      <c r="G2579" s="30">
        <f t="shared" si="228"/>
        <v>0</v>
      </c>
      <c r="H2579" s="31">
        <f t="shared" si="229"/>
        <v>0</v>
      </c>
      <c r="I2579" s="31">
        <f t="shared" si="230"/>
        <v>0</v>
      </c>
      <c r="J2579" s="31">
        <f t="shared" si="231"/>
        <v>0</v>
      </c>
      <c r="M2579" s="33">
        <f t="shared" si="227"/>
        <v>0</v>
      </c>
      <c r="N2579" s="33"/>
    </row>
    <row r="2580" spans="7:14" ht="16.5" customHeight="1">
      <c r="G2580" s="30">
        <f t="shared" si="228"/>
        <v>0</v>
      </c>
      <c r="H2580" s="31">
        <f t="shared" si="229"/>
        <v>0</v>
      </c>
      <c r="I2580" s="31">
        <f t="shared" si="230"/>
        <v>0</v>
      </c>
      <c r="J2580" s="31">
        <f t="shared" si="231"/>
        <v>0</v>
      </c>
      <c r="M2580" s="33">
        <f t="shared" si="227"/>
        <v>0</v>
      </c>
      <c r="N2580" s="33"/>
    </row>
    <row r="2581" spans="7:14" ht="16.5" customHeight="1">
      <c r="G2581" s="30">
        <f t="shared" si="228"/>
        <v>0</v>
      </c>
      <c r="H2581" s="31">
        <f t="shared" si="229"/>
        <v>0</v>
      </c>
      <c r="I2581" s="31">
        <f t="shared" si="230"/>
        <v>0</v>
      </c>
      <c r="J2581" s="31">
        <f t="shared" si="231"/>
        <v>0</v>
      </c>
      <c r="M2581" s="33">
        <f t="shared" si="227"/>
        <v>0</v>
      </c>
      <c r="N2581" s="33"/>
    </row>
    <row r="2582" spans="7:14" ht="16.5" customHeight="1">
      <c r="G2582" s="30">
        <f t="shared" si="228"/>
        <v>0</v>
      </c>
      <c r="H2582" s="31">
        <f t="shared" si="229"/>
        <v>0</v>
      </c>
      <c r="I2582" s="31">
        <f t="shared" si="230"/>
        <v>0</v>
      </c>
      <c r="J2582" s="31">
        <f t="shared" si="231"/>
        <v>0</v>
      </c>
      <c r="M2582" s="33">
        <f t="shared" si="227"/>
        <v>0</v>
      </c>
      <c r="N2582" s="33"/>
    </row>
    <row r="2583" spans="7:14" ht="16.5" customHeight="1">
      <c r="G2583" s="30">
        <f t="shared" si="228"/>
        <v>0</v>
      </c>
      <c r="H2583" s="31">
        <f t="shared" si="229"/>
        <v>0</v>
      </c>
      <c r="I2583" s="31">
        <f t="shared" si="230"/>
        <v>0</v>
      </c>
      <c r="J2583" s="31">
        <f t="shared" si="231"/>
        <v>0</v>
      </c>
      <c r="M2583" s="33">
        <f t="shared" si="227"/>
        <v>0</v>
      </c>
      <c r="N2583" s="33"/>
    </row>
    <row r="2584" spans="7:14" ht="16.5" customHeight="1">
      <c r="G2584" s="30">
        <f t="shared" si="228"/>
        <v>0</v>
      </c>
      <c r="H2584" s="31">
        <f t="shared" si="229"/>
        <v>0</v>
      </c>
      <c r="I2584" s="31">
        <f t="shared" si="230"/>
        <v>0</v>
      </c>
      <c r="J2584" s="31">
        <f t="shared" si="231"/>
        <v>0</v>
      </c>
      <c r="M2584" s="33">
        <f t="shared" si="227"/>
        <v>0</v>
      </c>
      <c r="N2584" s="33"/>
    </row>
    <row r="2585" spans="7:14" ht="16.5" customHeight="1">
      <c r="G2585" s="30">
        <f t="shared" si="228"/>
        <v>0</v>
      </c>
      <c r="H2585" s="31">
        <f t="shared" si="229"/>
        <v>0</v>
      </c>
      <c r="I2585" s="31">
        <f t="shared" si="230"/>
        <v>0</v>
      </c>
      <c r="J2585" s="31">
        <f t="shared" si="231"/>
        <v>0</v>
      </c>
      <c r="M2585" s="33">
        <f t="shared" si="227"/>
        <v>0</v>
      </c>
      <c r="N2585" s="33"/>
    </row>
    <row r="2586" spans="7:14" ht="16.5" customHeight="1">
      <c r="G2586" s="30">
        <f t="shared" si="228"/>
        <v>0</v>
      </c>
      <c r="H2586" s="31">
        <f t="shared" si="229"/>
        <v>0</v>
      </c>
      <c r="I2586" s="31">
        <f t="shared" si="230"/>
        <v>0</v>
      </c>
      <c r="J2586" s="31">
        <f t="shared" si="231"/>
        <v>0</v>
      </c>
      <c r="M2586" s="33">
        <f t="shared" si="227"/>
        <v>0</v>
      </c>
      <c r="N2586" s="33"/>
    </row>
    <row r="2587" spans="7:14" ht="16.5" customHeight="1">
      <c r="G2587" s="30">
        <f t="shared" si="228"/>
        <v>0</v>
      </c>
      <c r="H2587" s="31">
        <f t="shared" si="229"/>
        <v>0</v>
      </c>
      <c r="I2587" s="31">
        <f t="shared" si="230"/>
        <v>0</v>
      </c>
      <c r="J2587" s="31">
        <f t="shared" si="231"/>
        <v>0</v>
      </c>
      <c r="M2587" s="33">
        <f t="shared" si="227"/>
        <v>0</v>
      </c>
      <c r="N2587" s="33"/>
    </row>
    <row r="2588" spans="7:14" ht="16.5" customHeight="1">
      <c r="G2588" s="30">
        <f t="shared" si="228"/>
        <v>0</v>
      </c>
      <c r="H2588" s="31">
        <f t="shared" si="229"/>
        <v>0</v>
      </c>
      <c r="I2588" s="31">
        <f t="shared" si="230"/>
        <v>0</v>
      </c>
      <c r="J2588" s="31">
        <f t="shared" si="231"/>
        <v>0</v>
      </c>
      <c r="M2588" s="33">
        <f t="shared" si="227"/>
        <v>0</v>
      </c>
      <c r="N2588" s="33"/>
    </row>
    <row r="2589" spans="7:14" ht="16.5" customHeight="1">
      <c r="G2589" s="30">
        <f t="shared" si="228"/>
        <v>0</v>
      </c>
      <c r="H2589" s="31">
        <f t="shared" si="229"/>
        <v>0</v>
      </c>
      <c r="I2589" s="31">
        <f t="shared" si="230"/>
        <v>0</v>
      </c>
      <c r="J2589" s="31">
        <f t="shared" si="231"/>
        <v>0</v>
      </c>
      <c r="M2589" s="33">
        <f t="shared" si="227"/>
        <v>0</v>
      </c>
      <c r="N2589" s="33"/>
    </row>
    <row r="2590" spans="7:14" ht="16.5" customHeight="1">
      <c r="G2590" s="30">
        <f t="shared" si="228"/>
        <v>0</v>
      </c>
      <c r="H2590" s="31">
        <f t="shared" si="229"/>
        <v>0</v>
      </c>
      <c r="I2590" s="31">
        <f t="shared" si="230"/>
        <v>0</v>
      </c>
      <c r="J2590" s="31">
        <f t="shared" si="231"/>
        <v>0</v>
      </c>
      <c r="M2590" s="33">
        <f t="shared" si="227"/>
        <v>0</v>
      </c>
      <c r="N2590" s="33"/>
    </row>
    <row r="2591" spans="7:14" ht="16.5" customHeight="1">
      <c r="G2591" s="30">
        <f t="shared" si="228"/>
        <v>0</v>
      </c>
      <c r="H2591" s="31">
        <f t="shared" si="229"/>
        <v>0</v>
      </c>
      <c r="I2591" s="31">
        <f t="shared" si="230"/>
        <v>0</v>
      </c>
      <c r="J2591" s="31">
        <f t="shared" si="231"/>
        <v>0</v>
      </c>
      <c r="M2591" s="33">
        <f t="shared" si="227"/>
        <v>0</v>
      </c>
      <c r="N2591" s="33"/>
    </row>
    <row r="2592" spans="7:14" ht="16.5" customHeight="1">
      <c r="G2592" s="30">
        <f t="shared" si="228"/>
        <v>0</v>
      </c>
      <c r="H2592" s="31">
        <f t="shared" si="229"/>
        <v>0</v>
      </c>
      <c r="I2592" s="31">
        <f t="shared" si="230"/>
        <v>0</v>
      </c>
      <c r="J2592" s="31">
        <f t="shared" si="231"/>
        <v>0</v>
      </c>
      <c r="M2592" s="33">
        <f t="shared" si="227"/>
        <v>0</v>
      </c>
      <c r="N2592" s="33"/>
    </row>
    <row r="2593" spans="7:14" ht="16.5" customHeight="1">
      <c r="G2593" s="30">
        <f t="shared" si="228"/>
        <v>0</v>
      </c>
      <c r="H2593" s="31">
        <f t="shared" si="229"/>
        <v>0</v>
      </c>
      <c r="I2593" s="31">
        <f t="shared" si="230"/>
        <v>0</v>
      </c>
      <c r="J2593" s="31">
        <f t="shared" si="231"/>
        <v>0</v>
      </c>
      <c r="M2593" s="33">
        <f t="shared" si="227"/>
        <v>0</v>
      </c>
      <c r="N2593" s="33"/>
    </row>
    <row r="2594" spans="7:14" ht="16.5" customHeight="1">
      <c r="G2594" s="30">
        <f t="shared" si="228"/>
        <v>0</v>
      </c>
      <c r="H2594" s="31">
        <f t="shared" si="229"/>
        <v>0</v>
      </c>
      <c r="I2594" s="31">
        <f t="shared" si="230"/>
        <v>0</v>
      </c>
      <c r="J2594" s="31">
        <f t="shared" si="231"/>
        <v>0</v>
      </c>
      <c r="M2594" s="33">
        <f t="shared" si="227"/>
        <v>0</v>
      </c>
      <c r="N2594" s="33"/>
    </row>
    <row r="2595" spans="7:14" ht="16.5" customHeight="1">
      <c r="G2595" s="30">
        <f t="shared" si="228"/>
        <v>0</v>
      </c>
      <c r="H2595" s="31">
        <f t="shared" si="229"/>
        <v>0</v>
      </c>
      <c r="I2595" s="31">
        <f t="shared" si="230"/>
        <v>0</v>
      </c>
      <c r="J2595" s="31">
        <f t="shared" si="231"/>
        <v>0</v>
      </c>
      <c r="M2595" s="33">
        <f t="shared" si="227"/>
        <v>0</v>
      </c>
      <c r="N2595" s="33"/>
    </row>
    <row r="2596" spans="7:14" ht="16.5" customHeight="1">
      <c r="G2596" s="30">
        <f t="shared" si="228"/>
        <v>0</v>
      </c>
      <c r="H2596" s="31">
        <f t="shared" si="229"/>
        <v>0</v>
      </c>
      <c r="I2596" s="31">
        <f t="shared" si="230"/>
        <v>0</v>
      </c>
      <c r="J2596" s="31">
        <f t="shared" si="231"/>
        <v>0</v>
      </c>
      <c r="M2596" s="33">
        <f t="shared" si="227"/>
        <v>0</v>
      </c>
      <c r="N2596" s="33"/>
    </row>
    <row r="2597" spans="7:14" ht="16.5" customHeight="1">
      <c r="G2597" s="30">
        <f t="shared" si="228"/>
        <v>0</v>
      </c>
      <c r="H2597" s="31">
        <f t="shared" si="229"/>
        <v>0</v>
      </c>
      <c r="I2597" s="31">
        <f t="shared" si="230"/>
        <v>0</v>
      </c>
      <c r="J2597" s="31">
        <f t="shared" si="231"/>
        <v>0</v>
      </c>
      <c r="M2597" s="33">
        <f t="shared" si="227"/>
        <v>0</v>
      </c>
      <c r="N2597" s="33"/>
    </row>
    <row r="2598" spans="7:14" ht="16.5" customHeight="1">
      <c r="G2598" s="30">
        <f t="shared" si="228"/>
        <v>0</v>
      </c>
      <c r="H2598" s="31">
        <f t="shared" si="229"/>
        <v>0</v>
      </c>
      <c r="I2598" s="31">
        <f t="shared" si="230"/>
        <v>0</v>
      </c>
      <c r="J2598" s="31">
        <f t="shared" si="231"/>
        <v>0</v>
      </c>
      <c r="M2598" s="33">
        <f t="shared" si="227"/>
        <v>0</v>
      </c>
      <c r="N2598" s="33"/>
    </row>
    <row r="2599" spans="7:14" ht="16.5" customHeight="1">
      <c r="G2599" s="30">
        <f t="shared" si="228"/>
        <v>0</v>
      </c>
      <c r="H2599" s="31">
        <f t="shared" si="229"/>
        <v>0</v>
      </c>
      <c r="I2599" s="31">
        <f t="shared" si="230"/>
        <v>0</v>
      </c>
      <c r="J2599" s="31">
        <f t="shared" si="231"/>
        <v>0</v>
      </c>
      <c r="M2599" s="33">
        <f t="shared" si="227"/>
        <v>0</v>
      </c>
      <c r="N2599" s="33"/>
    </row>
    <row r="2600" spans="7:14" ht="16.5" customHeight="1">
      <c r="G2600" s="30">
        <f t="shared" si="228"/>
        <v>0</v>
      </c>
      <c r="H2600" s="31">
        <f t="shared" si="229"/>
        <v>0</v>
      </c>
      <c r="I2600" s="31">
        <f t="shared" si="230"/>
        <v>0</v>
      </c>
      <c r="J2600" s="31">
        <f t="shared" si="231"/>
        <v>0</v>
      </c>
      <c r="M2600" s="33">
        <f t="shared" si="227"/>
        <v>0</v>
      </c>
      <c r="N2600" s="33"/>
    </row>
    <row r="2601" spans="7:14" ht="16.5" customHeight="1">
      <c r="G2601" s="30">
        <f t="shared" si="228"/>
        <v>0</v>
      </c>
      <c r="H2601" s="31">
        <f t="shared" si="229"/>
        <v>0</v>
      </c>
      <c r="I2601" s="31">
        <f t="shared" si="230"/>
        <v>0</v>
      </c>
      <c r="J2601" s="31">
        <f t="shared" si="231"/>
        <v>0</v>
      </c>
      <c r="M2601" s="33">
        <f t="shared" si="227"/>
        <v>0</v>
      </c>
      <c r="N2601" s="33"/>
    </row>
    <row r="2602" spans="7:14" ht="16.5" customHeight="1">
      <c r="G2602" s="30">
        <f t="shared" si="228"/>
        <v>0</v>
      </c>
      <c r="H2602" s="31">
        <f t="shared" si="229"/>
        <v>0</v>
      </c>
      <c r="I2602" s="31">
        <f t="shared" si="230"/>
        <v>0</v>
      </c>
      <c r="J2602" s="31">
        <f t="shared" si="231"/>
        <v>0</v>
      </c>
      <c r="M2602" s="33">
        <f t="shared" si="227"/>
        <v>0</v>
      </c>
      <c r="N2602" s="33"/>
    </row>
    <row r="2603" spans="7:14" ht="16.5" customHeight="1">
      <c r="G2603" s="30">
        <f t="shared" si="228"/>
        <v>0</v>
      </c>
      <c r="H2603" s="31">
        <f t="shared" si="229"/>
        <v>0</v>
      </c>
      <c r="I2603" s="31">
        <f t="shared" si="230"/>
        <v>0</v>
      </c>
      <c r="J2603" s="31">
        <f t="shared" si="231"/>
        <v>0</v>
      </c>
      <c r="M2603" s="33">
        <f t="shared" si="227"/>
        <v>0</v>
      </c>
      <c r="N2603" s="33"/>
    </row>
    <row r="2604" spans="7:14" ht="16.5" customHeight="1">
      <c r="G2604" s="30">
        <f t="shared" si="228"/>
        <v>0</v>
      </c>
      <c r="H2604" s="31">
        <f t="shared" si="229"/>
        <v>0</v>
      </c>
      <c r="I2604" s="31">
        <f t="shared" si="230"/>
        <v>0</v>
      </c>
      <c r="J2604" s="31">
        <f t="shared" si="231"/>
        <v>0</v>
      </c>
      <c r="M2604" s="33">
        <f t="shared" si="227"/>
        <v>0</v>
      </c>
      <c r="N2604" s="33"/>
    </row>
    <row r="2605" spans="7:14" ht="16.5" customHeight="1">
      <c r="G2605" s="30">
        <f t="shared" si="228"/>
        <v>0</v>
      </c>
      <c r="H2605" s="31">
        <f t="shared" si="229"/>
        <v>0</v>
      </c>
      <c r="I2605" s="31">
        <f t="shared" si="230"/>
        <v>0</v>
      </c>
      <c r="J2605" s="31">
        <f t="shared" si="231"/>
        <v>0</v>
      </c>
      <c r="M2605" s="33">
        <f t="shared" si="227"/>
        <v>0</v>
      </c>
      <c r="N2605" s="33"/>
    </row>
    <row r="2606" spans="7:14" ht="16.5" customHeight="1">
      <c r="G2606" s="30">
        <f t="shared" si="228"/>
        <v>0</v>
      </c>
      <c r="H2606" s="31">
        <f t="shared" si="229"/>
        <v>0</v>
      </c>
      <c r="I2606" s="31">
        <f t="shared" si="230"/>
        <v>0</v>
      </c>
      <c r="J2606" s="31">
        <f t="shared" si="231"/>
        <v>0</v>
      </c>
      <c r="M2606" s="33">
        <f t="shared" si="227"/>
        <v>0</v>
      </c>
      <c r="N2606" s="33"/>
    </row>
    <row r="2607" spans="7:14" ht="16.5" customHeight="1">
      <c r="G2607" s="30">
        <f t="shared" si="228"/>
        <v>0</v>
      </c>
      <c r="H2607" s="31">
        <f t="shared" si="229"/>
        <v>0</v>
      </c>
      <c r="I2607" s="31">
        <f t="shared" si="230"/>
        <v>0</v>
      </c>
      <c r="J2607" s="31">
        <f t="shared" si="231"/>
        <v>0</v>
      </c>
      <c r="M2607" s="33">
        <f t="shared" si="227"/>
        <v>0</v>
      </c>
      <c r="N2607" s="33"/>
    </row>
    <row r="2608" spans="7:14" ht="16.5" customHeight="1">
      <c r="G2608" s="30">
        <f t="shared" si="228"/>
        <v>0</v>
      </c>
      <c r="H2608" s="31">
        <f t="shared" si="229"/>
        <v>0</v>
      </c>
      <c r="I2608" s="31">
        <f t="shared" si="230"/>
        <v>0</v>
      </c>
      <c r="J2608" s="31">
        <f t="shared" si="231"/>
        <v>0</v>
      </c>
      <c r="M2608" s="33">
        <f t="shared" si="227"/>
        <v>0</v>
      </c>
      <c r="N2608" s="33"/>
    </row>
    <row r="2609" spans="7:14" ht="16.5" customHeight="1">
      <c r="G2609" s="30">
        <f t="shared" si="228"/>
        <v>0</v>
      </c>
      <c r="H2609" s="31">
        <f t="shared" si="229"/>
        <v>0</v>
      </c>
      <c r="I2609" s="31">
        <f t="shared" si="230"/>
        <v>0</v>
      </c>
      <c r="J2609" s="31">
        <f t="shared" si="231"/>
        <v>0</v>
      </c>
      <c r="M2609" s="33">
        <f t="shared" si="227"/>
        <v>0</v>
      </c>
      <c r="N2609" s="33"/>
    </row>
    <row r="2610" spans="7:14" ht="16.5" customHeight="1">
      <c r="G2610" s="30">
        <f t="shared" si="228"/>
        <v>0</v>
      </c>
      <c r="H2610" s="31">
        <f t="shared" si="229"/>
        <v>0</v>
      </c>
      <c r="I2610" s="31">
        <f t="shared" si="230"/>
        <v>0</v>
      </c>
      <c r="J2610" s="31">
        <f t="shared" si="231"/>
        <v>0</v>
      </c>
      <c r="M2610" s="33">
        <f t="shared" si="227"/>
        <v>0</v>
      </c>
      <c r="N2610" s="33"/>
    </row>
    <row r="2611" spans="7:14" ht="16.5" customHeight="1">
      <c r="G2611" s="30">
        <f t="shared" si="228"/>
        <v>0</v>
      </c>
      <c r="H2611" s="31">
        <f t="shared" si="229"/>
        <v>0</v>
      </c>
      <c r="I2611" s="31">
        <f t="shared" si="230"/>
        <v>0</v>
      </c>
      <c r="J2611" s="31">
        <f t="shared" si="231"/>
        <v>0</v>
      </c>
      <c r="M2611" s="33">
        <f t="shared" si="227"/>
        <v>0</v>
      </c>
      <c r="N2611" s="33"/>
    </row>
    <row r="2612" spans="7:14" ht="16.5" customHeight="1">
      <c r="G2612" s="30">
        <f t="shared" si="228"/>
        <v>0</v>
      </c>
      <c r="H2612" s="31">
        <f t="shared" si="229"/>
        <v>0</v>
      </c>
      <c r="I2612" s="31">
        <f t="shared" si="230"/>
        <v>0</v>
      </c>
      <c r="J2612" s="31">
        <f t="shared" si="231"/>
        <v>0</v>
      </c>
      <c r="M2612" s="33">
        <f t="shared" si="227"/>
        <v>0</v>
      </c>
      <c r="N2612" s="33"/>
    </row>
    <row r="2613" spans="7:14" ht="16.5" customHeight="1">
      <c r="G2613" s="30">
        <f t="shared" si="228"/>
        <v>0</v>
      </c>
      <c r="H2613" s="31">
        <f t="shared" si="229"/>
        <v>0</v>
      </c>
      <c r="I2613" s="31">
        <f t="shared" si="230"/>
        <v>0</v>
      </c>
      <c r="J2613" s="31">
        <f t="shared" si="231"/>
        <v>0</v>
      </c>
      <c r="M2613" s="33">
        <f t="shared" si="227"/>
        <v>0</v>
      </c>
      <c r="N2613" s="33"/>
    </row>
    <row r="2614" spans="7:14" ht="16.5" customHeight="1">
      <c r="G2614" s="30">
        <f t="shared" si="228"/>
        <v>0</v>
      </c>
      <c r="H2614" s="31">
        <f t="shared" si="229"/>
        <v>0</v>
      </c>
      <c r="I2614" s="31">
        <f t="shared" si="230"/>
        <v>0</v>
      </c>
      <c r="J2614" s="31">
        <f t="shared" si="231"/>
        <v>0</v>
      </c>
      <c r="M2614" s="33">
        <f t="shared" si="227"/>
        <v>0</v>
      </c>
      <c r="N2614" s="33"/>
    </row>
    <row r="2615" spans="7:14" ht="16.5" customHeight="1">
      <c r="G2615" s="30">
        <f t="shared" si="228"/>
        <v>0</v>
      </c>
      <c r="H2615" s="31">
        <f t="shared" si="229"/>
        <v>0</v>
      </c>
      <c r="I2615" s="31">
        <f t="shared" si="230"/>
        <v>0</v>
      </c>
      <c r="J2615" s="31">
        <f t="shared" si="231"/>
        <v>0</v>
      </c>
      <c r="M2615" s="33">
        <f t="shared" si="227"/>
        <v>0</v>
      </c>
      <c r="N2615" s="33"/>
    </row>
    <row r="2616" spans="7:14" ht="16.5" customHeight="1">
      <c r="G2616" s="30">
        <f t="shared" si="228"/>
        <v>0</v>
      </c>
      <c r="H2616" s="31">
        <f t="shared" si="229"/>
        <v>0</v>
      </c>
      <c r="I2616" s="31">
        <f t="shared" si="230"/>
        <v>0</v>
      </c>
      <c r="J2616" s="31">
        <f t="shared" si="231"/>
        <v>0</v>
      </c>
      <c r="M2616" s="33">
        <f t="shared" si="227"/>
        <v>0</v>
      </c>
      <c r="N2616" s="33"/>
    </row>
    <row r="2617" spans="7:14" ht="16.5" customHeight="1">
      <c r="G2617" s="30">
        <f t="shared" si="228"/>
        <v>0</v>
      </c>
      <c r="H2617" s="31">
        <f t="shared" si="229"/>
        <v>0</v>
      </c>
      <c r="I2617" s="31">
        <f t="shared" si="230"/>
        <v>0</v>
      </c>
      <c r="J2617" s="31">
        <f t="shared" si="231"/>
        <v>0</v>
      </c>
      <c r="M2617" s="33">
        <f t="shared" si="227"/>
        <v>0</v>
      </c>
      <c r="N2617" s="33"/>
    </row>
    <row r="2618" spans="7:14" ht="16.5" customHeight="1">
      <c r="G2618" s="30">
        <f t="shared" si="228"/>
        <v>0</v>
      </c>
      <c r="H2618" s="31">
        <f t="shared" si="229"/>
        <v>0</v>
      </c>
      <c r="I2618" s="31">
        <f t="shared" si="230"/>
        <v>0</v>
      </c>
      <c r="J2618" s="31">
        <f t="shared" si="231"/>
        <v>0</v>
      </c>
      <c r="M2618" s="33">
        <f t="shared" si="227"/>
        <v>0</v>
      </c>
      <c r="N2618" s="33"/>
    </row>
    <row r="2619" spans="7:14" ht="16.5" customHeight="1">
      <c r="G2619" s="30">
        <f t="shared" si="228"/>
        <v>0</v>
      </c>
      <c r="H2619" s="31">
        <f t="shared" si="229"/>
        <v>0</v>
      </c>
      <c r="I2619" s="31">
        <f t="shared" si="230"/>
        <v>0</v>
      </c>
      <c r="J2619" s="31">
        <f t="shared" si="231"/>
        <v>0</v>
      </c>
      <c r="M2619" s="33">
        <f t="shared" si="227"/>
        <v>0</v>
      </c>
      <c r="N2619" s="33"/>
    </row>
    <row r="2620" spans="7:14" ht="16.5" customHeight="1">
      <c r="G2620" s="30">
        <f t="shared" si="228"/>
        <v>0</v>
      </c>
      <c r="H2620" s="31">
        <f t="shared" si="229"/>
        <v>0</v>
      </c>
      <c r="I2620" s="31">
        <f t="shared" si="230"/>
        <v>0</v>
      </c>
      <c r="J2620" s="31">
        <f t="shared" si="231"/>
        <v>0</v>
      </c>
      <c r="M2620" s="33">
        <f t="shared" si="227"/>
        <v>0</v>
      </c>
      <c r="N2620" s="33"/>
    </row>
    <row r="2621" spans="7:14" ht="16.5" customHeight="1">
      <c r="G2621" s="30">
        <f t="shared" si="228"/>
        <v>0</v>
      </c>
      <c r="H2621" s="31">
        <f t="shared" si="229"/>
        <v>0</v>
      </c>
      <c r="I2621" s="31">
        <f t="shared" si="230"/>
        <v>0</v>
      </c>
      <c r="J2621" s="31">
        <f t="shared" si="231"/>
        <v>0</v>
      </c>
      <c r="M2621" s="33">
        <f t="shared" si="227"/>
        <v>0</v>
      </c>
      <c r="N2621" s="33"/>
    </row>
    <row r="2622" spans="7:14" ht="16.5" customHeight="1">
      <c r="G2622" s="30">
        <f t="shared" si="228"/>
        <v>0</v>
      </c>
      <c r="H2622" s="31">
        <f t="shared" si="229"/>
        <v>0</v>
      </c>
      <c r="I2622" s="31">
        <f t="shared" si="230"/>
        <v>0</v>
      </c>
      <c r="J2622" s="31">
        <f t="shared" si="231"/>
        <v>0</v>
      </c>
      <c r="M2622" s="33">
        <f t="shared" ref="M2622:M2685" si="232">IF(P2622="TL tuyệt đối",0, IF(K2622&lt;5,0,IF(K2622&lt;50,K2622*9%,IF(K2622&lt;100,4.5,IF(K2622&lt;200,4.5%*K2622,IF(K2622&lt;300,9,IF(K2622&lt;500,K2622*3%,IF(K2622&lt;1000,15,))))))))</f>
        <v>0</v>
      </c>
      <c r="N2622" s="33"/>
    </row>
    <row r="2623" spans="7:14" ht="16.5" customHeight="1">
      <c r="G2623" s="30">
        <f t="shared" si="228"/>
        <v>0</v>
      </c>
      <c r="H2623" s="31">
        <f t="shared" si="229"/>
        <v>0</v>
      </c>
      <c r="I2623" s="31">
        <f t="shared" si="230"/>
        <v>0</v>
      </c>
      <c r="J2623" s="31">
        <f t="shared" si="231"/>
        <v>0</v>
      </c>
      <c r="M2623" s="33">
        <f t="shared" si="232"/>
        <v>0</v>
      </c>
      <c r="N2623" s="33"/>
    </row>
    <row r="2624" spans="7:14" ht="16.5" customHeight="1">
      <c r="G2624" s="30">
        <f t="shared" ref="G2624:G2687" si="233">IF(P2624="TL tuyệt đối",K2624*103%,K2624+1/3*M2624)</f>
        <v>0</v>
      </c>
      <c r="H2624" s="31">
        <f t="shared" ref="H2624:H2687" si="234">IF(P2624="TL tuyệt đối",K2624*101%,K2624-1/3*M2624)</f>
        <v>0</v>
      </c>
      <c r="I2624" s="31">
        <f t="shared" ref="I2624:I2687" si="235">IF(P2624="TL tuyệt đối", K2624*105%,K2624+M2624)</f>
        <v>0</v>
      </c>
      <c r="J2624" s="31">
        <f t="shared" si="231"/>
        <v>0</v>
      </c>
      <c r="M2624" s="33">
        <f t="shared" si="232"/>
        <v>0</v>
      </c>
      <c r="N2624" s="33"/>
    </row>
    <row r="2625" spans="7:14" ht="16.5" customHeight="1">
      <c r="G2625" s="30">
        <f t="shared" si="233"/>
        <v>0</v>
      </c>
      <c r="H2625" s="31">
        <f t="shared" si="234"/>
        <v>0</v>
      </c>
      <c r="I2625" s="31">
        <f t="shared" si="235"/>
        <v>0</v>
      </c>
      <c r="J2625" s="31">
        <f t="shared" si="231"/>
        <v>0</v>
      </c>
      <c r="M2625" s="33">
        <f t="shared" si="232"/>
        <v>0</v>
      </c>
      <c r="N2625" s="33"/>
    </row>
    <row r="2626" spans="7:14" ht="16.5" customHeight="1">
      <c r="G2626" s="30">
        <f t="shared" si="233"/>
        <v>0</v>
      </c>
      <c r="H2626" s="31">
        <f t="shared" si="234"/>
        <v>0</v>
      </c>
      <c r="I2626" s="31">
        <f t="shared" si="235"/>
        <v>0</v>
      </c>
      <c r="J2626" s="31">
        <f t="shared" si="231"/>
        <v>0</v>
      </c>
      <c r="M2626" s="33">
        <f t="shared" si="232"/>
        <v>0</v>
      </c>
      <c r="N2626" s="33"/>
    </row>
    <row r="2627" spans="7:14" ht="16.5" customHeight="1">
      <c r="G2627" s="30">
        <f t="shared" si="233"/>
        <v>0</v>
      </c>
      <c r="H2627" s="31">
        <f t="shared" si="234"/>
        <v>0</v>
      </c>
      <c r="I2627" s="31">
        <f t="shared" si="235"/>
        <v>0</v>
      </c>
      <c r="J2627" s="31">
        <f t="shared" si="231"/>
        <v>0</v>
      </c>
      <c r="M2627" s="33">
        <f t="shared" si="232"/>
        <v>0</v>
      </c>
      <c r="N2627" s="33"/>
    </row>
    <row r="2628" spans="7:14" ht="16.5" customHeight="1">
      <c r="G2628" s="30">
        <f t="shared" si="233"/>
        <v>0</v>
      </c>
      <c r="H2628" s="31">
        <f t="shared" si="234"/>
        <v>0</v>
      </c>
      <c r="I2628" s="31">
        <f t="shared" si="235"/>
        <v>0</v>
      </c>
      <c r="J2628" s="31">
        <f t="shared" ref="J2628:J2691" si="236">K2628-M2628</f>
        <v>0</v>
      </c>
      <c r="M2628" s="33">
        <f t="shared" si="232"/>
        <v>0</v>
      </c>
      <c r="N2628" s="33"/>
    </row>
    <row r="2629" spans="7:14" ht="16.5" customHeight="1">
      <c r="G2629" s="30">
        <f t="shared" si="233"/>
        <v>0</v>
      </c>
      <c r="H2629" s="31">
        <f t="shared" si="234"/>
        <v>0</v>
      </c>
      <c r="I2629" s="31">
        <f t="shared" si="235"/>
        <v>0</v>
      </c>
      <c r="J2629" s="31">
        <f t="shared" si="236"/>
        <v>0</v>
      </c>
      <c r="M2629" s="33">
        <f t="shared" si="232"/>
        <v>0</v>
      </c>
      <c r="N2629" s="33"/>
    </row>
    <row r="2630" spans="7:14" ht="16.5" customHeight="1">
      <c r="G2630" s="30">
        <f t="shared" si="233"/>
        <v>0</v>
      </c>
      <c r="H2630" s="31">
        <f t="shared" si="234"/>
        <v>0</v>
      </c>
      <c r="I2630" s="31">
        <f t="shared" si="235"/>
        <v>0</v>
      </c>
      <c r="J2630" s="31">
        <f t="shared" si="236"/>
        <v>0</v>
      </c>
      <c r="M2630" s="33">
        <f t="shared" si="232"/>
        <v>0</v>
      </c>
      <c r="N2630" s="33"/>
    </row>
    <row r="2631" spans="7:14" ht="16.5" customHeight="1">
      <c r="G2631" s="30">
        <f t="shared" si="233"/>
        <v>0</v>
      </c>
      <c r="H2631" s="31">
        <f t="shared" si="234"/>
        <v>0</v>
      </c>
      <c r="I2631" s="31">
        <f t="shared" si="235"/>
        <v>0</v>
      </c>
      <c r="J2631" s="31">
        <f t="shared" si="236"/>
        <v>0</v>
      </c>
      <c r="M2631" s="33">
        <f t="shared" si="232"/>
        <v>0</v>
      </c>
      <c r="N2631" s="33"/>
    </row>
    <row r="2632" spans="7:14" ht="16.5" customHeight="1">
      <c r="G2632" s="30">
        <f t="shared" si="233"/>
        <v>0</v>
      </c>
      <c r="H2632" s="31">
        <f t="shared" si="234"/>
        <v>0</v>
      </c>
      <c r="I2632" s="31">
        <f t="shared" si="235"/>
        <v>0</v>
      </c>
      <c r="J2632" s="31">
        <f t="shared" si="236"/>
        <v>0</v>
      </c>
      <c r="M2632" s="33">
        <f t="shared" si="232"/>
        <v>0</v>
      </c>
      <c r="N2632" s="33"/>
    </row>
    <row r="2633" spans="7:14" ht="16.5" customHeight="1">
      <c r="G2633" s="30">
        <f t="shared" si="233"/>
        <v>0</v>
      </c>
      <c r="H2633" s="31">
        <f t="shared" si="234"/>
        <v>0</v>
      </c>
      <c r="I2633" s="31">
        <f t="shared" si="235"/>
        <v>0</v>
      </c>
      <c r="J2633" s="31">
        <f t="shared" si="236"/>
        <v>0</v>
      </c>
      <c r="M2633" s="33">
        <f t="shared" si="232"/>
        <v>0</v>
      </c>
      <c r="N2633" s="33"/>
    </row>
    <row r="2634" spans="7:14" ht="16.5" customHeight="1">
      <c r="G2634" s="30">
        <f t="shared" si="233"/>
        <v>0</v>
      </c>
      <c r="H2634" s="31">
        <f t="shared" si="234"/>
        <v>0</v>
      </c>
      <c r="I2634" s="31">
        <f t="shared" si="235"/>
        <v>0</v>
      </c>
      <c r="J2634" s="31">
        <f t="shared" si="236"/>
        <v>0</v>
      </c>
      <c r="M2634" s="33">
        <f t="shared" si="232"/>
        <v>0</v>
      </c>
      <c r="N2634" s="33"/>
    </row>
    <row r="2635" spans="7:14" ht="16.5" customHeight="1">
      <c r="G2635" s="30">
        <f t="shared" si="233"/>
        <v>0</v>
      </c>
      <c r="H2635" s="31">
        <f t="shared" si="234"/>
        <v>0</v>
      </c>
      <c r="I2635" s="31">
        <f t="shared" si="235"/>
        <v>0</v>
      </c>
      <c r="J2635" s="31">
        <f t="shared" si="236"/>
        <v>0</v>
      </c>
      <c r="M2635" s="33">
        <f t="shared" si="232"/>
        <v>0</v>
      </c>
      <c r="N2635" s="33"/>
    </row>
    <row r="2636" spans="7:14" ht="16.5" customHeight="1">
      <c r="G2636" s="30">
        <f t="shared" si="233"/>
        <v>0</v>
      </c>
      <c r="H2636" s="31">
        <f t="shared" si="234"/>
        <v>0</v>
      </c>
      <c r="I2636" s="31">
        <f t="shared" si="235"/>
        <v>0</v>
      </c>
      <c r="J2636" s="31">
        <f t="shared" si="236"/>
        <v>0</v>
      </c>
      <c r="M2636" s="33">
        <f t="shared" si="232"/>
        <v>0</v>
      </c>
      <c r="N2636" s="33"/>
    </row>
    <row r="2637" spans="7:14" ht="16.5" customHeight="1">
      <c r="G2637" s="30">
        <f t="shared" si="233"/>
        <v>0</v>
      </c>
      <c r="H2637" s="31">
        <f t="shared" si="234"/>
        <v>0</v>
      </c>
      <c r="I2637" s="31">
        <f t="shared" si="235"/>
        <v>0</v>
      </c>
      <c r="J2637" s="31">
        <f t="shared" si="236"/>
        <v>0</v>
      </c>
      <c r="M2637" s="33">
        <f t="shared" si="232"/>
        <v>0</v>
      </c>
      <c r="N2637" s="33"/>
    </row>
    <row r="2638" spans="7:14" ht="16.5" customHeight="1">
      <c r="G2638" s="30">
        <f t="shared" si="233"/>
        <v>0</v>
      </c>
      <c r="H2638" s="31">
        <f t="shared" si="234"/>
        <v>0</v>
      </c>
      <c r="I2638" s="31">
        <f t="shared" si="235"/>
        <v>0</v>
      </c>
      <c r="J2638" s="31">
        <f t="shared" si="236"/>
        <v>0</v>
      </c>
      <c r="M2638" s="33">
        <f t="shared" si="232"/>
        <v>0</v>
      </c>
      <c r="N2638" s="33"/>
    </row>
    <row r="2639" spans="7:14" ht="16.5" customHeight="1">
      <c r="G2639" s="30">
        <f t="shared" si="233"/>
        <v>0</v>
      </c>
      <c r="H2639" s="31">
        <f t="shared" si="234"/>
        <v>0</v>
      </c>
      <c r="I2639" s="31">
        <f t="shared" si="235"/>
        <v>0</v>
      </c>
      <c r="J2639" s="31">
        <f t="shared" si="236"/>
        <v>0</v>
      </c>
      <c r="M2639" s="33">
        <f t="shared" si="232"/>
        <v>0</v>
      </c>
      <c r="N2639" s="33"/>
    </row>
    <row r="2640" spans="7:14" ht="16.5" customHeight="1">
      <c r="G2640" s="30">
        <f t="shared" si="233"/>
        <v>0</v>
      </c>
      <c r="H2640" s="31">
        <f t="shared" si="234"/>
        <v>0</v>
      </c>
      <c r="I2640" s="31">
        <f t="shared" si="235"/>
        <v>0</v>
      </c>
      <c r="J2640" s="31">
        <f t="shared" si="236"/>
        <v>0</v>
      </c>
      <c r="M2640" s="33">
        <f t="shared" si="232"/>
        <v>0</v>
      </c>
      <c r="N2640" s="33"/>
    </row>
    <row r="2641" spans="7:14" ht="16.5" customHeight="1">
      <c r="G2641" s="30">
        <f t="shared" si="233"/>
        <v>0</v>
      </c>
      <c r="H2641" s="31">
        <f t="shared" si="234"/>
        <v>0</v>
      </c>
      <c r="I2641" s="31">
        <f t="shared" si="235"/>
        <v>0</v>
      </c>
      <c r="J2641" s="31">
        <f t="shared" si="236"/>
        <v>0</v>
      </c>
      <c r="M2641" s="33">
        <f t="shared" si="232"/>
        <v>0</v>
      </c>
      <c r="N2641" s="33"/>
    </row>
    <row r="2642" spans="7:14" ht="16.5" customHeight="1">
      <c r="G2642" s="30">
        <f t="shared" si="233"/>
        <v>0</v>
      </c>
      <c r="H2642" s="31">
        <f t="shared" si="234"/>
        <v>0</v>
      </c>
      <c r="I2642" s="31">
        <f t="shared" si="235"/>
        <v>0</v>
      </c>
      <c r="J2642" s="31">
        <f t="shared" si="236"/>
        <v>0</v>
      </c>
      <c r="M2642" s="33">
        <f t="shared" si="232"/>
        <v>0</v>
      </c>
      <c r="N2642" s="33"/>
    </row>
    <row r="2643" spans="7:14" ht="16.5" customHeight="1">
      <c r="G2643" s="30">
        <f t="shared" si="233"/>
        <v>0</v>
      </c>
      <c r="H2643" s="31">
        <f t="shared" si="234"/>
        <v>0</v>
      </c>
      <c r="I2643" s="31">
        <f t="shared" si="235"/>
        <v>0</v>
      </c>
      <c r="J2643" s="31">
        <f t="shared" si="236"/>
        <v>0</v>
      </c>
      <c r="M2643" s="33">
        <f t="shared" si="232"/>
        <v>0</v>
      </c>
      <c r="N2643" s="33"/>
    </row>
    <row r="2644" spans="7:14" ht="16.5" customHeight="1">
      <c r="G2644" s="30">
        <f t="shared" si="233"/>
        <v>0</v>
      </c>
      <c r="H2644" s="31">
        <f t="shared" si="234"/>
        <v>0</v>
      </c>
      <c r="I2644" s="31">
        <f t="shared" si="235"/>
        <v>0</v>
      </c>
      <c r="J2644" s="31">
        <f t="shared" si="236"/>
        <v>0</v>
      </c>
      <c r="M2644" s="33">
        <f t="shared" si="232"/>
        <v>0</v>
      </c>
      <c r="N2644" s="33"/>
    </row>
    <row r="2645" spans="7:14" ht="16.5" customHeight="1">
      <c r="G2645" s="30">
        <f t="shared" si="233"/>
        <v>0</v>
      </c>
      <c r="H2645" s="31">
        <f t="shared" si="234"/>
        <v>0</v>
      </c>
      <c r="I2645" s="31">
        <f t="shared" si="235"/>
        <v>0</v>
      </c>
      <c r="J2645" s="31">
        <f t="shared" si="236"/>
        <v>0</v>
      </c>
      <c r="M2645" s="33">
        <f t="shared" si="232"/>
        <v>0</v>
      </c>
      <c r="N2645" s="33"/>
    </row>
    <row r="2646" spans="7:14" ht="16.5" customHeight="1">
      <c r="G2646" s="30">
        <f t="shared" si="233"/>
        <v>0</v>
      </c>
      <c r="H2646" s="31">
        <f t="shared" si="234"/>
        <v>0</v>
      </c>
      <c r="I2646" s="31">
        <f t="shared" si="235"/>
        <v>0</v>
      </c>
      <c r="J2646" s="31">
        <f t="shared" si="236"/>
        <v>0</v>
      </c>
      <c r="M2646" s="33">
        <f t="shared" si="232"/>
        <v>0</v>
      </c>
      <c r="N2646" s="33"/>
    </row>
    <row r="2647" spans="7:14" ht="16.5" customHeight="1">
      <c r="G2647" s="30">
        <f t="shared" si="233"/>
        <v>0</v>
      </c>
      <c r="H2647" s="31">
        <f t="shared" si="234"/>
        <v>0</v>
      </c>
      <c r="I2647" s="31">
        <f t="shared" si="235"/>
        <v>0</v>
      </c>
      <c r="J2647" s="31">
        <f t="shared" si="236"/>
        <v>0</v>
      </c>
      <c r="M2647" s="33">
        <f t="shared" si="232"/>
        <v>0</v>
      </c>
      <c r="N2647" s="33"/>
    </row>
    <row r="2648" spans="7:14" ht="16.5" customHeight="1">
      <c r="G2648" s="30">
        <f t="shared" si="233"/>
        <v>0</v>
      </c>
      <c r="H2648" s="31">
        <f t="shared" si="234"/>
        <v>0</v>
      </c>
      <c r="I2648" s="31">
        <f t="shared" si="235"/>
        <v>0</v>
      </c>
      <c r="J2648" s="31">
        <f t="shared" si="236"/>
        <v>0</v>
      </c>
      <c r="M2648" s="33">
        <f t="shared" si="232"/>
        <v>0</v>
      </c>
      <c r="N2648" s="33"/>
    </row>
    <row r="2649" spans="7:14" ht="16.5" customHeight="1">
      <c r="G2649" s="30">
        <f t="shared" si="233"/>
        <v>0</v>
      </c>
      <c r="H2649" s="31">
        <f t="shared" si="234"/>
        <v>0</v>
      </c>
      <c r="I2649" s="31">
        <f t="shared" si="235"/>
        <v>0</v>
      </c>
      <c r="J2649" s="31">
        <f t="shared" si="236"/>
        <v>0</v>
      </c>
      <c r="M2649" s="33">
        <f t="shared" si="232"/>
        <v>0</v>
      </c>
      <c r="N2649" s="33"/>
    </row>
    <row r="2650" spans="7:14" ht="16.5" customHeight="1">
      <c r="G2650" s="30">
        <f t="shared" si="233"/>
        <v>0</v>
      </c>
      <c r="H2650" s="31">
        <f t="shared" si="234"/>
        <v>0</v>
      </c>
      <c r="I2650" s="31">
        <f t="shared" si="235"/>
        <v>0</v>
      </c>
      <c r="J2650" s="31">
        <f t="shared" si="236"/>
        <v>0</v>
      </c>
      <c r="M2650" s="33">
        <f t="shared" si="232"/>
        <v>0</v>
      </c>
      <c r="N2650" s="33"/>
    </row>
    <row r="2651" spans="7:14" ht="16.5" customHeight="1">
      <c r="G2651" s="30">
        <f t="shared" si="233"/>
        <v>0</v>
      </c>
      <c r="H2651" s="31">
        <f t="shared" si="234"/>
        <v>0</v>
      </c>
      <c r="I2651" s="31">
        <f t="shared" si="235"/>
        <v>0</v>
      </c>
      <c r="J2651" s="31">
        <f t="shared" si="236"/>
        <v>0</v>
      </c>
      <c r="M2651" s="33">
        <f t="shared" si="232"/>
        <v>0</v>
      </c>
      <c r="N2651" s="33"/>
    </row>
    <row r="2652" spans="7:14" ht="16.5" customHeight="1">
      <c r="G2652" s="30">
        <f t="shared" si="233"/>
        <v>0</v>
      </c>
      <c r="H2652" s="31">
        <f t="shared" si="234"/>
        <v>0</v>
      </c>
      <c r="I2652" s="31">
        <f t="shared" si="235"/>
        <v>0</v>
      </c>
      <c r="J2652" s="31">
        <f t="shared" si="236"/>
        <v>0</v>
      </c>
      <c r="M2652" s="33">
        <f t="shared" si="232"/>
        <v>0</v>
      </c>
      <c r="N2652" s="33"/>
    </row>
    <row r="2653" spans="7:14" ht="16.5" customHeight="1">
      <c r="G2653" s="30">
        <f t="shared" si="233"/>
        <v>0</v>
      </c>
      <c r="H2653" s="31">
        <f t="shared" si="234"/>
        <v>0</v>
      </c>
      <c r="I2653" s="31">
        <f t="shared" si="235"/>
        <v>0</v>
      </c>
      <c r="J2653" s="31">
        <f t="shared" si="236"/>
        <v>0</v>
      </c>
      <c r="M2653" s="33">
        <f t="shared" si="232"/>
        <v>0</v>
      </c>
      <c r="N2653" s="33"/>
    </row>
    <row r="2654" spans="7:14" ht="16.5" customHeight="1">
      <c r="G2654" s="30">
        <f t="shared" si="233"/>
        <v>0</v>
      </c>
      <c r="H2654" s="31">
        <f t="shared" si="234"/>
        <v>0</v>
      </c>
      <c r="I2654" s="31">
        <f t="shared" si="235"/>
        <v>0</v>
      </c>
      <c r="J2654" s="31">
        <f t="shared" si="236"/>
        <v>0</v>
      </c>
      <c r="M2654" s="33">
        <f t="shared" si="232"/>
        <v>0</v>
      </c>
      <c r="N2654" s="33"/>
    </row>
    <row r="2655" spans="7:14" ht="16.5" customHeight="1">
      <c r="G2655" s="30">
        <f t="shared" si="233"/>
        <v>0</v>
      </c>
      <c r="H2655" s="31">
        <f t="shared" si="234"/>
        <v>0</v>
      </c>
      <c r="I2655" s="31">
        <f t="shared" si="235"/>
        <v>0</v>
      </c>
      <c r="J2655" s="31">
        <f t="shared" si="236"/>
        <v>0</v>
      </c>
      <c r="M2655" s="33">
        <f t="shared" si="232"/>
        <v>0</v>
      </c>
      <c r="N2655" s="33"/>
    </row>
    <row r="2656" spans="7:14" ht="16.5" customHeight="1">
      <c r="G2656" s="30">
        <f t="shared" si="233"/>
        <v>0</v>
      </c>
      <c r="H2656" s="31">
        <f t="shared" si="234"/>
        <v>0</v>
      </c>
      <c r="I2656" s="31">
        <f t="shared" si="235"/>
        <v>0</v>
      </c>
      <c r="J2656" s="31">
        <f t="shared" si="236"/>
        <v>0</v>
      </c>
      <c r="M2656" s="33">
        <f t="shared" si="232"/>
        <v>0</v>
      </c>
      <c r="N2656" s="33"/>
    </row>
    <row r="2657" spans="7:14" ht="16.5" customHeight="1">
      <c r="G2657" s="30">
        <f t="shared" si="233"/>
        <v>0</v>
      </c>
      <c r="H2657" s="31">
        <f t="shared" si="234"/>
        <v>0</v>
      </c>
      <c r="I2657" s="31">
        <f t="shared" si="235"/>
        <v>0</v>
      </c>
      <c r="J2657" s="31">
        <f t="shared" si="236"/>
        <v>0</v>
      </c>
      <c r="M2657" s="33">
        <f t="shared" si="232"/>
        <v>0</v>
      </c>
      <c r="N2657" s="33"/>
    </row>
    <row r="2658" spans="7:14" ht="16.5" customHeight="1">
      <c r="G2658" s="30">
        <f t="shared" si="233"/>
        <v>0</v>
      </c>
      <c r="H2658" s="31">
        <f t="shared" si="234"/>
        <v>0</v>
      </c>
      <c r="I2658" s="31">
        <f t="shared" si="235"/>
        <v>0</v>
      </c>
      <c r="J2658" s="31">
        <f t="shared" si="236"/>
        <v>0</v>
      </c>
      <c r="M2658" s="33">
        <f t="shared" si="232"/>
        <v>0</v>
      </c>
      <c r="N2658" s="33"/>
    </row>
    <row r="2659" spans="7:14" ht="16.5" customHeight="1">
      <c r="G2659" s="30">
        <f t="shared" si="233"/>
        <v>0</v>
      </c>
      <c r="H2659" s="31">
        <f t="shared" si="234"/>
        <v>0</v>
      </c>
      <c r="I2659" s="31">
        <f t="shared" si="235"/>
        <v>0</v>
      </c>
      <c r="J2659" s="31">
        <f t="shared" si="236"/>
        <v>0</v>
      </c>
      <c r="M2659" s="33">
        <f t="shared" si="232"/>
        <v>0</v>
      </c>
      <c r="N2659" s="33"/>
    </row>
    <row r="2660" spans="7:14" ht="16.5" customHeight="1">
      <c r="G2660" s="30">
        <f t="shared" si="233"/>
        <v>0</v>
      </c>
      <c r="H2660" s="31">
        <f t="shared" si="234"/>
        <v>0</v>
      </c>
      <c r="I2660" s="31">
        <f t="shared" si="235"/>
        <v>0</v>
      </c>
      <c r="J2660" s="31">
        <f t="shared" si="236"/>
        <v>0</v>
      </c>
      <c r="M2660" s="33">
        <f t="shared" si="232"/>
        <v>0</v>
      </c>
      <c r="N2660" s="33"/>
    </row>
    <row r="2661" spans="7:14" ht="16.5" customHeight="1">
      <c r="G2661" s="30">
        <f t="shared" si="233"/>
        <v>0</v>
      </c>
      <c r="H2661" s="31">
        <f t="shared" si="234"/>
        <v>0</v>
      </c>
      <c r="I2661" s="31">
        <f t="shared" si="235"/>
        <v>0</v>
      </c>
      <c r="J2661" s="31">
        <f t="shared" si="236"/>
        <v>0</v>
      </c>
      <c r="M2661" s="33">
        <f t="shared" si="232"/>
        <v>0</v>
      </c>
      <c r="N2661" s="33"/>
    </row>
    <row r="2662" spans="7:14" ht="16.5" customHeight="1">
      <c r="G2662" s="30">
        <f t="shared" si="233"/>
        <v>0</v>
      </c>
      <c r="H2662" s="31">
        <f t="shared" si="234"/>
        <v>0</v>
      </c>
      <c r="I2662" s="31">
        <f t="shared" si="235"/>
        <v>0</v>
      </c>
      <c r="J2662" s="31">
        <f t="shared" si="236"/>
        <v>0</v>
      </c>
      <c r="M2662" s="33">
        <f t="shared" si="232"/>
        <v>0</v>
      </c>
      <c r="N2662" s="33"/>
    </row>
    <row r="2663" spans="7:14" ht="16.5" customHeight="1">
      <c r="G2663" s="30">
        <f t="shared" si="233"/>
        <v>0</v>
      </c>
      <c r="H2663" s="31">
        <f t="shared" si="234"/>
        <v>0</v>
      </c>
      <c r="I2663" s="31">
        <f t="shared" si="235"/>
        <v>0</v>
      </c>
      <c r="J2663" s="31">
        <f t="shared" si="236"/>
        <v>0</v>
      </c>
      <c r="M2663" s="33">
        <f t="shared" si="232"/>
        <v>0</v>
      </c>
      <c r="N2663" s="33"/>
    </row>
    <row r="2664" spans="7:14" ht="16.5" customHeight="1">
      <c r="G2664" s="30">
        <f t="shared" si="233"/>
        <v>0</v>
      </c>
      <c r="H2664" s="31">
        <f t="shared" si="234"/>
        <v>0</v>
      </c>
      <c r="I2664" s="31">
        <f t="shared" si="235"/>
        <v>0</v>
      </c>
      <c r="J2664" s="31">
        <f t="shared" si="236"/>
        <v>0</v>
      </c>
      <c r="M2664" s="33">
        <f t="shared" si="232"/>
        <v>0</v>
      </c>
      <c r="N2664" s="33"/>
    </row>
    <row r="2665" spans="7:14" ht="16.5" customHeight="1">
      <c r="G2665" s="30">
        <f t="shared" si="233"/>
        <v>0</v>
      </c>
      <c r="H2665" s="31">
        <f t="shared" si="234"/>
        <v>0</v>
      </c>
      <c r="I2665" s="31">
        <f t="shared" si="235"/>
        <v>0</v>
      </c>
      <c r="J2665" s="31">
        <f t="shared" si="236"/>
        <v>0</v>
      </c>
      <c r="M2665" s="33">
        <f t="shared" si="232"/>
        <v>0</v>
      </c>
      <c r="N2665" s="33"/>
    </row>
    <row r="2666" spans="7:14" ht="16.5" customHeight="1">
      <c r="G2666" s="30">
        <f t="shared" si="233"/>
        <v>0</v>
      </c>
      <c r="H2666" s="31">
        <f t="shared" si="234"/>
        <v>0</v>
      </c>
      <c r="I2666" s="31">
        <f t="shared" si="235"/>
        <v>0</v>
      </c>
      <c r="J2666" s="31">
        <f t="shared" si="236"/>
        <v>0</v>
      </c>
      <c r="M2666" s="33">
        <f t="shared" si="232"/>
        <v>0</v>
      </c>
      <c r="N2666" s="33"/>
    </row>
    <row r="2667" spans="7:14" ht="16.5" customHeight="1">
      <c r="G2667" s="30">
        <f t="shared" si="233"/>
        <v>0</v>
      </c>
      <c r="H2667" s="31">
        <f t="shared" si="234"/>
        <v>0</v>
      </c>
      <c r="I2667" s="31">
        <f t="shared" si="235"/>
        <v>0</v>
      </c>
      <c r="J2667" s="31">
        <f t="shared" si="236"/>
        <v>0</v>
      </c>
      <c r="M2667" s="33">
        <f t="shared" si="232"/>
        <v>0</v>
      </c>
      <c r="N2667" s="33"/>
    </row>
    <row r="2668" spans="7:14" ht="16.5" customHeight="1">
      <c r="G2668" s="30">
        <f t="shared" si="233"/>
        <v>0</v>
      </c>
      <c r="H2668" s="31">
        <f t="shared" si="234"/>
        <v>0</v>
      </c>
      <c r="I2668" s="31">
        <f t="shared" si="235"/>
        <v>0</v>
      </c>
      <c r="J2668" s="31">
        <f t="shared" si="236"/>
        <v>0</v>
      </c>
      <c r="M2668" s="33">
        <f t="shared" si="232"/>
        <v>0</v>
      </c>
      <c r="N2668" s="33"/>
    </row>
    <row r="2669" spans="7:14" ht="16.5" customHeight="1">
      <c r="G2669" s="30">
        <f t="shared" si="233"/>
        <v>0</v>
      </c>
      <c r="H2669" s="31">
        <f t="shared" si="234"/>
        <v>0</v>
      </c>
      <c r="I2669" s="31">
        <f t="shared" si="235"/>
        <v>0</v>
      </c>
      <c r="J2669" s="31">
        <f t="shared" si="236"/>
        <v>0</v>
      </c>
      <c r="M2669" s="33">
        <f t="shared" si="232"/>
        <v>0</v>
      </c>
      <c r="N2669" s="33"/>
    </row>
    <row r="2670" spans="7:14" ht="16.5" customHeight="1">
      <c r="G2670" s="30">
        <f t="shared" si="233"/>
        <v>0</v>
      </c>
      <c r="H2670" s="31">
        <f t="shared" si="234"/>
        <v>0</v>
      </c>
      <c r="I2670" s="31">
        <f t="shared" si="235"/>
        <v>0</v>
      </c>
      <c r="J2670" s="31">
        <f t="shared" si="236"/>
        <v>0</v>
      </c>
      <c r="M2670" s="33">
        <f t="shared" si="232"/>
        <v>0</v>
      </c>
      <c r="N2670" s="33"/>
    </row>
    <row r="2671" spans="7:14" ht="16.5" customHeight="1">
      <c r="G2671" s="30">
        <f t="shared" si="233"/>
        <v>0</v>
      </c>
      <c r="H2671" s="31">
        <f t="shared" si="234"/>
        <v>0</v>
      </c>
      <c r="I2671" s="31">
        <f t="shared" si="235"/>
        <v>0</v>
      </c>
      <c r="J2671" s="31">
        <f t="shared" si="236"/>
        <v>0</v>
      </c>
      <c r="M2671" s="33">
        <f t="shared" si="232"/>
        <v>0</v>
      </c>
      <c r="N2671" s="33"/>
    </row>
    <row r="2672" spans="7:14" ht="16.5" customHeight="1">
      <c r="G2672" s="30">
        <f t="shared" si="233"/>
        <v>0</v>
      </c>
      <c r="H2672" s="31">
        <f t="shared" si="234"/>
        <v>0</v>
      </c>
      <c r="I2672" s="31">
        <f t="shared" si="235"/>
        <v>0</v>
      </c>
      <c r="J2672" s="31">
        <f t="shared" si="236"/>
        <v>0</v>
      </c>
      <c r="M2672" s="33">
        <f t="shared" si="232"/>
        <v>0</v>
      </c>
      <c r="N2672" s="33"/>
    </row>
    <row r="2673" spans="7:14" ht="16.5" customHeight="1">
      <c r="G2673" s="30">
        <f t="shared" si="233"/>
        <v>0</v>
      </c>
      <c r="H2673" s="31">
        <f t="shared" si="234"/>
        <v>0</v>
      </c>
      <c r="I2673" s="31">
        <f t="shared" si="235"/>
        <v>0</v>
      </c>
      <c r="J2673" s="31">
        <f t="shared" si="236"/>
        <v>0</v>
      </c>
      <c r="M2673" s="33">
        <f t="shared" si="232"/>
        <v>0</v>
      </c>
      <c r="N2673" s="33"/>
    </row>
    <row r="2674" spans="7:14" ht="16.5" customHeight="1">
      <c r="G2674" s="30">
        <f t="shared" si="233"/>
        <v>0</v>
      </c>
      <c r="H2674" s="31">
        <f t="shared" si="234"/>
        <v>0</v>
      </c>
      <c r="I2674" s="31">
        <f t="shared" si="235"/>
        <v>0</v>
      </c>
      <c r="J2674" s="31">
        <f t="shared" si="236"/>
        <v>0</v>
      </c>
      <c r="M2674" s="33">
        <f t="shared" si="232"/>
        <v>0</v>
      </c>
      <c r="N2674" s="33"/>
    </row>
    <row r="2675" spans="7:14" ht="16.5" customHeight="1">
      <c r="G2675" s="30">
        <f t="shared" si="233"/>
        <v>0</v>
      </c>
      <c r="H2675" s="31">
        <f t="shared" si="234"/>
        <v>0</v>
      </c>
      <c r="I2675" s="31">
        <f t="shared" si="235"/>
        <v>0</v>
      </c>
      <c r="J2675" s="31">
        <f t="shared" si="236"/>
        <v>0</v>
      </c>
      <c r="M2675" s="33">
        <f t="shared" si="232"/>
        <v>0</v>
      </c>
      <c r="N2675" s="33"/>
    </row>
    <row r="2676" spans="7:14" ht="16.5" customHeight="1">
      <c r="G2676" s="30">
        <f t="shared" si="233"/>
        <v>0</v>
      </c>
      <c r="H2676" s="31">
        <f t="shared" si="234"/>
        <v>0</v>
      </c>
      <c r="I2676" s="31">
        <f t="shared" si="235"/>
        <v>0</v>
      </c>
      <c r="J2676" s="31">
        <f t="shared" si="236"/>
        <v>0</v>
      </c>
      <c r="M2676" s="33">
        <f t="shared" si="232"/>
        <v>0</v>
      </c>
      <c r="N2676" s="33"/>
    </row>
    <row r="2677" spans="7:14" ht="16.5" customHeight="1">
      <c r="G2677" s="30">
        <f t="shared" si="233"/>
        <v>0</v>
      </c>
      <c r="H2677" s="31">
        <f t="shared" si="234"/>
        <v>0</v>
      </c>
      <c r="I2677" s="31">
        <f t="shared" si="235"/>
        <v>0</v>
      </c>
      <c r="J2677" s="31">
        <f t="shared" si="236"/>
        <v>0</v>
      </c>
      <c r="M2677" s="33">
        <f t="shared" si="232"/>
        <v>0</v>
      </c>
      <c r="N2677" s="33"/>
    </row>
    <row r="2678" spans="7:14" ht="16.5" customHeight="1">
      <c r="G2678" s="30">
        <f t="shared" si="233"/>
        <v>0</v>
      </c>
      <c r="H2678" s="31">
        <f t="shared" si="234"/>
        <v>0</v>
      </c>
      <c r="I2678" s="31">
        <f t="shared" si="235"/>
        <v>0</v>
      </c>
      <c r="J2678" s="31">
        <f t="shared" si="236"/>
        <v>0</v>
      </c>
      <c r="M2678" s="33">
        <f t="shared" si="232"/>
        <v>0</v>
      </c>
      <c r="N2678" s="33"/>
    </row>
    <row r="2679" spans="7:14" ht="16.5" customHeight="1">
      <c r="G2679" s="30">
        <f t="shared" si="233"/>
        <v>0</v>
      </c>
      <c r="H2679" s="31">
        <f t="shared" si="234"/>
        <v>0</v>
      </c>
      <c r="I2679" s="31">
        <f t="shared" si="235"/>
        <v>0</v>
      </c>
      <c r="J2679" s="31">
        <f t="shared" si="236"/>
        <v>0</v>
      </c>
      <c r="M2679" s="33">
        <f t="shared" si="232"/>
        <v>0</v>
      </c>
      <c r="N2679" s="33"/>
    </row>
    <row r="2680" spans="7:14" ht="16.5" customHeight="1">
      <c r="G2680" s="30">
        <f t="shared" si="233"/>
        <v>0</v>
      </c>
      <c r="H2680" s="31">
        <f t="shared" si="234"/>
        <v>0</v>
      </c>
      <c r="I2680" s="31">
        <f t="shared" si="235"/>
        <v>0</v>
      </c>
      <c r="J2680" s="31">
        <f t="shared" si="236"/>
        <v>0</v>
      </c>
      <c r="M2680" s="33">
        <f t="shared" si="232"/>
        <v>0</v>
      </c>
      <c r="N2680" s="33"/>
    </row>
    <row r="2681" spans="7:14" ht="16.5" customHeight="1">
      <c r="G2681" s="30">
        <f t="shared" si="233"/>
        <v>0</v>
      </c>
      <c r="H2681" s="31">
        <f t="shared" si="234"/>
        <v>0</v>
      </c>
      <c r="I2681" s="31">
        <f t="shared" si="235"/>
        <v>0</v>
      </c>
      <c r="J2681" s="31">
        <f t="shared" si="236"/>
        <v>0</v>
      </c>
      <c r="M2681" s="33">
        <f t="shared" si="232"/>
        <v>0</v>
      </c>
      <c r="N2681" s="33"/>
    </row>
    <row r="2682" spans="7:14" ht="16.5" customHeight="1">
      <c r="G2682" s="30">
        <f t="shared" si="233"/>
        <v>0</v>
      </c>
      <c r="H2682" s="31">
        <f t="shared" si="234"/>
        <v>0</v>
      </c>
      <c r="I2682" s="31">
        <f t="shared" si="235"/>
        <v>0</v>
      </c>
      <c r="J2682" s="31">
        <f t="shared" si="236"/>
        <v>0</v>
      </c>
      <c r="M2682" s="33">
        <f t="shared" si="232"/>
        <v>0</v>
      </c>
      <c r="N2682" s="33"/>
    </row>
    <row r="2683" spans="7:14" ht="16.5" customHeight="1">
      <c r="G2683" s="30">
        <f t="shared" si="233"/>
        <v>0</v>
      </c>
      <c r="H2683" s="31">
        <f t="shared" si="234"/>
        <v>0</v>
      </c>
      <c r="I2683" s="31">
        <f t="shared" si="235"/>
        <v>0</v>
      </c>
      <c r="J2683" s="31">
        <f t="shared" si="236"/>
        <v>0</v>
      </c>
      <c r="M2683" s="33">
        <f t="shared" si="232"/>
        <v>0</v>
      </c>
      <c r="N2683" s="33"/>
    </row>
    <row r="2684" spans="7:14" ht="16.5" customHeight="1">
      <c r="G2684" s="30">
        <f t="shared" si="233"/>
        <v>0</v>
      </c>
      <c r="H2684" s="31">
        <f t="shared" si="234"/>
        <v>0</v>
      </c>
      <c r="I2684" s="31">
        <f t="shared" si="235"/>
        <v>0</v>
      </c>
      <c r="J2684" s="31">
        <f t="shared" si="236"/>
        <v>0</v>
      </c>
      <c r="M2684" s="33">
        <f t="shared" si="232"/>
        <v>0</v>
      </c>
      <c r="N2684" s="33"/>
    </row>
    <row r="2685" spans="7:14" ht="16.5" customHeight="1">
      <c r="G2685" s="30">
        <f t="shared" si="233"/>
        <v>0</v>
      </c>
      <c r="H2685" s="31">
        <f t="shared" si="234"/>
        <v>0</v>
      </c>
      <c r="I2685" s="31">
        <f t="shared" si="235"/>
        <v>0</v>
      </c>
      <c r="J2685" s="31">
        <f t="shared" si="236"/>
        <v>0</v>
      </c>
      <c r="M2685" s="33">
        <f t="shared" si="232"/>
        <v>0</v>
      </c>
      <c r="N2685" s="33"/>
    </row>
    <row r="2686" spans="7:14" ht="16.5" customHeight="1">
      <c r="G2686" s="30">
        <f t="shared" si="233"/>
        <v>0</v>
      </c>
      <c r="H2686" s="31">
        <f t="shared" si="234"/>
        <v>0</v>
      </c>
      <c r="I2686" s="31">
        <f t="shared" si="235"/>
        <v>0</v>
      </c>
      <c r="J2686" s="31">
        <f t="shared" si="236"/>
        <v>0</v>
      </c>
      <c r="M2686" s="33">
        <f t="shared" ref="M2686:M2749" si="237">IF(P2686="TL tuyệt đối",0, IF(K2686&lt;5,0,IF(K2686&lt;50,K2686*9%,IF(K2686&lt;100,4.5,IF(K2686&lt;200,4.5%*K2686,IF(K2686&lt;300,9,IF(K2686&lt;500,K2686*3%,IF(K2686&lt;1000,15,))))))))</f>
        <v>0</v>
      </c>
      <c r="N2686" s="33"/>
    </row>
    <row r="2687" spans="7:14" ht="16.5" customHeight="1">
      <c r="G2687" s="30">
        <f t="shared" si="233"/>
        <v>0</v>
      </c>
      <c r="H2687" s="31">
        <f t="shared" si="234"/>
        <v>0</v>
      </c>
      <c r="I2687" s="31">
        <f t="shared" si="235"/>
        <v>0</v>
      </c>
      <c r="J2687" s="31">
        <f t="shared" si="236"/>
        <v>0</v>
      </c>
      <c r="M2687" s="33">
        <f t="shared" si="237"/>
        <v>0</v>
      </c>
      <c r="N2687" s="33"/>
    </row>
    <row r="2688" spans="7:14" ht="16.5" customHeight="1">
      <c r="G2688" s="30">
        <f t="shared" ref="G2688:G2751" si="238">IF(P2688="TL tuyệt đối",K2688*103%,K2688+1/3*M2688)</f>
        <v>0</v>
      </c>
      <c r="H2688" s="31">
        <f t="shared" ref="H2688:H2751" si="239">IF(P2688="TL tuyệt đối",K2688*101%,K2688-1/3*M2688)</f>
        <v>0</v>
      </c>
      <c r="I2688" s="31">
        <f t="shared" ref="I2688:I2751" si="240">IF(P2688="TL tuyệt đối", K2688*105%,K2688+M2688)</f>
        <v>0</v>
      </c>
      <c r="J2688" s="31">
        <f t="shared" si="236"/>
        <v>0</v>
      </c>
      <c r="M2688" s="33">
        <f t="shared" si="237"/>
        <v>0</v>
      </c>
      <c r="N2688" s="33"/>
    </row>
    <row r="2689" spans="7:14" ht="16.5" customHeight="1">
      <c r="G2689" s="30">
        <f t="shared" si="238"/>
        <v>0</v>
      </c>
      <c r="H2689" s="31">
        <f t="shared" si="239"/>
        <v>0</v>
      </c>
      <c r="I2689" s="31">
        <f t="shared" si="240"/>
        <v>0</v>
      </c>
      <c r="J2689" s="31">
        <f t="shared" si="236"/>
        <v>0</v>
      </c>
      <c r="M2689" s="33">
        <f t="shared" si="237"/>
        <v>0</v>
      </c>
      <c r="N2689" s="33"/>
    </row>
    <row r="2690" spans="7:14" ht="16.5" customHeight="1">
      <c r="G2690" s="30">
        <f t="shared" si="238"/>
        <v>0</v>
      </c>
      <c r="H2690" s="31">
        <f t="shared" si="239"/>
        <v>0</v>
      </c>
      <c r="I2690" s="31">
        <f t="shared" si="240"/>
        <v>0</v>
      </c>
      <c r="J2690" s="31">
        <f t="shared" si="236"/>
        <v>0</v>
      </c>
      <c r="M2690" s="33">
        <f t="shared" si="237"/>
        <v>0</v>
      </c>
      <c r="N2690" s="33"/>
    </row>
    <row r="2691" spans="7:14" ht="16.5" customHeight="1">
      <c r="G2691" s="30">
        <f t="shared" si="238"/>
        <v>0</v>
      </c>
      <c r="H2691" s="31">
        <f t="shared" si="239"/>
        <v>0</v>
      </c>
      <c r="I2691" s="31">
        <f t="shared" si="240"/>
        <v>0</v>
      </c>
      <c r="J2691" s="31">
        <f t="shared" si="236"/>
        <v>0</v>
      </c>
      <c r="M2691" s="33">
        <f t="shared" si="237"/>
        <v>0</v>
      </c>
      <c r="N2691" s="33"/>
    </row>
    <row r="2692" spans="7:14" ht="16.5" customHeight="1">
      <c r="G2692" s="30">
        <f t="shared" si="238"/>
        <v>0</v>
      </c>
      <c r="H2692" s="31">
        <f t="shared" si="239"/>
        <v>0</v>
      </c>
      <c r="I2692" s="31">
        <f t="shared" si="240"/>
        <v>0</v>
      </c>
      <c r="J2692" s="31">
        <f t="shared" ref="J2692:J2755" si="241">K2692-M2692</f>
        <v>0</v>
      </c>
      <c r="M2692" s="33">
        <f t="shared" si="237"/>
        <v>0</v>
      </c>
      <c r="N2692" s="33"/>
    </row>
    <row r="2693" spans="7:14" ht="16.5" customHeight="1">
      <c r="G2693" s="30">
        <f t="shared" si="238"/>
        <v>0</v>
      </c>
      <c r="H2693" s="31">
        <f t="shared" si="239"/>
        <v>0</v>
      </c>
      <c r="I2693" s="31">
        <f t="shared" si="240"/>
        <v>0</v>
      </c>
      <c r="J2693" s="31">
        <f t="shared" si="241"/>
        <v>0</v>
      </c>
      <c r="M2693" s="33">
        <f t="shared" si="237"/>
        <v>0</v>
      </c>
      <c r="N2693" s="33"/>
    </row>
    <row r="2694" spans="7:14" ht="16.5" customHeight="1">
      <c r="G2694" s="30">
        <f t="shared" si="238"/>
        <v>0</v>
      </c>
      <c r="H2694" s="31">
        <f t="shared" si="239"/>
        <v>0</v>
      </c>
      <c r="I2694" s="31">
        <f t="shared" si="240"/>
        <v>0</v>
      </c>
      <c r="J2694" s="31">
        <f t="shared" si="241"/>
        <v>0</v>
      </c>
      <c r="M2694" s="33">
        <f t="shared" si="237"/>
        <v>0</v>
      </c>
      <c r="N2694" s="33"/>
    </row>
    <row r="2695" spans="7:14" ht="16.5" customHeight="1">
      <c r="G2695" s="30">
        <f t="shared" si="238"/>
        <v>0</v>
      </c>
      <c r="H2695" s="31">
        <f t="shared" si="239"/>
        <v>0</v>
      </c>
      <c r="I2695" s="31">
        <f t="shared" si="240"/>
        <v>0</v>
      </c>
      <c r="J2695" s="31">
        <f t="shared" si="241"/>
        <v>0</v>
      </c>
      <c r="M2695" s="33">
        <f t="shared" si="237"/>
        <v>0</v>
      </c>
      <c r="N2695" s="33"/>
    </row>
    <row r="2696" spans="7:14" ht="16.5" customHeight="1">
      <c r="G2696" s="30">
        <f t="shared" si="238"/>
        <v>0</v>
      </c>
      <c r="H2696" s="31">
        <f t="shared" si="239"/>
        <v>0</v>
      </c>
      <c r="I2696" s="31">
        <f t="shared" si="240"/>
        <v>0</v>
      </c>
      <c r="J2696" s="31">
        <f t="shared" si="241"/>
        <v>0</v>
      </c>
      <c r="M2696" s="33">
        <f t="shared" si="237"/>
        <v>0</v>
      </c>
      <c r="N2696" s="33"/>
    </row>
    <row r="2697" spans="7:14" ht="16.5" customHeight="1">
      <c r="G2697" s="30">
        <f t="shared" si="238"/>
        <v>0</v>
      </c>
      <c r="H2697" s="31">
        <f t="shared" si="239"/>
        <v>0</v>
      </c>
      <c r="I2697" s="31">
        <f t="shared" si="240"/>
        <v>0</v>
      </c>
      <c r="J2697" s="31">
        <f t="shared" si="241"/>
        <v>0</v>
      </c>
      <c r="M2697" s="33">
        <f t="shared" si="237"/>
        <v>0</v>
      </c>
      <c r="N2697" s="33"/>
    </row>
    <row r="2698" spans="7:14" ht="16.5" customHeight="1">
      <c r="G2698" s="30">
        <f t="shared" si="238"/>
        <v>0</v>
      </c>
      <c r="H2698" s="31">
        <f t="shared" si="239"/>
        <v>0</v>
      </c>
      <c r="I2698" s="31">
        <f t="shared" si="240"/>
        <v>0</v>
      </c>
      <c r="J2698" s="31">
        <f t="shared" si="241"/>
        <v>0</v>
      </c>
      <c r="M2698" s="33">
        <f t="shared" si="237"/>
        <v>0</v>
      </c>
      <c r="N2698" s="33"/>
    </row>
    <row r="2699" spans="7:14" ht="16.5" customHeight="1">
      <c r="G2699" s="30">
        <f t="shared" si="238"/>
        <v>0</v>
      </c>
      <c r="H2699" s="31">
        <f t="shared" si="239"/>
        <v>0</v>
      </c>
      <c r="I2699" s="31">
        <f t="shared" si="240"/>
        <v>0</v>
      </c>
      <c r="J2699" s="31">
        <f t="shared" si="241"/>
        <v>0</v>
      </c>
      <c r="M2699" s="33">
        <f t="shared" si="237"/>
        <v>0</v>
      </c>
      <c r="N2699" s="33"/>
    </row>
    <row r="2700" spans="7:14" ht="16.5" customHeight="1">
      <c r="G2700" s="30">
        <f t="shared" si="238"/>
        <v>0</v>
      </c>
      <c r="H2700" s="31">
        <f t="shared" si="239"/>
        <v>0</v>
      </c>
      <c r="I2700" s="31">
        <f t="shared" si="240"/>
        <v>0</v>
      </c>
      <c r="J2700" s="31">
        <f t="shared" si="241"/>
        <v>0</v>
      </c>
      <c r="M2700" s="33">
        <f t="shared" si="237"/>
        <v>0</v>
      </c>
      <c r="N2700" s="33"/>
    </row>
    <row r="2701" spans="7:14" ht="16.5" customHeight="1">
      <c r="G2701" s="30">
        <f t="shared" si="238"/>
        <v>0</v>
      </c>
      <c r="H2701" s="31">
        <f t="shared" si="239"/>
        <v>0</v>
      </c>
      <c r="I2701" s="31">
        <f t="shared" si="240"/>
        <v>0</v>
      </c>
      <c r="J2701" s="31">
        <f t="shared" si="241"/>
        <v>0</v>
      </c>
      <c r="M2701" s="33">
        <f t="shared" si="237"/>
        <v>0</v>
      </c>
      <c r="N2701" s="33"/>
    </row>
    <row r="2702" spans="7:14" ht="16.5" customHeight="1">
      <c r="G2702" s="30">
        <f t="shared" si="238"/>
        <v>0</v>
      </c>
      <c r="H2702" s="31">
        <f t="shared" si="239"/>
        <v>0</v>
      </c>
      <c r="I2702" s="31">
        <f t="shared" si="240"/>
        <v>0</v>
      </c>
      <c r="J2702" s="31">
        <f t="shared" si="241"/>
        <v>0</v>
      </c>
      <c r="M2702" s="33">
        <f t="shared" si="237"/>
        <v>0</v>
      </c>
      <c r="N2702" s="33"/>
    </row>
    <row r="2703" spans="7:14" ht="16.5" customHeight="1">
      <c r="G2703" s="30">
        <f t="shared" si="238"/>
        <v>0</v>
      </c>
      <c r="H2703" s="31">
        <f t="shared" si="239"/>
        <v>0</v>
      </c>
      <c r="I2703" s="31">
        <f t="shared" si="240"/>
        <v>0</v>
      </c>
      <c r="J2703" s="31">
        <f t="shared" si="241"/>
        <v>0</v>
      </c>
      <c r="M2703" s="33">
        <f t="shared" si="237"/>
        <v>0</v>
      </c>
      <c r="N2703" s="33"/>
    </row>
    <row r="2704" spans="7:14" ht="16.5" customHeight="1">
      <c r="G2704" s="30">
        <f t="shared" si="238"/>
        <v>0</v>
      </c>
      <c r="H2704" s="31">
        <f t="shared" si="239"/>
        <v>0</v>
      </c>
      <c r="I2704" s="31">
        <f t="shared" si="240"/>
        <v>0</v>
      </c>
      <c r="J2704" s="31">
        <f t="shared" si="241"/>
        <v>0</v>
      </c>
      <c r="M2704" s="33">
        <f t="shared" si="237"/>
        <v>0</v>
      </c>
      <c r="N2704" s="33"/>
    </row>
    <row r="2705" spans="7:14" ht="16.5" customHeight="1">
      <c r="G2705" s="30">
        <f t="shared" si="238"/>
        <v>0</v>
      </c>
      <c r="H2705" s="31">
        <f t="shared" si="239"/>
        <v>0</v>
      </c>
      <c r="I2705" s="31">
        <f t="shared" si="240"/>
        <v>0</v>
      </c>
      <c r="J2705" s="31">
        <f t="shared" si="241"/>
        <v>0</v>
      </c>
      <c r="M2705" s="33">
        <f t="shared" si="237"/>
        <v>0</v>
      </c>
      <c r="N2705" s="33"/>
    </row>
    <row r="2706" spans="7:14" ht="16.5" customHeight="1">
      <c r="G2706" s="30">
        <f t="shared" si="238"/>
        <v>0</v>
      </c>
      <c r="H2706" s="31">
        <f t="shared" si="239"/>
        <v>0</v>
      </c>
      <c r="I2706" s="31">
        <f t="shared" si="240"/>
        <v>0</v>
      </c>
      <c r="J2706" s="31">
        <f t="shared" si="241"/>
        <v>0</v>
      </c>
      <c r="M2706" s="33">
        <f t="shared" si="237"/>
        <v>0</v>
      </c>
      <c r="N2706" s="33"/>
    </row>
    <row r="2707" spans="7:14" ht="16.5" customHeight="1">
      <c r="G2707" s="30">
        <f t="shared" si="238"/>
        <v>0</v>
      </c>
      <c r="H2707" s="31">
        <f t="shared" si="239"/>
        <v>0</v>
      </c>
      <c r="I2707" s="31">
        <f t="shared" si="240"/>
        <v>0</v>
      </c>
      <c r="J2707" s="31">
        <f t="shared" si="241"/>
        <v>0</v>
      </c>
      <c r="M2707" s="33">
        <f t="shared" si="237"/>
        <v>0</v>
      </c>
      <c r="N2707" s="33"/>
    </row>
    <row r="2708" spans="7:14" ht="16.5" customHeight="1">
      <c r="G2708" s="30">
        <f t="shared" si="238"/>
        <v>0</v>
      </c>
      <c r="H2708" s="31">
        <f t="shared" si="239"/>
        <v>0</v>
      </c>
      <c r="I2708" s="31">
        <f t="shared" si="240"/>
        <v>0</v>
      </c>
      <c r="J2708" s="31">
        <f t="shared" si="241"/>
        <v>0</v>
      </c>
      <c r="M2708" s="33">
        <f t="shared" si="237"/>
        <v>0</v>
      </c>
      <c r="N2708" s="33"/>
    </row>
    <row r="2709" spans="7:14" ht="16.5" customHeight="1">
      <c r="G2709" s="30">
        <f t="shared" si="238"/>
        <v>0</v>
      </c>
      <c r="H2709" s="31">
        <f t="shared" si="239"/>
        <v>0</v>
      </c>
      <c r="I2709" s="31">
        <f t="shared" si="240"/>
        <v>0</v>
      </c>
      <c r="J2709" s="31">
        <f t="shared" si="241"/>
        <v>0</v>
      </c>
      <c r="M2709" s="33">
        <f t="shared" si="237"/>
        <v>0</v>
      </c>
      <c r="N2709" s="33"/>
    </row>
    <row r="2710" spans="7:14" ht="16.5" customHeight="1">
      <c r="G2710" s="30">
        <f t="shared" si="238"/>
        <v>0</v>
      </c>
      <c r="H2710" s="31">
        <f t="shared" si="239"/>
        <v>0</v>
      </c>
      <c r="I2710" s="31">
        <f t="shared" si="240"/>
        <v>0</v>
      </c>
      <c r="J2710" s="31">
        <f t="shared" si="241"/>
        <v>0</v>
      </c>
      <c r="M2710" s="33">
        <f t="shared" si="237"/>
        <v>0</v>
      </c>
      <c r="N2710" s="33"/>
    </row>
    <row r="2711" spans="7:14" ht="16.5" customHeight="1">
      <c r="G2711" s="30">
        <f t="shared" si="238"/>
        <v>0</v>
      </c>
      <c r="H2711" s="31">
        <f t="shared" si="239"/>
        <v>0</v>
      </c>
      <c r="I2711" s="31">
        <f t="shared" si="240"/>
        <v>0</v>
      </c>
      <c r="J2711" s="31">
        <f t="shared" si="241"/>
        <v>0</v>
      </c>
      <c r="M2711" s="33">
        <f t="shared" si="237"/>
        <v>0</v>
      </c>
      <c r="N2711" s="33"/>
    </row>
    <row r="2712" spans="7:14" ht="16.5" customHeight="1">
      <c r="G2712" s="30">
        <f t="shared" si="238"/>
        <v>0</v>
      </c>
      <c r="H2712" s="31">
        <f t="shared" si="239"/>
        <v>0</v>
      </c>
      <c r="I2712" s="31">
        <f t="shared" si="240"/>
        <v>0</v>
      </c>
      <c r="J2712" s="31">
        <f t="shared" si="241"/>
        <v>0</v>
      </c>
      <c r="M2712" s="33">
        <f t="shared" si="237"/>
        <v>0</v>
      </c>
      <c r="N2712" s="33"/>
    </row>
    <row r="2713" spans="7:14" ht="16.5" customHeight="1">
      <c r="G2713" s="30">
        <f t="shared" si="238"/>
        <v>0</v>
      </c>
      <c r="H2713" s="31">
        <f t="shared" si="239"/>
        <v>0</v>
      </c>
      <c r="I2713" s="31">
        <f t="shared" si="240"/>
        <v>0</v>
      </c>
      <c r="J2713" s="31">
        <f t="shared" si="241"/>
        <v>0</v>
      </c>
      <c r="M2713" s="33">
        <f t="shared" si="237"/>
        <v>0</v>
      </c>
      <c r="N2713" s="33"/>
    </row>
    <row r="2714" spans="7:14" ht="16.5" customHeight="1">
      <c r="G2714" s="30">
        <f t="shared" si="238"/>
        <v>0</v>
      </c>
      <c r="H2714" s="31">
        <f t="shared" si="239"/>
        <v>0</v>
      </c>
      <c r="I2714" s="31">
        <f t="shared" si="240"/>
        <v>0</v>
      </c>
      <c r="J2714" s="31">
        <f t="shared" si="241"/>
        <v>0</v>
      </c>
      <c r="M2714" s="33">
        <f t="shared" si="237"/>
        <v>0</v>
      </c>
      <c r="N2714" s="33"/>
    </row>
    <row r="2715" spans="7:14" ht="16.5" customHeight="1">
      <c r="G2715" s="30">
        <f t="shared" si="238"/>
        <v>0</v>
      </c>
      <c r="H2715" s="31">
        <f t="shared" si="239"/>
        <v>0</v>
      </c>
      <c r="I2715" s="31">
        <f t="shared" si="240"/>
        <v>0</v>
      </c>
      <c r="J2715" s="31">
        <f t="shared" si="241"/>
        <v>0</v>
      </c>
      <c r="M2715" s="33">
        <f t="shared" si="237"/>
        <v>0</v>
      </c>
      <c r="N2715" s="33"/>
    </row>
    <row r="2716" spans="7:14" ht="16.5" customHeight="1">
      <c r="G2716" s="30">
        <f t="shared" si="238"/>
        <v>0</v>
      </c>
      <c r="H2716" s="31">
        <f t="shared" si="239"/>
        <v>0</v>
      </c>
      <c r="I2716" s="31">
        <f t="shared" si="240"/>
        <v>0</v>
      </c>
      <c r="J2716" s="31">
        <f t="shared" si="241"/>
        <v>0</v>
      </c>
      <c r="M2716" s="33">
        <f t="shared" si="237"/>
        <v>0</v>
      </c>
      <c r="N2716" s="33"/>
    </row>
    <row r="2717" spans="7:14" ht="16.5" customHeight="1">
      <c r="G2717" s="30">
        <f t="shared" si="238"/>
        <v>0</v>
      </c>
      <c r="H2717" s="31">
        <f t="shared" si="239"/>
        <v>0</v>
      </c>
      <c r="I2717" s="31">
        <f t="shared" si="240"/>
        <v>0</v>
      </c>
      <c r="J2717" s="31">
        <f t="shared" si="241"/>
        <v>0</v>
      </c>
      <c r="M2717" s="33">
        <f t="shared" si="237"/>
        <v>0</v>
      </c>
      <c r="N2717" s="33"/>
    </row>
    <row r="2718" spans="7:14" ht="16.5" customHeight="1">
      <c r="G2718" s="30">
        <f t="shared" si="238"/>
        <v>0</v>
      </c>
      <c r="H2718" s="31">
        <f t="shared" si="239"/>
        <v>0</v>
      </c>
      <c r="I2718" s="31">
        <f t="shared" si="240"/>
        <v>0</v>
      </c>
      <c r="J2718" s="31">
        <f t="shared" si="241"/>
        <v>0</v>
      </c>
      <c r="M2718" s="33">
        <f t="shared" si="237"/>
        <v>0</v>
      </c>
      <c r="N2718" s="33"/>
    </row>
    <row r="2719" spans="7:14" ht="16.5" customHeight="1">
      <c r="G2719" s="30">
        <f t="shared" si="238"/>
        <v>0</v>
      </c>
      <c r="H2719" s="31">
        <f t="shared" si="239"/>
        <v>0</v>
      </c>
      <c r="I2719" s="31">
        <f t="shared" si="240"/>
        <v>0</v>
      </c>
      <c r="J2719" s="31">
        <f t="shared" si="241"/>
        <v>0</v>
      </c>
      <c r="M2719" s="33">
        <f t="shared" si="237"/>
        <v>0</v>
      </c>
      <c r="N2719" s="33"/>
    </row>
    <row r="2720" spans="7:14" ht="16.5" customHeight="1">
      <c r="G2720" s="30">
        <f t="shared" si="238"/>
        <v>0</v>
      </c>
      <c r="H2720" s="31">
        <f t="shared" si="239"/>
        <v>0</v>
      </c>
      <c r="I2720" s="31">
        <f t="shared" si="240"/>
        <v>0</v>
      </c>
      <c r="J2720" s="31">
        <f t="shared" si="241"/>
        <v>0</v>
      </c>
      <c r="M2720" s="33">
        <f t="shared" si="237"/>
        <v>0</v>
      </c>
      <c r="N2720" s="33"/>
    </row>
    <row r="2721" spans="7:14" ht="16.5" customHeight="1">
      <c r="G2721" s="30">
        <f t="shared" si="238"/>
        <v>0</v>
      </c>
      <c r="H2721" s="31">
        <f t="shared" si="239"/>
        <v>0</v>
      </c>
      <c r="I2721" s="31">
        <f t="shared" si="240"/>
        <v>0</v>
      </c>
      <c r="J2721" s="31">
        <f t="shared" si="241"/>
        <v>0</v>
      </c>
      <c r="M2721" s="33">
        <f t="shared" si="237"/>
        <v>0</v>
      </c>
      <c r="N2721" s="33"/>
    </row>
    <row r="2722" spans="7:14" ht="16.5" customHeight="1">
      <c r="G2722" s="30">
        <f t="shared" si="238"/>
        <v>0</v>
      </c>
      <c r="H2722" s="31">
        <f t="shared" si="239"/>
        <v>0</v>
      </c>
      <c r="I2722" s="31">
        <f t="shared" si="240"/>
        <v>0</v>
      </c>
      <c r="J2722" s="31">
        <f t="shared" si="241"/>
        <v>0</v>
      </c>
      <c r="M2722" s="33">
        <f t="shared" si="237"/>
        <v>0</v>
      </c>
      <c r="N2722" s="33"/>
    </row>
    <row r="2723" spans="7:14" ht="16.5" customHeight="1">
      <c r="G2723" s="30">
        <f t="shared" si="238"/>
        <v>0</v>
      </c>
      <c r="H2723" s="31">
        <f t="shared" si="239"/>
        <v>0</v>
      </c>
      <c r="I2723" s="31">
        <f t="shared" si="240"/>
        <v>0</v>
      </c>
      <c r="J2723" s="31">
        <f t="shared" si="241"/>
        <v>0</v>
      </c>
      <c r="M2723" s="33">
        <f t="shared" si="237"/>
        <v>0</v>
      </c>
      <c r="N2723" s="33"/>
    </row>
    <row r="2724" spans="7:14" ht="16.5" customHeight="1">
      <c r="G2724" s="30">
        <f t="shared" si="238"/>
        <v>0</v>
      </c>
      <c r="H2724" s="31">
        <f t="shared" si="239"/>
        <v>0</v>
      </c>
      <c r="I2724" s="31">
        <f t="shared" si="240"/>
        <v>0</v>
      </c>
      <c r="J2724" s="31">
        <f t="shared" si="241"/>
        <v>0</v>
      </c>
      <c r="M2724" s="33">
        <f t="shared" si="237"/>
        <v>0</v>
      </c>
      <c r="N2724" s="33"/>
    </row>
    <row r="2725" spans="7:14" ht="16.5" customHeight="1">
      <c r="G2725" s="30">
        <f t="shared" si="238"/>
        <v>0</v>
      </c>
      <c r="H2725" s="31">
        <f t="shared" si="239"/>
        <v>0</v>
      </c>
      <c r="I2725" s="31">
        <f t="shared" si="240"/>
        <v>0</v>
      </c>
      <c r="J2725" s="31">
        <f t="shared" si="241"/>
        <v>0</v>
      </c>
      <c r="M2725" s="33">
        <f t="shared" si="237"/>
        <v>0</v>
      </c>
      <c r="N2725" s="33"/>
    </row>
    <row r="2726" spans="7:14" ht="16.5" customHeight="1">
      <c r="G2726" s="30">
        <f t="shared" si="238"/>
        <v>0</v>
      </c>
      <c r="H2726" s="31">
        <f t="shared" si="239"/>
        <v>0</v>
      </c>
      <c r="I2726" s="31">
        <f t="shared" si="240"/>
        <v>0</v>
      </c>
      <c r="J2726" s="31">
        <f t="shared" si="241"/>
        <v>0</v>
      </c>
      <c r="M2726" s="33">
        <f t="shared" si="237"/>
        <v>0</v>
      </c>
      <c r="N2726" s="33"/>
    </row>
    <row r="2727" spans="7:14" ht="16.5" customHeight="1">
      <c r="G2727" s="30">
        <f t="shared" si="238"/>
        <v>0</v>
      </c>
      <c r="H2727" s="31">
        <f t="shared" si="239"/>
        <v>0</v>
      </c>
      <c r="I2727" s="31">
        <f t="shared" si="240"/>
        <v>0</v>
      </c>
      <c r="J2727" s="31">
        <f t="shared" si="241"/>
        <v>0</v>
      </c>
      <c r="M2727" s="33">
        <f t="shared" si="237"/>
        <v>0</v>
      </c>
      <c r="N2727" s="33"/>
    </row>
    <row r="2728" spans="7:14" ht="16.5" customHeight="1">
      <c r="G2728" s="30">
        <f t="shared" si="238"/>
        <v>0</v>
      </c>
      <c r="H2728" s="31">
        <f t="shared" si="239"/>
        <v>0</v>
      </c>
      <c r="I2728" s="31">
        <f t="shared" si="240"/>
        <v>0</v>
      </c>
      <c r="J2728" s="31">
        <f t="shared" si="241"/>
        <v>0</v>
      </c>
      <c r="M2728" s="33">
        <f t="shared" si="237"/>
        <v>0</v>
      </c>
      <c r="N2728" s="33"/>
    </row>
    <row r="2729" spans="7:14" ht="16.5" customHeight="1">
      <c r="G2729" s="30">
        <f t="shared" si="238"/>
        <v>0</v>
      </c>
      <c r="H2729" s="31">
        <f t="shared" si="239"/>
        <v>0</v>
      </c>
      <c r="I2729" s="31">
        <f t="shared" si="240"/>
        <v>0</v>
      </c>
      <c r="J2729" s="31">
        <f t="shared" si="241"/>
        <v>0</v>
      </c>
      <c r="M2729" s="33">
        <f t="shared" si="237"/>
        <v>0</v>
      </c>
      <c r="N2729" s="33"/>
    </row>
    <row r="2730" spans="7:14" ht="16.5" customHeight="1">
      <c r="G2730" s="30">
        <f t="shared" si="238"/>
        <v>0</v>
      </c>
      <c r="H2730" s="31">
        <f t="shared" si="239"/>
        <v>0</v>
      </c>
      <c r="I2730" s="31">
        <f t="shared" si="240"/>
        <v>0</v>
      </c>
      <c r="J2730" s="31">
        <f t="shared" si="241"/>
        <v>0</v>
      </c>
      <c r="M2730" s="33">
        <f t="shared" si="237"/>
        <v>0</v>
      </c>
      <c r="N2730" s="33"/>
    </row>
    <row r="2731" spans="7:14" ht="16.5" customHeight="1">
      <c r="G2731" s="30">
        <f t="shared" si="238"/>
        <v>0</v>
      </c>
      <c r="H2731" s="31">
        <f t="shared" si="239"/>
        <v>0</v>
      </c>
      <c r="I2731" s="31">
        <f t="shared" si="240"/>
        <v>0</v>
      </c>
      <c r="J2731" s="31">
        <f t="shared" si="241"/>
        <v>0</v>
      </c>
      <c r="M2731" s="33">
        <f t="shared" si="237"/>
        <v>0</v>
      </c>
      <c r="N2731" s="33"/>
    </row>
    <row r="2732" spans="7:14" ht="16.5" customHeight="1">
      <c r="G2732" s="30">
        <f t="shared" si="238"/>
        <v>0</v>
      </c>
      <c r="H2732" s="31">
        <f t="shared" si="239"/>
        <v>0</v>
      </c>
      <c r="I2732" s="31">
        <f t="shared" si="240"/>
        <v>0</v>
      </c>
      <c r="J2732" s="31">
        <f t="shared" si="241"/>
        <v>0</v>
      </c>
      <c r="M2732" s="33">
        <f t="shared" si="237"/>
        <v>0</v>
      </c>
      <c r="N2732" s="33"/>
    </row>
    <row r="2733" spans="7:14" ht="16.5" customHeight="1">
      <c r="G2733" s="30">
        <f t="shared" si="238"/>
        <v>0</v>
      </c>
      <c r="H2733" s="31">
        <f t="shared" si="239"/>
        <v>0</v>
      </c>
      <c r="I2733" s="31">
        <f t="shared" si="240"/>
        <v>0</v>
      </c>
      <c r="J2733" s="31">
        <f t="shared" si="241"/>
        <v>0</v>
      </c>
      <c r="M2733" s="33">
        <f t="shared" si="237"/>
        <v>0</v>
      </c>
      <c r="N2733" s="33"/>
    </row>
    <row r="2734" spans="7:14" ht="16.5" customHeight="1">
      <c r="G2734" s="30">
        <f t="shared" si="238"/>
        <v>0</v>
      </c>
      <c r="H2734" s="31">
        <f t="shared" si="239"/>
        <v>0</v>
      </c>
      <c r="I2734" s="31">
        <f t="shared" si="240"/>
        <v>0</v>
      </c>
      <c r="J2734" s="31">
        <f t="shared" si="241"/>
        <v>0</v>
      </c>
      <c r="M2734" s="33">
        <f t="shared" si="237"/>
        <v>0</v>
      </c>
      <c r="N2734" s="33"/>
    </row>
    <row r="2735" spans="7:14" ht="16.5" customHeight="1">
      <c r="G2735" s="30">
        <f t="shared" si="238"/>
        <v>0</v>
      </c>
      <c r="H2735" s="31">
        <f t="shared" si="239"/>
        <v>0</v>
      </c>
      <c r="I2735" s="31">
        <f t="shared" si="240"/>
        <v>0</v>
      </c>
      <c r="J2735" s="31">
        <f t="shared" si="241"/>
        <v>0</v>
      </c>
      <c r="M2735" s="33">
        <f t="shared" si="237"/>
        <v>0</v>
      </c>
      <c r="N2735" s="33"/>
    </row>
    <row r="2736" spans="7:14" ht="16.5" customHeight="1">
      <c r="G2736" s="30">
        <f t="shared" si="238"/>
        <v>0</v>
      </c>
      <c r="H2736" s="31">
        <f t="shared" si="239"/>
        <v>0</v>
      </c>
      <c r="I2736" s="31">
        <f t="shared" si="240"/>
        <v>0</v>
      </c>
      <c r="J2736" s="31">
        <f t="shared" si="241"/>
        <v>0</v>
      </c>
      <c r="M2736" s="33">
        <f t="shared" si="237"/>
        <v>0</v>
      </c>
      <c r="N2736" s="33"/>
    </row>
    <row r="2737" spans="7:14" ht="16.5" customHeight="1">
      <c r="G2737" s="30">
        <f t="shared" si="238"/>
        <v>0</v>
      </c>
      <c r="H2737" s="31">
        <f t="shared" si="239"/>
        <v>0</v>
      </c>
      <c r="I2737" s="31">
        <f t="shared" si="240"/>
        <v>0</v>
      </c>
      <c r="J2737" s="31">
        <f t="shared" si="241"/>
        <v>0</v>
      </c>
      <c r="M2737" s="33">
        <f t="shared" si="237"/>
        <v>0</v>
      </c>
      <c r="N2737" s="33"/>
    </row>
    <row r="2738" spans="7:14" ht="16.5" customHeight="1">
      <c r="G2738" s="30">
        <f t="shared" si="238"/>
        <v>0</v>
      </c>
      <c r="H2738" s="31">
        <f t="shared" si="239"/>
        <v>0</v>
      </c>
      <c r="I2738" s="31">
        <f t="shared" si="240"/>
        <v>0</v>
      </c>
      <c r="J2738" s="31">
        <f t="shared" si="241"/>
        <v>0</v>
      </c>
      <c r="M2738" s="33">
        <f t="shared" si="237"/>
        <v>0</v>
      </c>
      <c r="N2738" s="33"/>
    </row>
    <row r="2739" spans="7:14" ht="16.5" customHeight="1">
      <c r="G2739" s="30">
        <f t="shared" si="238"/>
        <v>0</v>
      </c>
      <c r="H2739" s="31">
        <f t="shared" si="239"/>
        <v>0</v>
      </c>
      <c r="I2739" s="31">
        <f t="shared" si="240"/>
        <v>0</v>
      </c>
      <c r="J2739" s="31">
        <f t="shared" si="241"/>
        <v>0</v>
      </c>
      <c r="M2739" s="33">
        <f t="shared" si="237"/>
        <v>0</v>
      </c>
      <c r="N2739" s="33"/>
    </row>
    <row r="2740" spans="7:14" ht="16.5" customHeight="1">
      <c r="G2740" s="30">
        <f t="shared" si="238"/>
        <v>0</v>
      </c>
      <c r="H2740" s="31">
        <f t="shared" si="239"/>
        <v>0</v>
      </c>
      <c r="I2740" s="31">
        <f t="shared" si="240"/>
        <v>0</v>
      </c>
      <c r="J2740" s="31">
        <f t="shared" si="241"/>
        <v>0</v>
      </c>
      <c r="M2740" s="33">
        <f t="shared" si="237"/>
        <v>0</v>
      </c>
      <c r="N2740" s="33"/>
    </row>
    <row r="2741" spans="7:14" ht="16.5" customHeight="1">
      <c r="G2741" s="30">
        <f t="shared" si="238"/>
        <v>0</v>
      </c>
      <c r="H2741" s="31">
        <f t="shared" si="239"/>
        <v>0</v>
      </c>
      <c r="I2741" s="31">
        <f t="shared" si="240"/>
        <v>0</v>
      </c>
      <c r="J2741" s="31">
        <f t="shared" si="241"/>
        <v>0</v>
      </c>
      <c r="M2741" s="33">
        <f t="shared" si="237"/>
        <v>0</v>
      </c>
      <c r="N2741" s="33"/>
    </row>
    <row r="2742" spans="7:14" ht="16.5" customHeight="1">
      <c r="G2742" s="30">
        <f t="shared" si="238"/>
        <v>0</v>
      </c>
      <c r="H2742" s="31">
        <f t="shared" si="239"/>
        <v>0</v>
      </c>
      <c r="I2742" s="31">
        <f t="shared" si="240"/>
        <v>0</v>
      </c>
      <c r="J2742" s="31">
        <f t="shared" si="241"/>
        <v>0</v>
      </c>
      <c r="M2742" s="33">
        <f t="shared" si="237"/>
        <v>0</v>
      </c>
      <c r="N2742" s="33"/>
    </row>
    <row r="2743" spans="7:14" ht="16.5" customHeight="1">
      <c r="G2743" s="30">
        <f t="shared" si="238"/>
        <v>0</v>
      </c>
      <c r="H2743" s="31">
        <f t="shared" si="239"/>
        <v>0</v>
      </c>
      <c r="I2743" s="31">
        <f t="shared" si="240"/>
        <v>0</v>
      </c>
      <c r="J2743" s="31">
        <f t="shared" si="241"/>
        <v>0</v>
      </c>
      <c r="M2743" s="33">
        <f t="shared" si="237"/>
        <v>0</v>
      </c>
      <c r="N2743" s="33"/>
    </row>
    <row r="2744" spans="7:14" ht="16.5" customHeight="1">
      <c r="G2744" s="30">
        <f t="shared" si="238"/>
        <v>0</v>
      </c>
      <c r="H2744" s="31">
        <f t="shared" si="239"/>
        <v>0</v>
      </c>
      <c r="I2744" s="31">
        <f t="shared" si="240"/>
        <v>0</v>
      </c>
      <c r="J2744" s="31">
        <f t="shared" si="241"/>
        <v>0</v>
      </c>
      <c r="M2744" s="33">
        <f t="shared" si="237"/>
        <v>0</v>
      </c>
      <c r="N2744" s="33"/>
    </row>
    <row r="2745" spans="7:14" ht="16.5" customHeight="1">
      <c r="G2745" s="30">
        <f t="shared" si="238"/>
        <v>0</v>
      </c>
      <c r="H2745" s="31">
        <f t="shared" si="239"/>
        <v>0</v>
      </c>
      <c r="I2745" s="31">
        <f t="shared" si="240"/>
        <v>0</v>
      </c>
      <c r="J2745" s="31">
        <f t="shared" si="241"/>
        <v>0</v>
      </c>
      <c r="M2745" s="33">
        <f t="shared" si="237"/>
        <v>0</v>
      </c>
      <c r="N2745" s="33"/>
    </row>
    <row r="2746" spans="7:14" ht="16.5" customHeight="1">
      <c r="G2746" s="30">
        <f t="shared" si="238"/>
        <v>0</v>
      </c>
      <c r="H2746" s="31">
        <f t="shared" si="239"/>
        <v>0</v>
      </c>
      <c r="I2746" s="31">
        <f t="shared" si="240"/>
        <v>0</v>
      </c>
      <c r="J2746" s="31">
        <f t="shared" si="241"/>
        <v>0</v>
      </c>
      <c r="M2746" s="33">
        <f t="shared" si="237"/>
        <v>0</v>
      </c>
      <c r="N2746" s="33"/>
    </row>
    <row r="2747" spans="7:14" ht="16.5" customHeight="1">
      <c r="G2747" s="30">
        <f t="shared" si="238"/>
        <v>0</v>
      </c>
      <c r="H2747" s="31">
        <f t="shared" si="239"/>
        <v>0</v>
      </c>
      <c r="I2747" s="31">
        <f t="shared" si="240"/>
        <v>0</v>
      </c>
      <c r="J2747" s="31">
        <f t="shared" si="241"/>
        <v>0</v>
      </c>
      <c r="M2747" s="33">
        <f t="shared" si="237"/>
        <v>0</v>
      </c>
      <c r="N2747" s="33"/>
    </row>
    <row r="2748" spans="7:14" ht="16.5" customHeight="1">
      <c r="G2748" s="30">
        <f t="shared" si="238"/>
        <v>0</v>
      </c>
      <c r="H2748" s="31">
        <f t="shared" si="239"/>
        <v>0</v>
      </c>
      <c r="I2748" s="31">
        <f t="shared" si="240"/>
        <v>0</v>
      </c>
      <c r="J2748" s="31">
        <f t="shared" si="241"/>
        <v>0</v>
      </c>
      <c r="M2748" s="33">
        <f t="shared" si="237"/>
        <v>0</v>
      </c>
      <c r="N2748" s="33"/>
    </row>
    <row r="2749" spans="7:14" ht="16.5" customHeight="1">
      <c r="G2749" s="30">
        <f t="shared" si="238"/>
        <v>0</v>
      </c>
      <c r="H2749" s="31">
        <f t="shared" si="239"/>
        <v>0</v>
      </c>
      <c r="I2749" s="31">
        <f t="shared" si="240"/>
        <v>0</v>
      </c>
      <c r="J2749" s="31">
        <f t="shared" si="241"/>
        <v>0</v>
      </c>
      <c r="M2749" s="33">
        <f t="shared" si="237"/>
        <v>0</v>
      </c>
      <c r="N2749" s="33"/>
    </row>
    <row r="2750" spans="7:14" ht="16.5" customHeight="1">
      <c r="G2750" s="30">
        <f t="shared" si="238"/>
        <v>0</v>
      </c>
      <c r="H2750" s="31">
        <f t="shared" si="239"/>
        <v>0</v>
      </c>
      <c r="I2750" s="31">
        <f t="shared" si="240"/>
        <v>0</v>
      </c>
      <c r="J2750" s="31">
        <f t="shared" si="241"/>
        <v>0</v>
      </c>
      <c r="M2750" s="33">
        <f t="shared" ref="M2750:M2813" si="242">IF(P2750="TL tuyệt đối",0, IF(K2750&lt;5,0,IF(K2750&lt;50,K2750*9%,IF(K2750&lt;100,4.5,IF(K2750&lt;200,4.5%*K2750,IF(K2750&lt;300,9,IF(K2750&lt;500,K2750*3%,IF(K2750&lt;1000,15,))))))))</f>
        <v>0</v>
      </c>
      <c r="N2750" s="33"/>
    </row>
    <row r="2751" spans="7:14" ht="16.5" customHeight="1">
      <c r="G2751" s="30">
        <f t="shared" si="238"/>
        <v>0</v>
      </c>
      <c r="H2751" s="31">
        <f t="shared" si="239"/>
        <v>0</v>
      </c>
      <c r="I2751" s="31">
        <f t="shared" si="240"/>
        <v>0</v>
      </c>
      <c r="J2751" s="31">
        <f t="shared" si="241"/>
        <v>0</v>
      </c>
      <c r="M2751" s="33">
        <f t="shared" si="242"/>
        <v>0</v>
      </c>
      <c r="N2751" s="33"/>
    </row>
    <row r="2752" spans="7:14" ht="16.5" customHeight="1">
      <c r="G2752" s="30">
        <f t="shared" ref="G2752:G2815" si="243">IF(P2752="TL tuyệt đối",K2752*103%,K2752+1/3*M2752)</f>
        <v>0</v>
      </c>
      <c r="H2752" s="31">
        <f t="shared" ref="H2752:H2815" si="244">IF(P2752="TL tuyệt đối",K2752*101%,K2752-1/3*M2752)</f>
        <v>0</v>
      </c>
      <c r="I2752" s="31">
        <f t="shared" ref="I2752:I2815" si="245">IF(P2752="TL tuyệt đối", K2752*105%,K2752+M2752)</f>
        <v>0</v>
      </c>
      <c r="J2752" s="31">
        <f t="shared" si="241"/>
        <v>0</v>
      </c>
      <c r="M2752" s="33">
        <f t="shared" si="242"/>
        <v>0</v>
      </c>
      <c r="N2752" s="33"/>
    </row>
    <row r="2753" spans="7:14" ht="16.5" customHeight="1">
      <c r="G2753" s="30">
        <f t="shared" si="243"/>
        <v>0</v>
      </c>
      <c r="H2753" s="31">
        <f t="shared" si="244"/>
        <v>0</v>
      </c>
      <c r="I2753" s="31">
        <f t="shared" si="245"/>
        <v>0</v>
      </c>
      <c r="J2753" s="31">
        <f t="shared" si="241"/>
        <v>0</v>
      </c>
      <c r="M2753" s="33">
        <f t="shared" si="242"/>
        <v>0</v>
      </c>
      <c r="N2753" s="33"/>
    </row>
    <row r="2754" spans="7:14" ht="16.5" customHeight="1">
      <c r="G2754" s="30">
        <f t="shared" si="243"/>
        <v>0</v>
      </c>
      <c r="H2754" s="31">
        <f t="shared" si="244"/>
        <v>0</v>
      </c>
      <c r="I2754" s="31">
        <f t="shared" si="245"/>
        <v>0</v>
      </c>
      <c r="J2754" s="31">
        <f t="shared" si="241"/>
        <v>0</v>
      </c>
      <c r="M2754" s="33">
        <f t="shared" si="242"/>
        <v>0</v>
      </c>
      <c r="N2754" s="33"/>
    </row>
    <row r="2755" spans="7:14" ht="16.5" customHeight="1">
      <c r="G2755" s="30">
        <f t="shared" si="243"/>
        <v>0</v>
      </c>
      <c r="H2755" s="31">
        <f t="shared" si="244"/>
        <v>0</v>
      </c>
      <c r="I2755" s="31">
        <f t="shared" si="245"/>
        <v>0</v>
      </c>
      <c r="J2755" s="31">
        <f t="shared" si="241"/>
        <v>0</v>
      </c>
      <c r="M2755" s="33">
        <f t="shared" si="242"/>
        <v>0</v>
      </c>
      <c r="N2755" s="33"/>
    </row>
    <row r="2756" spans="7:14" ht="16.5" customHeight="1">
      <c r="G2756" s="30">
        <f t="shared" si="243"/>
        <v>0</v>
      </c>
      <c r="H2756" s="31">
        <f t="shared" si="244"/>
        <v>0</v>
      </c>
      <c r="I2756" s="31">
        <f t="shared" si="245"/>
        <v>0</v>
      </c>
      <c r="J2756" s="31">
        <f t="shared" ref="J2756:J2819" si="246">K2756-M2756</f>
        <v>0</v>
      </c>
      <c r="M2756" s="33">
        <f t="shared" si="242"/>
        <v>0</v>
      </c>
      <c r="N2756" s="33"/>
    </row>
    <row r="2757" spans="7:14" ht="16.5" customHeight="1">
      <c r="G2757" s="30">
        <f t="shared" si="243"/>
        <v>0</v>
      </c>
      <c r="H2757" s="31">
        <f t="shared" si="244"/>
        <v>0</v>
      </c>
      <c r="I2757" s="31">
        <f t="shared" si="245"/>
        <v>0</v>
      </c>
      <c r="J2757" s="31">
        <f t="shared" si="246"/>
        <v>0</v>
      </c>
      <c r="M2757" s="33">
        <f t="shared" si="242"/>
        <v>0</v>
      </c>
      <c r="N2757" s="33"/>
    </row>
    <row r="2758" spans="7:14" ht="16.5" customHeight="1">
      <c r="G2758" s="30">
        <f t="shared" si="243"/>
        <v>0</v>
      </c>
      <c r="H2758" s="31">
        <f t="shared" si="244"/>
        <v>0</v>
      </c>
      <c r="I2758" s="31">
        <f t="shared" si="245"/>
        <v>0</v>
      </c>
      <c r="J2758" s="31">
        <f t="shared" si="246"/>
        <v>0</v>
      </c>
      <c r="M2758" s="33">
        <f t="shared" si="242"/>
        <v>0</v>
      </c>
      <c r="N2758" s="33"/>
    </row>
    <row r="2759" spans="7:14" ht="16.5" customHeight="1">
      <c r="G2759" s="30">
        <f t="shared" si="243"/>
        <v>0</v>
      </c>
      <c r="H2759" s="31">
        <f t="shared" si="244"/>
        <v>0</v>
      </c>
      <c r="I2759" s="31">
        <f t="shared" si="245"/>
        <v>0</v>
      </c>
      <c r="J2759" s="31">
        <f t="shared" si="246"/>
        <v>0</v>
      </c>
      <c r="M2759" s="33">
        <f t="shared" si="242"/>
        <v>0</v>
      </c>
      <c r="N2759" s="33"/>
    </row>
    <row r="2760" spans="7:14" ht="16.5" customHeight="1">
      <c r="G2760" s="30">
        <f t="shared" si="243"/>
        <v>0</v>
      </c>
      <c r="H2760" s="31">
        <f t="shared" si="244"/>
        <v>0</v>
      </c>
      <c r="I2760" s="31">
        <f t="shared" si="245"/>
        <v>0</v>
      </c>
      <c r="J2760" s="31">
        <f t="shared" si="246"/>
        <v>0</v>
      </c>
      <c r="M2760" s="33">
        <f t="shared" si="242"/>
        <v>0</v>
      </c>
      <c r="N2760" s="33"/>
    </row>
    <row r="2761" spans="7:14" ht="16.5" customHeight="1">
      <c r="G2761" s="30">
        <f t="shared" si="243"/>
        <v>0</v>
      </c>
      <c r="H2761" s="31">
        <f t="shared" si="244"/>
        <v>0</v>
      </c>
      <c r="I2761" s="31">
        <f t="shared" si="245"/>
        <v>0</v>
      </c>
      <c r="J2761" s="31">
        <f t="shared" si="246"/>
        <v>0</v>
      </c>
      <c r="M2761" s="33">
        <f t="shared" si="242"/>
        <v>0</v>
      </c>
      <c r="N2761" s="33"/>
    </row>
    <row r="2762" spans="7:14" ht="16.5" customHeight="1">
      <c r="G2762" s="30">
        <f t="shared" si="243"/>
        <v>0</v>
      </c>
      <c r="H2762" s="31">
        <f t="shared" si="244"/>
        <v>0</v>
      </c>
      <c r="I2762" s="31">
        <f t="shared" si="245"/>
        <v>0</v>
      </c>
      <c r="J2762" s="31">
        <f t="shared" si="246"/>
        <v>0</v>
      </c>
      <c r="M2762" s="33">
        <f t="shared" si="242"/>
        <v>0</v>
      </c>
      <c r="N2762" s="33"/>
    </row>
    <row r="2763" spans="7:14" ht="16.5" customHeight="1">
      <c r="G2763" s="30">
        <f t="shared" si="243"/>
        <v>0</v>
      </c>
      <c r="H2763" s="31">
        <f t="shared" si="244"/>
        <v>0</v>
      </c>
      <c r="I2763" s="31">
        <f t="shared" si="245"/>
        <v>0</v>
      </c>
      <c r="J2763" s="31">
        <f t="shared" si="246"/>
        <v>0</v>
      </c>
      <c r="M2763" s="33">
        <f t="shared" si="242"/>
        <v>0</v>
      </c>
      <c r="N2763" s="33"/>
    </row>
    <row r="2764" spans="7:14" ht="16.5" customHeight="1">
      <c r="G2764" s="30">
        <f t="shared" si="243"/>
        <v>0</v>
      </c>
      <c r="H2764" s="31">
        <f t="shared" si="244"/>
        <v>0</v>
      </c>
      <c r="I2764" s="31">
        <f t="shared" si="245"/>
        <v>0</v>
      </c>
      <c r="J2764" s="31">
        <f t="shared" si="246"/>
        <v>0</v>
      </c>
      <c r="M2764" s="33">
        <f t="shared" si="242"/>
        <v>0</v>
      </c>
      <c r="N2764" s="33"/>
    </row>
    <row r="2765" spans="7:14" ht="16.5" customHeight="1">
      <c r="G2765" s="30">
        <f t="shared" si="243"/>
        <v>0</v>
      </c>
      <c r="H2765" s="31">
        <f t="shared" si="244"/>
        <v>0</v>
      </c>
      <c r="I2765" s="31">
        <f t="shared" si="245"/>
        <v>0</v>
      </c>
      <c r="J2765" s="31">
        <f t="shared" si="246"/>
        <v>0</v>
      </c>
      <c r="M2765" s="33">
        <f t="shared" si="242"/>
        <v>0</v>
      </c>
      <c r="N2765" s="33"/>
    </row>
    <row r="2766" spans="7:14" ht="16.5" customHeight="1">
      <c r="G2766" s="30">
        <f t="shared" si="243"/>
        <v>0</v>
      </c>
      <c r="H2766" s="31">
        <f t="shared" si="244"/>
        <v>0</v>
      </c>
      <c r="I2766" s="31">
        <f t="shared" si="245"/>
        <v>0</v>
      </c>
      <c r="J2766" s="31">
        <f t="shared" si="246"/>
        <v>0</v>
      </c>
      <c r="M2766" s="33">
        <f t="shared" si="242"/>
        <v>0</v>
      </c>
      <c r="N2766" s="33"/>
    </row>
    <row r="2767" spans="7:14" ht="16.5" customHeight="1">
      <c r="G2767" s="30">
        <f t="shared" si="243"/>
        <v>0</v>
      </c>
      <c r="H2767" s="31">
        <f t="shared" si="244"/>
        <v>0</v>
      </c>
      <c r="I2767" s="31">
        <f t="shared" si="245"/>
        <v>0</v>
      </c>
      <c r="J2767" s="31">
        <f t="shared" si="246"/>
        <v>0</v>
      </c>
      <c r="M2767" s="33">
        <f t="shared" si="242"/>
        <v>0</v>
      </c>
      <c r="N2767" s="33"/>
    </row>
    <row r="2768" spans="7:14" ht="16.5" customHeight="1">
      <c r="G2768" s="30">
        <f t="shared" si="243"/>
        <v>0</v>
      </c>
      <c r="H2768" s="31">
        <f t="shared" si="244"/>
        <v>0</v>
      </c>
      <c r="I2768" s="31">
        <f t="shared" si="245"/>
        <v>0</v>
      </c>
      <c r="J2768" s="31">
        <f t="shared" si="246"/>
        <v>0</v>
      </c>
      <c r="M2768" s="33">
        <f t="shared" si="242"/>
        <v>0</v>
      </c>
      <c r="N2768" s="33"/>
    </row>
    <row r="2769" spans="7:14" ht="16.5" customHeight="1">
      <c r="G2769" s="30">
        <f t="shared" si="243"/>
        <v>0</v>
      </c>
      <c r="H2769" s="31">
        <f t="shared" si="244"/>
        <v>0</v>
      </c>
      <c r="I2769" s="31">
        <f t="shared" si="245"/>
        <v>0</v>
      </c>
      <c r="J2769" s="31">
        <f t="shared" si="246"/>
        <v>0</v>
      </c>
      <c r="M2769" s="33">
        <f t="shared" si="242"/>
        <v>0</v>
      </c>
      <c r="N2769" s="33"/>
    </row>
    <row r="2770" spans="7:14" ht="16.5" customHeight="1">
      <c r="G2770" s="30">
        <f t="shared" si="243"/>
        <v>0</v>
      </c>
      <c r="H2770" s="31">
        <f t="shared" si="244"/>
        <v>0</v>
      </c>
      <c r="I2770" s="31">
        <f t="shared" si="245"/>
        <v>0</v>
      </c>
      <c r="J2770" s="31">
        <f t="shared" si="246"/>
        <v>0</v>
      </c>
      <c r="M2770" s="33">
        <f t="shared" si="242"/>
        <v>0</v>
      </c>
      <c r="N2770" s="33"/>
    </row>
    <row r="2771" spans="7:14" ht="16.5" customHeight="1">
      <c r="G2771" s="30">
        <f t="shared" si="243"/>
        <v>0</v>
      </c>
      <c r="H2771" s="31">
        <f t="shared" si="244"/>
        <v>0</v>
      </c>
      <c r="I2771" s="31">
        <f t="shared" si="245"/>
        <v>0</v>
      </c>
      <c r="J2771" s="31">
        <f t="shared" si="246"/>
        <v>0</v>
      </c>
      <c r="M2771" s="33">
        <f t="shared" si="242"/>
        <v>0</v>
      </c>
      <c r="N2771" s="33"/>
    </row>
    <row r="2772" spans="7:14" ht="16.5" customHeight="1">
      <c r="G2772" s="30">
        <f t="shared" si="243"/>
        <v>0</v>
      </c>
      <c r="H2772" s="31">
        <f t="shared" si="244"/>
        <v>0</v>
      </c>
      <c r="I2772" s="31">
        <f t="shared" si="245"/>
        <v>0</v>
      </c>
      <c r="J2772" s="31">
        <f t="shared" si="246"/>
        <v>0</v>
      </c>
      <c r="M2772" s="33">
        <f t="shared" si="242"/>
        <v>0</v>
      </c>
      <c r="N2772" s="33"/>
    </row>
    <row r="2773" spans="7:14" ht="16.5" customHeight="1">
      <c r="G2773" s="30">
        <f t="shared" si="243"/>
        <v>0</v>
      </c>
      <c r="H2773" s="31">
        <f t="shared" si="244"/>
        <v>0</v>
      </c>
      <c r="I2773" s="31">
        <f t="shared" si="245"/>
        <v>0</v>
      </c>
      <c r="J2773" s="31">
        <f t="shared" si="246"/>
        <v>0</v>
      </c>
      <c r="M2773" s="33">
        <f t="shared" si="242"/>
        <v>0</v>
      </c>
      <c r="N2773" s="33"/>
    </row>
    <row r="2774" spans="7:14" ht="16.5" customHeight="1">
      <c r="G2774" s="30">
        <f t="shared" si="243"/>
        <v>0</v>
      </c>
      <c r="H2774" s="31">
        <f t="shared" si="244"/>
        <v>0</v>
      </c>
      <c r="I2774" s="31">
        <f t="shared" si="245"/>
        <v>0</v>
      </c>
      <c r="J2774" s="31">
        <f t="shared" si="246"/>
        <v>0</v>
      </c>
      <c r="M2774" s="33">
        <f t="shared" si="242"/>
        <v>0</v>
      </c>
      <c r="N2774" s="33"/>
    </row>
    <row r="2775" spans="7:14" ht="16.5" customHeight="1">
      <c r="G2775" s="30">
        <f t="shared" si="243"/>
        <v>0</v>
      </c>
      <c r="H2775" s="31">
        <f t="shared" si="244"/>
        <v>0</v>
      </c>
      <c r="I2775" s="31">
        <f t="shared" si="245"/>
        <v>0</v>
      </c>
      <c r="J2775" s="31">
        <f t="shared" si="246"/>
        <v>0</v>
      </c>
      <c r="M2775" s="33">
        <f t="shared" si="242"/>
        <v>0</v>
      </c>
      <c r="N2775" s="33"/>
    </row>
    <row r="2776" spans="7:14" ht="16.5" customHeight="1">
      <c r="G2776" s="30">
        <f t="shared" si="243"/>
        <v>0</v>
      </c>
      <c r="H2776" s="31">
        <f t="shared" si="244"/>
        <v>0</v>
      </c>
      <c r="I2776" s="31">
        <f t="shared" si="245"/>
        <v>0</v>
      </c>
      <c r="J2776" s="31">
        <f t="shared" si="246"/>
        <v>0</v>
      </c>
      <c r="M2776" s="33">
        <f t="shared" si="242"/>
        <v>0</v>
      </c>
      <c r="N2776" s="33"/>
    </row>
    <row r="2777" spans="7:14" ht="16.5" customHeight="1">
      <c r="G2777" s="30">
        <f t="shared" si="243"/>
        <v>0</v>
      </c>
      <c r="H2777" s="31">
        <f t="shared" si="244"/>
        <v>0</v>
      </c>
      <c r="I2777" s="31">
        <f t="shared" si="245"/>
        <v>0</v>
      </c>
      <c r="J2777" s="31">
        <f t="shared" si="246"/>
        <v>0</v>
      </c>
      <c r="M2777" s="33">
        <f t="shared" si="242"/>
        <v>0</v>
      </c>
      <c r="N2777" s="33"/>
    </row>
    <row r="2778" spans="7:14" ht="16.5" customHeight="1">
      <c r="G2778" s="30">
        <f t="shared" si="243"/>
        <v>0</v>
      </c>
      <c r="H2778" s="31">
        <f t="shared" si="244"/>
        <v>0</v>
      </c>
      <c r="I2778" s="31">
        <f t="shared" si="245"/>
        <v>0</v>
      </c>
      <c r="J2778" s="31">
        <f t="shared" si="246"/>
        <v>0</v>
      </c>
      <c r="M2778" s="33">
        <f t="shared" si="242"/>
        <v>0</v>
      </c>
      <c r="N2778" s="33"/>
    </row>
    <row r="2779" spans="7:14" ht="16.5" customHeight="1">
      <c r="G2779" s="30">
        <f t="shared" si="243"/>
        <v>0</v>
      </c>
      <c r="H2779" s="31">
        <f t="shared" si="244"/>
        <v>0</v>
      </c>
      <c r="I2779" s="31">
        <f t="shared" si="245"/>
        <v>0</v>
      </c>
      <c r="J2779" s="31">
        <f t="shared" si="246"/>
        <v>0</v>
      </c>
      <c r="M2779" s="33">
        <f t="shared" si="242"/>
        <v>0</v>
      </c>
      <c r="N2779" s="33"/>
    </row>
    <row r="2780" spans="7:14" ht="16.5" customHeight="1">
      <c r="G2780" s="30">
        <f t="shared" si="243"/>
        <v>0</v>
      </c>
      <c r="H2780" s="31">
        <f t="shared" si="244"/>
        <v>0</v>
      </c>
      <c r="I2780" s="31">
        <f t="shared" si="245"/>
        <v>0</v>
      </c>
      <c r="J2780" s="31">
        <f t="shared" si="246"/>
        <v>0</v>
      </c>
      <c r="M2780" s="33">
        <f t="shared" si="242"/>
        <v>0</v>
      </c>
      <c r="N2780" s="33"/>
    </row>
    <row r="2781" spans="7:14" ht="16.5" customHeight="1">
      <c r="G2781" s="30">
        <f t="shared" si="243"/>
        <v>0</v>
      </c>
      <c r="H2781" s="31">
        <f t="shared" si="244"/>
        <v>0</v>
      </c>
      <c r="I2781" s="31">
        <f t="shared" si="245"/>
        <v>0</v>
      </c>
      <c r="J2781" s="31">
        <f t="shared" si="246"/>
        <v>0</v>
      </c>
      <c r="M2781" s="33">
        <f t="shared" si="242"/>
        <v>0</v>
      </c>
      <c r="N2781" s="33"/>
    </row>
    <row r="2782" spans="7:14" ht="16.5" customHeight="1">
      <c r="G2782" s="30">
        <f t="shared" si="243"/>
        <v>0</v>
      </c>
      <c r="H2782" s="31">
        <f t="shared" si="244"/>
        <v>0</v>
      </c>
      <c r="I2782" s="31">
        <f t="shared" si="245"/>
        <v>0</v>
      </c>
      <c r="J2782" s="31">
        <f t="shared" si="246"/>
        <v>0</v>
      </c>
      <c r="M2782" s="33">
        <f t="shared" si="242"/>
        <v>0</v>
      </c>
      <c r="N2782" s="33"/>
    </row>
    <row r="2783" spans="7:14" ht="16.5" customHeight="1">
      <c r="G2783" s="30">
        <f t="shared" si="243"/>
        <v>0</v>
      </c>
      <c r="H2783" s="31">
        <f t="shared" si="244"/>
        <v>0</v>
      </c>
      <c r="I2783" s="31">
        <f t="shared" si="245"/>
        <v>0</v>
      </c>
      <c r="J2783" s="31">
        <f t="shared" si="246"/>
        <v>0</v>
      </c>
      <c r="M2783" s="33">
        <f t="shared" si="242"/>
        <v>0</v>
      </c>
      <c r="N2783" s="33"/>
    </row>
    <row r="2784" spans="7:14" ht="16.5" customHeight="1">
      <c r="G2784" s="30">
        <f t="shared" si="243"/>
        <v>0</v>
      </c>
      <c r="H2784" s="31">
        <f t="shared" si="244"/>
        <v>0</v>
      </c>
      <c r="I2784" s="31">
        <f t="shared" si="245"/>
        <v>0</v>
      </c>
      <c r="J2784" s="31">
        <f t="shared" si="246"/>
        <v>0</v>
      </c>
      <c r="M2784" s="33">
        <f t="shared" si="242"/>
        <v>0</v>
      </c>
      <c r="N2784" s="33"/>
    </row>
    <row r="2785" spans="7:14" ht="16.5" customHeight="1">
      <c r="G2785" s="30">
        <f t="shared" si="243"/>
        <v>0</v>
      </c>
      <c r="H2785" s="31">
        <f t="shared" si="244"/>
        <v>0</v>
      </c>
      <c r="I2785" s="31">
        <f t="shared" si="245"/>
        <v>0</v>
      </c>
      <c r="J2785" s="31">
        <f t="shared" si="246"/>
        <v>0</v>
      </c>
      <c r="M2785" s="33">
        <f t="shared" si="242"/>
        <v>0</v>
      </c>
      <c r="N2785" s="33"/>
    </row>
    <row r="2786" spans="7:14" ht="16.5" customHeight="1">
      <c r="G2786" s="30">
        <f t="shared" si="243"/>
        <v>0</v>
      </c>
      <c r="H2786" s="31">
        <f t="shared" si="244"/>
        <v>0</v>
      </c>
      <c r="I2786" s="31">
        <f t="shared" si="245"/>
        <v>0</v>
      </c>
      <c r="J2786" s="31">
        <f t="shared" si="246"/>
        <v>0</v>
      </c>
      <c r="M2786" s="33">
        <f t="shared" si="242"/>
        <v>0</v>
      </c>
      <c r="N2786" s="33"/>
    </row>
    <row r="2787" spans="7:14" ht="16.5" customHeight="1">
      <c r="G2787" s="30">
        <f t="shared" si="243"/>
        <v>0</v>
      </c>
      <c r="H2787" s="31">
        <f t="shared" si="244"/>
        <v>0</v>
      </c>
      <c r="I2787" s="31">
        <f t="shared" si="245"/>
        <v>0</v>
      </c>
      <c r="J2787" s="31">
        <f t="shared" si="246"/>
        <v>0</v>
      </c>
      <c r="M2787" s="33">
        <f t="shared" si="242"/>
        <v>0</v>
      </c>
      <c r="N2787" s="33"/>
    </row>
    <row r="2788" spans="7:14" ht="16.5" customHeight="1">
      <c r="G2788" s="30">
        <f t="shared" si="243"/>
        <v>0</v>
      </c>
      <c r="H2788" s="31">
        <f t="shared" si="244"/>
        <v>0</v>
      </c>
      <c r="I2788" s="31">
        <f t="shared" si="245"/>
        <v>0</v>
      </c>
      <c r="J2788" s="31">
        <f t="shared" si="246"/>
        <v>0</v>
      </c>
      <c r="M2788" s="33">
        <f t="shared" si="242"/>
        <v>0</v>
      </c>
      <c r="N2788" s="33"/>
    </row>
    <row r="2789" spans="7:14" ht="16.5" customHeight="1">
      <c r="G2789" s="30">
        <f t="shared" si="243"/>
        <v>0</v>
      </c>
      <c r="H2789" s="31">
        <f t="shared" si="244"/>
        <v>0</v>
      </c>
      <c r="I2789" s="31">
        <f t="shared" si="245"/>
        <v>0</v>
      </c>
      <c r="J2789" s="31">
        <f t="shared" si="246"/>
        <v>0</v>
      </c>
      <c r="M2789" s="33">
        <f t="shared" si="242"/>
        <v>0</v>
      </c>
      <c r="N2789" s="33"/>
    </row>
    <row r="2790" spans="7:14" ht="16.5" customHeight="1">
      <c r="G2790" s="30">
        <f t="shared" si="243"/>
        <v>0</v>
      </c>
      <c r="H2790" s="31">
        <f t="shared" si="244"/>
        <v>0</v>
      </c>
      <c r="I2790" s="31">
        <f t="shared" si="245"/>
        <v>0</v>
      </c>
      <c r="J2790" s="31">
        <f t="shared" si="246"/>
        <v>0</v>
      </c>
      <c r="M2790" s="33">
        <f t="shared" si="242"/>
        <v>0</v>
      </c>
      <c r="N2790" s="33"/>
    </row>
    <row r="2791" spans="7:14" ht="16.5" customHeight="1">
      <c r="G2791" s="30">
        <f t="shared" si="243"/>
        <v>0</v>
      </c>
      <c r="H2791" s="31">
        <f t="shared" si="244"/>
        <v>0</v>
      </c>
      <c r="I2791" s="31">
        <f t="shared" si="245"/>
        <v>0</v>
      </c>
      <c r="J2791" s="31">
        <f t="shared" si="246"/>
        <v>0</v>
      </c>
      <c r="M2791" s="33">
        <f t="shared" si="242"/>
        <v>0</v>
      </c>
      <c r="N2791" s="33"/>
    </row>
    <row r="2792" spans="7:14" ht="16.5" customHeight="1">
      <c r="G2792" s="30">
        <f t="shared" si="243"/>
        <v>0</v>
      </c>
      <c r="H2792" s="31">
        <f t="shared" si="244"/>
        <v>0</v>
      </c>
      <c r="I2792" s="31">
        <f t="shared" si="245"/>
        <v>0</v>
      </c>
      <c r="J2792" s="31">
        <f t="shared" si="246"/>
        <v>0</v>
      </c>
      <c r="M2792" s="33">
        <f t="shared" si="242"/>
        <v>0</v>
      </c>
      <c r="N2792" s="33"/>
    </row>
    <row r="2793" spans="7:14" ht="16.5" customHeight="1">
      <c r="G2793" s="30">
        <f t="shared" si="243"/>
        <v>0</v>
      </c>
      <c r="H2793" s="31">
        <f t="shared" si="244"/>
        <v>0</v>
      </c>
      <c r="I2793" s="31">
        <f t="shared" si="245"/>
        <v>0</v>
      </c>
      <c r="J2793" s="31">
        <f t="shared" si="246"/>
        <v>0</v>
      </c>
      <c r="M2793" s="33">
        <f t="shared" si="242"/>
        <v>0</v>
      </c>
      <c r="N2793" s="33"/>
    </row>
    <row r="2794" spans="7:14" ht="16.5" customHeight="1">
      <c r="G2794" s="30">
        <f t="shared" si="243"/>
        <v>0</v>
      </c>
      <c r="H2794" s="31">
        <f t="shared" si="244"/>
        <v>0</v>
      </c>
      <c r="I2794" s="31">
        <f t="shared" si="245"/>
        <v>0</v>
      </c>
      <c r="J2794" s="31">
        <f t="shared" si="246"/>
        <v>0</v>
      </c>
      <c r="M2794" s="33">
        <f t="shared" si="242"/>
        <v>0</v>
      </c>
      <c r="N2794" s="33"/>
    </row>
    <row r="2795" spans="7:14" ht="16.5" customHeight="1">
      <c r="G2795" s="30">
        <f t="shared" si="243"/>
        <v>0</v>
      </c>
      <c r="H2795" s="31">
        <f t="shared" si="244"/>
        <v>0</v>
      </c>
      <c r="I2795" s="31">
        <f t="shared" si="245"/>
        <v>0</v>
      </c>
      <c r="J2795" s="31">
        <f t="shared" si="246"/>
        <v>0</v>
      </c>
      <c r="M2795" s="33">
        <f t="shared" si="242"/>
        <v>0</v>
      </c>
      <c r="N2795" s="33"/>
    </row>
    <row r="2796" spans="7:14" ht="16.5" customHeight="1">
      <c r="G2796" s="30">
        <f t="shared" si="243"/>
        <v>0</v>
      </c>
      <c r="H2796" s="31">
        <f t="shared" si="244"/>
        <v>0</v>
      </c>
      <c r="I2796" s="31">
        <f t="shared" si="245"/>
        <v>0</v>
      </c>
      <c r="J2796" s="31">
        <f t="shared" si="246"/>
        <v>0</v>
      </c>
      <c r="M2796" s="33">
        <f t="shared" si="242"/>
        <v>0</v>
      </c>
      <c r="N2796" s="33"/>
    </row>
    <row r="2797" spans="7:14" ht="16.5" customHeight="1">
      <c r="G2797" s="30">
        <f t="shared" si="243"/>
        <v>0</v>
      </c>
      <c r="H2797" s="31">
        <f t="shared" si="244"/>
        <v>0</v>
      </c>
      <c r="I2797" s="31">
        <f t="shared" si="245"/>
        <v>0</v>
      </c>
      <c r="J2797" s="31">
        <f t="shared" si="246"/>
        <v>0</v>
      </c>
      <c r="M2797" s="33">
        <f t="shared" si="242"/>
        <v>0</v>
      </c>
      <c r="N2797" s="33"/>
    </row>
    <row r="2798" spans="7:14" ht="16.5" customHeight="1">
      <c r="G2798" s="30">
        <f t="shared" si="243"/>
        <v>0</v>
      </c>
      <c r="H2798" s="31">
        <f t="shared" si="244"/>
        <v>0</v>
      </c>
      <c r="I2798" s="31">
        <f t="shared" si="245"/>
        <v>0</v>
      </c>
      <c r="J2798" s="31">
        <f t="shared" si="246"/>
        <v>0</v>
      </c>
      <c r="M2798" s="33">
        <f t="shared" si="242"/>
        <v>0</v>
      </c>
      <c r="N2798" s="33"/>
    </row>
    <row r="2799" spans="7:14" ht="16.5" customHeight="1">
      <c r="G2799" s="30">
        <f t="shared" si="243"/>
        <v>0</v>
      </c>
      <c r="H2799" s="31">
        <f t="shared" si="244"/>
        <v>0</v>
      </c>
      <c r="I2799" s="31">
        <f t="shared" si="245"/>
        <v>0</v>
      </c>
      <c r="J2799" s="31">
        <f t="shared" si="246"/>
        <v>0</v>
      </c>
      <c r="M2799" s="33">
        <f t="shared" si="242"/>
        <v>0</v>
      </c>
      <c r="N2799" s="33"/>
    </row>
    <row r="2800" spans="7:14" ht="16.5" customHeight="1">
      <c r="G2800" s="30">
        <f t="shared" si="243"/>
        <v>0</v>
      </c>
      <c r="H2800" s="31">
        <f t="shared" si="244"/>
        <v>0</v>
      </c>
      <c r="I2800" s="31">
        <f t="shared" si="245"/>
        <v>0</v>
      </c>
      <c r="J2800" s="31">
        <f t="shared" si="246"/>
        <v>0</v>
      </c>
      <c r="M2800" s="33">
        <f t="shared" si="242"/>
        <v>0</v>
      </c>
      <c r="N2800" s="33"/>
    </row>
    <row r="2801" spans="7:14" ht="16.5" customHeight="1">
      <c r="G2801" s="30">
        <f t="shared" si="243"/>
        <v>0</v>
      </c>
      <c r="H2801" s="31">
        <f t="shared" si="244"/>
        <v>0</v>
      </c>
      <c r="I2801" s="31">
        <f t="shared" si="245"/>
        <v>0</v>
      </c>
      <c r="J2801" s="31">
        <f t="shared" si="246"/>
        <v>0</v>
      </c>
      <c r="M2801" s="33">
        <f t="shared" si="242"/>
        <v>0</v>
      </c>
      <c r="N2801" s="33"/>
    </row>
    <row r="2802" spans="7:14" ht="16.5" customHeight="1">
      <c r="G2802" s="30">
        <f t="shared" si="243"/>
        <v>0</v>
      </c>
      <c r="H2802" s="31">
        <f t="shared" si="244"/>
        <v>0</v>
      </c>
      <c r="I2802" s="31">
        <f t="shared" si="245"/>
        <v>0</v>
      </c>
      <c r="J2802" s="31">
        <f t="shared" si="246"/>
        <v>0</v>
      </c>
      <c r="M2802" s="33">
        <f t="shared" si="242"/>
        <v>0</v>
      </c>
      <c r="N2802" s="33"/>
    </row>
    <row r="2803" spans="7:14" ht="16.5" customHeight="1">
      <c r="G2803" s="30">
        <f t="shared" si="243"/>
        <v>0</v>
      </c>
      <c r="H2803" s="31">
        <f t="shared" si="244"/>
        <v>0</v>
      </c>
      <c r="I2803" s="31">
        <f t="shared" si="245"/>
        <v>0</v>
      </c>
      <c r="J2803" s="31">
        <f t="shared" si="246"/>
        <v>0</v>
      </c>
      <c r="M2803" s="33">
        <f t="shared" si="242"/>
        <v>0</v>
      </c>
      <c r="N2803" s="33"/>
    </row>
    <row r="2804" spans="7:14" ht="16.5" customHeight="1">
      <c r="G2804" s="30">
        <f t="shared" si="243"/>
        <v>0</v>
      </c>
      <c r="H2804" s="31">
        <f t="shared" si="244"/>
        <v>0</v>
      </c>
      <c r="I2804" s="31">
        <f t="shared" si="245"/>
        <v>0</v>
      </c>
      <c r="J2804" s="31">
        <f t="shared" si="246"/>
        <v>0</v>
      </c>
      <c r="M2804" s="33">
        <f t="shared" si="242"/>
        <v>0</v>
      </c>
      <c r="N2804" s="33"/>
    </row>
    <row r="2805" spans="7:14" ht="16.5" customHeight="1">
      <c r="G2805" s="30">
        <f t="shared" si="243"/>
        <v>0</v>
      </c>
      <c r="H2805" s="31">
        <f t="shared" si="244"/>
        <v>0</v>
      </c>
      <c r="I2805" s="31">
        <f t="shared" si="245"/>
        <v>0</v>
      </c>
      <c r="J2805" s="31">
        <f t="shared" si="246"/>
        <v>0</v>
      </c>
      <c r="M2805" s="33">
        <f t="shared" si="242"/>
        <v>0</v>
      </c>
      <c r="N2805" s="33"/>
    </row>
    <row r="2806" spans="7:14" ht="16.5" customHeight="1">
      <c r="G2806" s="30">
        <f t="shared" si="243"/>
        <v>0</v>
      </c>
      <c r="H2806" s="31">
        <f t="shared" si="244"/>
        <v>0</v>
      </c>
      <c r="I2806" s="31">
        <f t="shared" si="245"/>
        <v>0</v>
      </c>
      <c r="J2806" s="31">
        <f t="shared" si="246"/>
        <v>0</v>
      </c>
      <c r="M2806" s="33">
        <f t="shared" si="242"/>
        <v>0</v>
      </c>
      <c r="N2806" s="33"/>
    </row>
    <row r="2807" spans="7:14" ht="16.5" customHeight="1">
      <c r="G2807" s="30">
        <f t="shared" si="243"/>
        <v>0</v>
      </c>
      <c r="H2807" s="31">
        <f t="shared" si="244"/>
        <v>0</v>
      </c>
      <c r="I2807" s="31">
        <f t="shared" si="245"/>
        <v>0</v>
      </c>
      <c r="J2807" s="31">
        <f t="shared" si="246"/>
        <v>0</v>
      </c>
      <c r="M2807" s="33">
        <f t="shared" si="242"/>
        <v>0</v>
      </c>
      <c r="N2807" s="33"/>
    </row>
    <row r="2808" spans="7:14" ht="16.5" customHeight="1">
      <c r="G2808" s="30">
        <f t="shared" si="243"/>
        <v>0</v>
      </c>
      <c r="H2808" s="31">
        <f t="shared" si="244"/>
        <v>0</v>
      </c>
      <c r="I2808" s="31">
        <f t="shared" si="245"/>
        <v>0</v>
      </c>
      <c r="J2808" s="31">
        <f t="shared" si="246"/>
        <v>0</v>
      </c>
      <c r="M2808" s="33">
        <f t="shared" si="242"/>
        <v>0</v>
      </c>
      <c r="N2808" s="33"/>
    </row>
    <row r="2809" spans="7:14" ht="16.5" customHeight="1">
      <c r="G2809" s="30">
        <f t="shared" si="243"/>
        <v>0</v>
      </c>
      <c r="H2809" s="31">
        <f t="shared" si="244"/>
        <v>0</v>
      </c>
      <c r="I2809" s="31">
        <f t="shared" si="245"/>
        <v>0</v>
      </c>
      <c r="J2809" s="31">
        <f t="shared" si="246"/>
        <v>0</v>
      </c>
      <c r="M2809" s="33">
        <f t="shared" si="242"/>
        <v>0</v>
      </c>
      <c r="N2809" s="33"/>
    </row>
    <row r="2810" spans="7:14" ht="16.5" customHeight="1">
      <c r="G2810" s="30">
        <f t="shared" si="243"/>
        <v>0</v>
      </c>
      <c r="H2810" s="31">
        <f t="shared" si="244"/>
        <v>0</v>
      </c>
      <c r="I2810" s="31">
        <f t="shared" si="245"/>
        <v>0</v>
      </c>
      <c r="J2810" s="31">
        <f t="shared" si="246"/>
        <v>0</v>
      </c>
      <c r="M2810" s="33">
        <f t="shared" si="242"/>
        <v>0</v>
      </c>
      <c r="N2810" s="33"/>
    </row>
    <row r="2811" spans="7:14" ht="16.5" customHeight="1">
      <c r="G2811" s="30">
        <f t="shared" si="243"/>
        <v>0</v>
      </c>
      <c r="H2811" s="31">
        <f t="shared" si="244"/>
        <v>0</v>
      </c>
      <c r="I2811" s="31">
        <f t="shared" si="245"/>
        <v>0</v>
      </c>
      <c r="J2811" s="31">
        <f t="shared" si="246"/>
        <v>0</v>
      </c>
      <c r="M2811" s="33">
        <f t="shared" si="242"/>
        <v>0</v>
      </c>
      <c r="N2811" s="33"/>
    </row>
    <row r="2812" spans="7:14" ht="16.5" customHeight="1">
      <c r="G2812" s="30">
        <f t="shared" si="243"/>
        <v>0</v>
      </c>
      <c r="H2812" s="31">
        <f t="shared" si="244"/>
        <v>0</v>
      </c>
      <c r="I2812" s="31">
        <f t="shared" si="245"/>
        <v>0</v>
      </c>
      <c r="J2812" s="31">
        <f t="shared" si="246"/>
        <v>0</v>
      </c>
      <c r="M2812" s="33">
        <f t="shared" si="242"/>
        <v>0</v>
      </c>
      <c r="N2812" s="33"/>
    </row>
    <row r="2813" spans="7:14" ht="16.5" customHeight="1">
      <c r="G2813" s="30">
        <f t="shared" si="243"/>
        <v>0</v>
      </c>
      <c r="H2813" s="31">
        <f t="shared" si="244"/>
        <v>0</v>
      </c>
      <c r="I2813" s="31">
        <f t="shared" si="245"/>
        <v>0</v>
      </c>
      <c r="J2813" s="31">
        <f t="shared" si="246"/>
        <v>0</v>
      </c>
      <c r="M2813" s="33">
        <f t="shared" si="242"/>
        <v>0</v>
      </c>
      <c r="N2813" s="33"/>
    </row>
    <row r="2814" spans="7:14" ht="16.5" customHeight="1">
      <c r="G2814" s="30">
        <f t="shared" si="243"/>
        <v>0</v>
      </c>
      <c r="H2814" s="31">
        <f t="shared" si="244"/>
        <v>0</v>
      </c>
      <c r="I2814" s="31">
        <f t="shared" si="245"/>
        <v>0</v>
      </c>
      <c r="J2814" s="31">
        <f t="shared" si="246"/>
        <v>0</v>
      </c>
      <c r="M2814" s="33">
        <f t="shared" ref="M2814:M2877" si="247">IF(P2814="TL tuyệt đối",0, IF(K2814&lt;5,0,IF(K2814&lt;50,K2814*9%,IF(K2814&lt;100,4.5,IF(K2814&lt;200,4.5%*K2814,IF(K2814&lt;300,9,IF(K2814&lt;500,K2814*3%,IF(K2814&lt;1000,15,))))))))</f>
        <v>0</v>
      </c>
      <c r="N2814" s="33"/>
    </row>
    <row r="2815" spans="7:14" ht="16.5" customHeight="1">
      <c r="G2815" s="30">
        <f t="shared" si="243"/>
        <v>0</v>
      </c>
      <c r="H2815" s="31">
        <f t="shared" si="244"/>
        <v>0</v>
      </c>
      <c r="I2815" s="31">
        <f t="shared" si="245"/>
        <v>0</v>
      </c>
      <c r="J2815" s="31">
        <f t="shared" si="246"/>
        <v>0</v>
      </c>
      <c r="M2815" s="33">
        <f t="shared" si="247"/>
        <v>0</v>
      </c>
      <c r="N2815" s="33"/>
    </row>
    <row r="2816" spans="7:14" ht="16.5" customHeight="1">
      <c r="G2816" s="30">
        <f t="shared" ref="G2816:G2879" si="248">IF(P2816="TL tuyệt đối",K2816*103%,K2816+1/3*M2816)</f>
        <v>0</v>
      </c>
      <c r="H2816" s="31">
        <f t="shared" ref="H2816:H2879" si="249">IF(P2816="TL tuyệt đối",K2816*101%,K2816-1/3*M2816)</f>
        <v>0</v>
      </c>
      <c r="I2816" s="31">
        <f t="shared" ref="I2816:I2879" si="250">IF(P2816="TL tuyệt đối", K2816*105%,K2816+M2816)</f>
        <v>0</v>
      </c>
      <c r="J2816" s="31">
        <f t="shared" si="246"/>
        <v>0</v>
      </c>
      <c r="M2816" s="33">
        <f t="shared" si="247"/>
        <v>0</v>
      </c>
      <c r="N2816" s="33"/>
    </row>
    <row r="2817" spans="7:14" ht="16.5" customHeight="1">
      <c r="G2817" s="30">
        <f t="shared" si="248"/>
        <v>0</v>
      </c>
      <c r="H2817" s="31">
        <f t="shared" si="249"/>
        <v>0</v>
      </c>
      <c r="I2817" s="31">
        <f t="shared" si="250"/>
        <v>0</v>
      </c>
      <c r="J2817" s="31">
        <f t="shared" si="246"/>
        <v>0</v>
      </c>
      <c r="M2817" s="33">
        <f t="shared" si="247"/>
        <v>0</v>
      </c>
      <c r="N2817" s="33"/>
    </row>
    <row r="2818" spans="7:14" ht="16.5" customHeight="1">
      <c r="G2818" s="30">
        <f t="shared" si="248"/>
        <v>0</v>
      </c>
      <c r="H2818" s="31">
        <f t="shared" si="249"/>
        <v>0</v>
      </c>
      <c r="I2818" s="31">
        <f t="shared" si="250"/>
        <v>0</v>
      </c>
      <c r="J2818" s="31">
        <f t="shared" si="246"/>
        <v>0</v>
      </c>
      <c r="M2818" s="33">
        <f t="shared" si="247"/>
        <v>0</v>
      </c>
      <c r="N2818" s="33"/>
    </row>
    <row r="2819" spans="7:14" ht="16.5" customHeight="1">
      <c r="G2819" s="30">
        <f t="shared" si="248"/>
        <v>0</v>
      </c>
      <c r="H2819" s="31">
        <f t="shared" si="249"/>
        <v>0</v>
      </c>
      <c r="I2819" s="31">
        <f t="shared" si="250"/>
        <v>0</v>
      </c>
      <c r="J2819" s="31">
        <f t="shared" si="246"/>
        <v>0</v>
      </c>
      <c r="M2819" s="33">
        <f t="shared" si="247"/>
        <v>0</v>
      </c>
      <c r="N2819" s="33"/>
    </row>
    <row r="2820" spans="7:14" ht="16.5" customHeight="1">
      <c r="G2820" s="30">
        <f t="shared" si="248"/>
        <v>0</v>
      </c>
      <c r="H2820" s="31">
        <f t="shared" si="249"/>
        <v>0</v>
      </c>
      <c r="I2820" s="31">
        <f t="shared" si="250"/>
        <v>0</v>
      </c>
      <c r="J2820" s="31">
        <f t="shared" ref="J2820:J2883" si="251">K2820-M2820</f>
        <v>0</v>
      </c>
      <c r="M2820" s="33">
        <f t="shared" si="247"/>
        <v>0</v>
      </c>
      <c r="N2820" s="33"/>
    </row>
    <row r="2821" spans="7:14" ht="16.5" customHeight="1">
      <c r="G2821" s="30">
        <f t="shared" si="248"/>
        <v>0</v>
      </c>
      <c r="H2821" s="31">
        <f t="shared" si="249"/>
        <v>0</v>
      </c>
      <c r="I2821" s="31">
        <f t="shared" si="250"/>
        <v>0</v>
      </c>
      <c r="J2821" s="31">
        <f t="shared" si="251"/>
        <v>0</v>
      </c>
      <c r="M2821" s="33">
        <f t="shared" si="247"/>
        <v>0</v>
      </c>
      <c r="N2821" s="33"/>
    </row>
    <row r="2822" spans="7:14" ht="16.5" customHeight="1">
      <c r="G2822" s="30">
        <f t="shared" si="248"/>
        <v>0</v>
      </c>
      <c r="H2822" s="31">
        <f t="shared" si="249"/>
        <v>0</v>
      </c>
      <c r="I2822" s="31">
        <f t="shared" si="250"/>
        <v>0</v>
      </c>
      <c r="J2822" s="31">
        <f t="shared" si="251"/>
        <v>0</v>
      </c>
      <c r="M2822" s="33">
        <f t="shared" si="247"/>
        <v>0</v>
      </c>
      <c r="N2822" s="33"/>
    </row>
    <row r="2823" spans="7:14" ht="16.5" customHeight="1">
      <c r="G2823" s="30">
        <f t="shared" si="248"/>
        <v>0</v>
      </c>
      <c r="H2823" s="31">
        <f t="shared" si="249"/>
        <v>0</v>
      </c>
      <c r="I2823" s="31">
        <f t="shared" si="250"/>
        <v>0</v>
      </c>
      <c r="J2823" s="31">
        <f t="shared" si="251"/>
        <v>0</v>
      </c>
      <c r="M2823" s="33">
        <f t="shared" si="247"/>
        <v>0</v>
      </c>
      <c r="N2823" s="33"/>
    </row>
    <row r="2824" spans="7:14" ht="16.5" customHeight="1">
      <c r="G2824" s="30">
        <f t="shared" si="248"/>
        <v>0</v>
      </c>
      <c r="H2824" s="31">
        <f t="shared" si="249"/>
        <v>0</v>
      </c>
      <c r="I2824" s="31">
        <f t="shared" si="250"/>
        <v>0</v>
      </c>
      <c r="J2824" s="31">
        <f t="shared" si="251"/>
        <v>0</v>
      </c>
      <c r="M2824" s="33">
        <f t="shared" si="247"/>
        <v>0</v>
      </c>
      <c r="N2824" s="33"/>
    </row>
    <row r="2825" spans="7:14" ht="16.5" customHeight="1">
      <c r="G2825" s="30">
        <f t="shared" si="248"/>
        <v>0</v>
      </c>
      <c r="H2825" s="31">
        <f t="shared" si="249"/>
        <v>0</v>
      </c>
      <c r="I2825" s="31">
        <f t="shared" si="250"/>
        <v>0</v>
      </c>
      <c r="J2825" s="31">
        <f t="shared" si="251"/>
        <v>0</v>
      </c>
      <c r="M2825" s="33">
        <f t="shared" si="247"/>
        <v>0</v>
      </c>
      <c r="N2825" s="33"/>
    </row>
    <row r="2826" spans="7:14" ht="16.5" customHeight="1">
      <c r="G2826" s="30">
        <f t="shared" si="248"/>
        <v>0</v>
      </c>
      <c r="H2826" s="31">
        <f t="shared" si="249"/>
        <v>0</v>
      </c>
      <c r="I2826" s="31">
        <f t="shared" si="250"/>
        <v>0</v>
      </c>
      <c r="J2826" s="31">
        <f t="shared" si="251"/>
        <v>0</v>
      </c>
      <c r="M2826" s="33">
        <f t="shared" si="247"/>
        <v>0</v>
      </c>
      <c r="N2826" s="33"/>
    </row>
    <row r="2827" spans="7:14" ht="16.5" customHeight="1">
      <c r="G2827" s="30">
        <f t="shared" si="248"/>
        <v>0</v>
      </c>
      <c r="H2827" s="31">
        <f t="shared" si="249"/>
        <v>0</v>
      </c>
      <c r="I2827" s="31">
        <f t="shared" si="250"/>
        <v>0</v>
      </c>
      <c r="J2827" s="31">
        <f t="shared" si="251"/>
        <v>0</v>
      </c>
      <c r="M2827" s="33">
        <f t="shared" si="247"/>
        <v>0</v>
      </c>
      <c r="N2827" s="33"/>
    </row>
    <row r="2828" spans="7:14" ht="16.5" customHeight="1">
      <c r="G2828" s="30">
        <f t="shared" si="248"/>
        <v>0</v>
      </c>
      <c r="H2828" s="31">
        <f t="shared" si="249"/>
        <v>0</v>
      </c>
      <c r="I2828" s="31">
        <f t="shared" si="250"/>
        <v>0</v>
      </c>
      <c r="J2828" s="31">
        <f t="shared" si="251"/>
        <v>0</v>
      </c>
      <c r="M2828" s="33">
        <f t="shared" si="247"/>
        <v>0</v>
      </c>
      <c r="N2828" s="33"/>
    </row>
    <row r="2829" spans="7:14" ht="16.5" customHeight="1">
      <c r="G2829" s="30">
        <f t="shared" si="248"/>
        <v>0</v>
      </c>
      <c r="H2829" s="31">
        <f t="shared" si="249"/>
        <v>0</v>
      </c>
      <c r="I2829" s="31">
        <f t="shared" si="250"/>
        <v>0</v>
      </c>
      <c r="J2829" s="31">
        <f t="shared" si="251"/>
        <v>0</v>
      </c>
      <c r="M2829" s="33">
        <f t="shared" si="247"/>
        <v>0</v>
      </c>
      <c r="N2829" s="33"/>
    </row>
    <row r="2830" spans="7:14" ht="16.5" customHeight="1">
      <c r="G2830" s="30">
        <f t="shared" si="248"/>
        <v>0</v>
      </c>
      <c r="H2830" s="31">
        <f t="shared" si="249"/>
        <v>0</v>
      </c>
      <c r="I2830" s="31">
        <f t="shared" si="250"/>
        <v>0</v>
      </c>
      <c r="J2830" s="31">
        <f t="shared" si="251"/>
        <v>0</v>
      </c>
      <c r="M2830" s="33">
        <f t="shared" si="247"/>
        <v>0</v>
      </c>
      <c r="N2830" s="33"/>
    </row>
    <row r="2831" spans="7:14" ht="16.5" customHeight="1">
      <c r="G2831" s="30">
        <f t="shared" si="248"/>
        <v>0</v>
      </c>
      <c r="H2831" s="31">
        <f t="shared" si="249"/>
        <v>0</v>
      </c>
      <c r="I2831" s="31">
        <f t="shared" si="250"/>
        <v>0</v>
      </c>
      <c r="J2831" s="31">
        <f t="shared" si="251"/>
        <v>0</v>
      </c>
      <c r="M2831" s="33">
        <f t="shared" si="247"/>
        <v>0</v>
      </c>
      <c r="N2831" s="33"/>
    </row>
    <row r="2832" spans="7:14" ht="16.5" customHeight="1">
      <c r="G2832" s="30">
        <f t="shared" si="248"/>
        <v>0</v>
      </c>
      <c r="H2832" s="31">
        <f t="shared" si="249"/>
        <v>0</v>
      </c>
      <c r="I2832" s="31">
        <f t="shared" si="250"/>
        <v>0</v>
      </c>
      <c r="J2832" s="31">
        <f t="shared" si="251"/>
        <v>0</v>
      </c>
      <c r="M2832" s="33">
        <f t="shared" si="247"/>
        <v>0</v>
      </c>
      <c r="N2832" s="33"/>
    </row>
    <row r="2833" spans="7:14" ht="16.5" customHeight="1">
      <c r="G2833" s="30">
        <f t="shared" si="248"/>
        <v>0</v>
      </c>
      <c r="H2833" s="31">
        <f t="shared" si="249"/>
        <v>0</v>
      </c>
      <c r="I2833" s="31">
        <f t="shared" si="250"/>
        <v>0</v>
      </c>
      <c r="J2833" s="31">
        <f t="shared" si="251"/>
        <v>0</v>
      </c>
      <c r="M2833" s="33">
        <f t="shared" si="247"/>
        <v>0</v>
      </c>
      <c r="N2833" s="33"/>
    </row>
    <row r="2834" spans="7:14" ht="16.5" customHeight="1">
      <c r="G2834" s="30">
        <f t="shared" si="248"/>
        <v>0</v>
      </c>
      <c r="H2834" s="31">
        <f t="shared" si="249"/>
        <v>0</v>
      </c>
      <c r="I2834" s="31">
        <f t="shared" si="250"/>
        <v>0</v>
      </c>
      <c r="J2834" s="31">
        <f t="shared" si="251"/>
        <v>0</v>
      </c>
      <c r="M2834" s="33">
        <f t="shared" si="247"/>
        <v>0</v>
      </c>
      <c r="N2834" s="33"/>
    </row>
    <row r="2835" spans="7:14" ht="16.5" customHeight="1">
      <c r="G2835" s="30">
        <f t="shared" si="248"/>
        <v>0</v>
      </c>
      <c r="H2835" s="31">
        <f t="shared" si="249"/>
        <v>0</v>
      </c>
      <c r="I2835" s="31">
        <f t="shared" si="250"/>
        <v>0</v>
      </c>
      <c r="J2835" s="31">
        <f t="shared" si="251"/>
        <v>0</v>
      </c>
      <c r="M2835" s="33">
        <f t="shared" si="247"/>
        <v>0</v>
      </c>
      <c r="N2835" s="33"/>
    </row>
    <row r="2836" spans="7:14" ht="16.5" customHeight="1">
      <c r="G2836" s="30">
        <f t="shared" si="248"/>
        <v>0</v>
      </c>
      <c r="H2836" s="31">
        <f t="shared" si="249"/>
        <v>0</v>
      </c>
      <c r="I2836" s="31">
        <f t="shared" si="250"/>
        <v>0</v>
      </c>
      <c r="J2836" s="31">
        <f t="shared" si="251"/>
        <v>0</v>
      </c>
      <c r="M2836" s="33">
        <f t="shared" si="247"/>
        <v>0</v>
      </c>
      <c r="N2836" s="33"/>
    </row>
    <row r="2837" spans="7:14" ht="16.5" customHeight="1">
      <c r="G2837" s="30">
        <f t="shared" si="248"/>
        <v>0</v>
      </c>
      <c r="H2837" s="31">
        <f t="shared" si="249"/>
        <v>0</v>
      </c>
      <c r="I2837" s="31">
        <f t="shared" si="250"/>
        <v>0</v>
      </c>
      <c r="J2837" s="31">
        <f t="shared" si="251"/>
        <v>0</v>
      </c>
      <c r="M2837" s="33">
        <f t="shared" si="247"/>
        <v>0</v>
      </c>
      <c r="N2837" s="33"/>
    </row>
    <row r="2838" spans="7:14" ht="16.5" customHeight="1">
      <c r="G2838" s="30">
        <f t="shared" si="248"/>
        <v>0</v>
      </c>
      <c r="H2838" s="31">
        <f t="shared" si="249"/>
        <v>0</v>
      </c>
      <c r="I2838" s="31">
        <f t="shared" si="250"/>
        <v>0</v>
      </c>
      <c r="J2838" s="31">
        <f t="shared" si="251"/>
        <v>0</v>
      </c>
      <c r="M2838" s="33">
        <f t="shared" si="247"/>
        <v>0</v>
      </c>
      <c r="N2838" s="33"/>
    </row>
    <row r="2839" spans="7:14" ht="16.5" customHeight="1">
      <c r="G2839" s="30">
        <f t="shared" si="248"/>
        <v>0</v>
      </c>
      <c r="H2839" s="31">
        <f t="shared" si="249"/>
        <v>0</v>
      </c>
      <c r="I2839" s="31">
        <f t="shared" si="250"/>
        <v>0</v>
      </c>
      <c r="J2839" s="31">
        <f t="shared" si="251"/>
        <v>0</v>
      </c>
      <c r="M2839" s="33">
        <f t="shared" si="247"/>
        <v>0</v>
      </c>
      <c r="N2839" s="33"/>
    </row>
    <row r="2840" spans="7:14" ht="16.5" customHeight="1">
      <c r="G2840" s="30">
        <f t="shared" si="248"/>
        <v>0</v>
      </c>
      <c r="H2840" s="31">
        <f t="shared" si="249"/>
        <v>0</v>
      </c>
      <c r="I2840" s="31">
        <f t="shared" si="250"/>
        <v>0</v>
      </c>
      <c r="J2840" s="31">
        <f t="shared" si="251"/>
        <v>0</v>
      </c>
      <c r="M2840" s="33">
        <f t="shared" si="247"/>
        <v>0</v>
      </c>
      <c r="N2840" s="33"/>
    </row>
    <row r="2841" spans="7:14" ht="16.5" customHeight="1">
      <c r="G2841" s="30">
        <f t="shared" si="248"/>
        <v>0</v>
      </c>
      <c r="H2841" s="31">
        <f t="shared" si="249"/>
        <v>0</v>
      </c>
      <c r="I2841" s="31">
        <f t="shared" si="250"/>
        <v>0</v>
      </c>
      <c r="J2841" s="31">
        <f t="shared" si="251"/>
        <v>0</v>
      </c>
      <c r="M2841" s="33">
        <f t="shared" si="247"/>
        <v>0</v>
      </c>
      <c r="N2841" s="33"/>
    </row>
    <row r="2842" spans="7:14" ht="16.5" customHeight="1">
      <c r="G2842" s="30">
        <f t="shared" si="248"/>
        <v>0</v>
      </c>
      <c r="H2842" s="31">
        <f t="shared" si="249"/>
        <v>0</v>
      </c>
      <c r="I2842" s="31">
        <f t="shared" si="250"/>
        <v>0</v>
      </c>
      <c r="J2842" s="31">
        <f t="shared" si="251"/>
        <v>0</v>
      </c>
      <c r="M2842" s="33">
        <f t="shared" si="247"/>
        <v>0</v>
      </c>
      <c r="N2842" s="33"/>
    </row>
    <row r="2843" spans="7:14" ht="16.5" customHeight="1">
      <c r="G2843" s="30">
        <f t="shared" si="248"/>
        <v>0</v>
      </c>
      <c r="H2843" s="31">
        <f t="shared" si="249"/>
        <v>0</v>
      </c>
      <c r="I2843" s="31">
        <f t="shared" si="250"/>
        <v>0</v>
      </c>
      <c r="J2843" s="31">
        <f t="shared" si="251"/>
        <v>0</v>
      </c>
      <c r="M2843" s="33">
        <f t="shared" si="247"/>
        <v>0</v>
      </c>
      <c r="N2843" s="33"/>
    </row>
    <row r="2844" spans="7:14" ht="16.5" customHeight="1">
      <c r="G2844" s="30">
        <f t="shared" si="248"/>
        <v>0</v>
      </c>
      <c r="H2844" s="31">
        <f t="shared" si="249"/>
        <v>0</v>
      </c>
      <c r="I2844" s="31">
        <f t="shared" si="250"/>
        <v>0</v>
      </c>
      <c r="J2844" s="31">
        <f t="shared" si="251"/>
        <v>0</v>
      </c>
      <c r="M2844" s="33">
        <f t="shared" si="247"/>
        <v>0</v>
      </c>
      <c r="N2844" s="33"/>
    </row>
    <row r="2845" spans="7:14" ht="16.5" customHeight="1">
      <c r="G2845" s="30">
        <f t="shared" si="248"/>
        <v>0</v>
      </c>
      <c r="H2845" s="31">
        <f t="shared" si="249"/>
        <v>0</v>
      </c>
      <c r="I2845" s="31">
        <f t="shared" si="250"/>
        <v>0</v>
      </c>
      <c r="J2845" s="31">
        <f t="shared" si="251"/>
        <v>0</v>
      </c>
      <c r="M2845" s="33">
        <f t="shared" si="247"/>
        <v>0</v>
      </c>
      <c r="N2845" s="33"/>
    </row>
    <row r="2846" spans="7:14" ht="16.5" customHeight="1">
      <c r="G2846" s="30">
        <f t="shared" si="248"/>
        <v>0</v>
      </c>
      <c r="H2846" s="31">
        <f t="shared" si="249"/>
        <v>0</v>
      </c>
      <c r="I2846" s="31">
        <f t="shared" si="250"/>
        <v>0</v>
      </c>
      <c r="J2846" s="31">
        <f t="shared" si="251"/>
        <v>0</v>
      </c>
      <c r="M2846" s="33">
        <f t="shared" si="247"/>
        <v>0</v>
      </c>
      <c r="N2846" s="33"/>
    </row>
    <row r="2847" spans="7:14" ht="16.5" customHeight="1">
      <c r="G2847" s="30">
        <f t="shared" si="248"/>
        <v>0</v>
      </c>
      <c r="H2847" s="31">
        <f t="shared" si="249"/>
        <v>0</v>
      </c>
      <c r="I2847" s="31">
        <f t="shared" si="250"/>
        <v>0</v>
      </c>
      <c r="J2847" s="31">
        <f t="shared" si="251"/>
        <v>0</v>
      </c>
      <c r="M2847" s="33">
        <f t="shared" si="247"/>
        <v>0</v>
      </c>
      <c r="N2847" s="33"/>
    </row>
    <row r="2848" spans="7:14" ht="16.5" customHeight="1">
      <c r="G2848" s="30">
        <f t="shared" si="248"/>
        <v>0</v>
      </c>
      <c r="H2848" s="31">
        <f t="shared" si="249"/>
        <v>0</v>
      </c>
      <c r="I2848" s="31">
        <f t="shared" si="250"/>
        <v>0</v>
      </c>
      <c r="J2848" s="31">
        <f t="shared" si="251"/>
        <v>0</v>
      </c>
      <c r="M2848" s="33">
        <f t="shared" si="247"/>
        <v>0</v>
      </c>
      <c r="N2848" s="33"/>
    </row>
    <row r="2849" spans="7:14" ht="16.5" customHeight="1">
      <c r="G2849" s="30">
        <f t="shared" si="248"/>
        <v>0</v>
      </c>
      <c r="H2849" s="31">
        <f t="shared" si="249"/>
        <v>0</v>
      </c>
      <c r="I2849" s="31">
        <f t="shared" si="250"/>
        <v>0</v>
      </c>
      <c r="J2849" s="31">
        <f t="shared" si="251"/>
        <v>0</v>
      </c>
      <c r="M2849" s="33">
        <f t="shared" si="247"/>
        <v>0</v>
      </c>
      <c r="N2849" s="33"/>
    </row>
    <row r="2850" spans="7:14" ht="16.5" customHeight="1">
      <c r="G2850" s="30">
        <f t="shared" si="248"/>
        <v>0</v>
      </c>
      <c r="H2850" s="31">
        <f t="shared" si="249"/>
        <v>0</v>
      </c>
      <c r="I2850" s="31">
        <f t="shared" si="250"/>
        <v>0</v>
      </c>
      <c r="J2850" s="31">
        <f t="shared" si="251"/>
        <v>0</v>
      </c>
      <c r="M2850" s="33">
        <f t="shared" si="247"/>
        <v>0</v>
      </c>
      <c r="N2850" s="33"/>
    </row>
    <row r="2851" spans="7:14" ht="16.5" customHeight="1">
      <c r="G2851" s="30">
        <f t="shared" si="248"/>
        <v>0</v>
      </c>
      <c r="H2851" s="31">
        <f t="shared" si="249"/>
        <v>0</v>
      </c>
      <c r="I2851" s="31">
        <f t="shared" si="250"/>
        <v>0</v>
      </c>
      <c r="J2851" s="31">
        <f t="shared" si="251"/>
        <v>0</v>
      </c>
      <c r="M2851" s="33">
        <f t="shared" si="247"/>
        <v>0</v>
      </c>
      <c r="N2851" s="33"/>
    </row>
    <row r="2852" spans="7:14" ht="16.5" customHeight="1">
      <c r="G2852" s="30">
        <f t="shared" si="248"/>
        <v>0</v>
      </c>
      <c r="H2852" s="31">
        <f t="shared" si="249"/>
        <v>0</v>
      </c>
      <c r="I2852" s="31">
        <f t="shared" si="250"/>
        <v>0</v>
      </c>
      <c r="J2852" s="31">
        <f t="shared" si="251"/>
        <v>0</v>
      </c>
      <c r="M2852" s="33">
        <f t="shared" si="247"/>
        <v>0</v>
      </c>
      <c r="N2852" s="33"/>
    </row>
    <row r="2853" spans="7:14" ht="16.5" customHeight="1">
      <c r="G2853" s="30">
        <f t="shared" si="248"/>
        <v>0</v>
      </c>
      <c r="H2853" s="31">
        <f t="shared" si="249"/>
        <v>0</v>
      </c>
      <c r="I2853" s="31">
        <f t="shared" si="250"/>
        <v>0</v>
      </c>
      <c r="J2853" s="31">
        <f t="shared" si="251"/>
        <v>0</v>
      </c>
      <c r="M2853" s="33">
        <f t="shared" si="247"/>
        <v>0</v>
      </c>
      <c r="N2853" s="33"/>
    </row>
    <row r="2854" spans="7:14" ht="16.5" customHeight="1">
      <c r="G2854" s="30">
        <f t="shared" si="248"/>
        <v>0</v>
      </c>
      <c r="H2854" s="31">
        <f t="shared" si="249"/>
        <v>0</v>
      </c>
      <c r="I2854" s="31">
        <f t="shared" si="250"/>
        <v>0</v>
      </c>
      <c r="J2854" s="31">
        <f t="shared" si="251"/>
        <v>0</v>
      </c>
      <c r="M2854" s="33">
        <f t="shared" si="247"/>
        <v>0</v>
      </c>
      <c r="N2854" s="33"/>
    </row>
    <row r="2855" spans="7:14" ht="16.5" customHeight="1">
      <c r="G2855" s="30">
        <f t="shared" si="248"/>
        <v>0</v>
      </c>
      <c r="H2855" s="31">
        <f t="shared" si="249"/>
        <v>0</v>
      </c>
      <c r="I2855" s="31">
        <f t="shared" si="250"/>
        <v>0</v>
      </c>
      <c r="J2855" s="31">
        <f t="shared" si="251"/>
        <v>0</v>
      </c>
      <c r="M2855" s="33">
        <f t="shared" si="247"/>
        <v>0</v>
      </c>
      <c r="N2855" s="33"/>
    </row>
    <row r="2856" spans="7:14" ht="16.5" customHeight="1">
      <c r="G2856" s="30">
        <f t="shared" si="248"/>
        <v>0</v>
      </c>
      <c r="H2856" s="31">
        <f t="shared" si="249"/>
        <v>0</v>
      </c>
      <c r="I2856" s="31">
        <f t="shared" si="250"/>
        <v>0</v>
      </c>
      <c r="J2856" s="31">
        <f t="shared" si="251"/>
        <v>0</v>
      </c>
      <c r="M2856" s="33">
        <f t="shared" si="247"/>
        <v>0</v>
      </c>
      <c r="N2856" s="33"/>
    </row>
    <row r="2857" spans="7:14" ht="16.5" customHeight="1">
      <c r="G2857" s="30">
        <f t="shared" si="248"/>
        <v>0</v>
      </c>
      <c r="H2857" s="31">
        <f t="shared" si="249"/>
        <v>0</v>
      </c>
      <c r="I2857" s="31">
        <f t="shared" si="250"/>
        <v>0</v>
      </c>
      <c r="J2857" s="31">
        <f t="shared" si="251"/>
        <v>0</v>
      </c>
      <c r="M2857" s="33">
        <f t="shared" si="247"/>
        <v>0</v>
      </c>
      <c r="N2857" s="33"/>
    </row>
    <row r="2858" spans="7:14" ht="16.5" customHeight="1">
      <c r="G2858" s="30">
        <f t="shared" si="248"/>
        <v>0</v>
      </c>
      <c r="H2858" s="31">
        <f t="shared" si="249"/>
        <v>0</v>
      </c>
      <c r="I2858" s="31">
        <f t="shared" si="250"/>
        <v>0</v>
      </c>
      <c r="J2858" s="31">
        <f t="shared" si="251"/>
        <v>0</v>
      </c>
      <c r="M2858" s="33">
        <f t="shared" si="247"/>
        <v>0</v>
      </c>
      <c r="N2858" s="33"/>
    </row>
    <row r="2859" spans="7:14" ht="16.5" customHeight="1">
      <c r="G2859" s="30">
        <f t="shared" si="248"/>
        <v>0</v>
      </c>
      <c r="H2859" s="31">
        <f t="shared" si="249"/>
        <v>0</v>
      </c>
      <c r="I2859" s="31">
        <f t="shared" si="250"/>
        <v>0</v>
      </c>
      <c r="J2859" s="31">
        <f t="shared" si="251"/>
        <v>0</v>
      </c>
      <c r="M2859" s="33">
        <f t="shared" si="247"/>
        <v>0</v>
      </c>
      <c r="N2859" s="33"/>
    </row>
    <row r="2860" spans="7:14" ht="16.5" customHeight="1">
      <c r="G2860" s="30">
        <f t="shared" si="248"/>
        <v>0</v>
      </c>
      <c r="H2860" s="31">
        <f t="shared" si="249"/>
        <v>0</v>
      </c>
      <c r="I2860" s="31">
        <f t="shared" si="250"/>
        <v>0</v>
      </c>
      <c r="J2860" s="31">
        <f t="shared" si="251"/>
        <v>0</v>
      </c>
      <c r="M2860" s="33">
        <f t="shared" si="247"/>
        <v>0</v>
      </c>
      <c r="N2860" s="33"/>
    </row>
    <row r="2861" spans="7:14" ht="16.5" customHeight="1">
      <c r="G2861" s="30">
        <f t="shared" si="248"/>
        <v>0</v>
      </c>
      <c r="H2861" s="31">
        <f t="shared" si="249"/>
        <v>0</v>
      </c>
      <c r="I2861" s="31">
        <f t="shared" si="250"/>
        <v>0</v>
      </c>
      <c r="J2861" s="31">
        <f t="shared" si="251"/>
        <v>0</v>
      </c>
      <c r="M2861" s="33">
        <f t="shared" si="247"/>
        <v>0</v>
      </c>
      <c r="N2861" s="33"/>
    </row>
    <row r="2862" spans="7:14" ht="16.5" customHeight="1">
      <c r="G2862" s="30">
        <f t="shared" si="248"/>
        <v>0</v>
      </c>
      <c r="H2862" s="31">
        <f t="shared" si="249"/>
        <v>0</v>
      </c>
      <c r="I2862" s="31">
        <f t="shared" si="250"/>
        <v>0</v>
      </c>
      <c r="J2862" s="31">
        <f t="shared" si="251"/>
        <v>0</v>
      </c>
      <c r="M2862" s="33">
        <f t="shared" si="247"/>
        <v>0</v>
      </c>
      <c r="N2862" s="33"/>
    </row>
    <row r="2863" spans="7:14" ht="16.5" customHeight="1">
      <c r="G2863" s="30">
        <f t="shared" si="248"/>
        <v>0</v>
      </c>
      <c r="H2863" s="31">
        <f t="shared" si="249"/>
        <v>0</v>
      </c>
      <c r="I2863" s="31">
        <f t="shared" si="250"/>
        <v>0</v>
      </c>
      <c r="J2863" s="31">
        <f t="shared" si="251"/>
        <v>0</v>
      </c>
      <c r="M2863" s="33">
        <f t="shared" si="247"/>
        <v>0</v>
      </c>
      <c r="N2863" s="33"/>
    </row>
    <row r="2864" spans="7:14" ht="16.5" customHeight="1">
      <c r="G2864" s="30">
        <f t="shared" si="248"/>
        <v>0</v>
      </c>
      <c r="H2864" s="31">
        <f t="shared" si="249"/>
        <v>0</v>
      </c>
      <c r="I2864" s="31">
        <f t="shared" si="250"/>
        <v>0</v>
      </c>
      <c r="J2864" s="31">
        <f t="shared" si="251"/>
        <v>0</v>
      </c>
      <c r="M2864" s="33">
        <f t="shared" si="247"/>
        <v>0</v>
      </c>
      <c r="N2864" s="33"/>
    </row>
    <row r="2865" spans="7:14" ht="16.5" customHeight="1">
      <c r="G2865" s="30">
        <f t="shared" si="248"/>
        <v>0</v>
      </c>
      <c r="H2865" s="31">
        <f t="shared" si="249"/>
        <v>0</v>
      </c>
      <c r="I2865" s="31">
        <f t="shared" si="250"/>
        <v>0</v>
      </c>
      <c r="J2865" s="31">
        <f t="shared" si="251"/>
        <v>0</v>
      </c>
      <c r="M2865" s="33">
        <f t="shared" si="247"/>
        <v>0</v>
      </c>
      <c r="N2865" s="33"/>
    </row>
    <row r="2866" spans="7:14" ht="16.5" customHeight="1">
      <c r="G2866" s="30">
        <f t="shared" si="248"/>
        <v>0</v>
      </c>
      <c r="H2866" s="31">
        <f t="shared" si="249"/>
        <v>0</v>
      </c>
      <c r="I2866" s="31">
        <f t="shared" si="250"/>
        <v>0</v>
      </c>
      <c r="J2866" s="31">
        <f t="shared" si="251"/>
        <v>0</v>
      </c>
      <c r="M2866" s="33">
        <f t="shared" si="247"/>
        <v>0</v>
      </c>
      <c r="N2866" s="33"/>
    </row>
    <row r="2867" spans="7:14" ht="16.5" customHeight="1">
      <c r="G2867" s="30">
        <f t="shared" si="248"/>
        <v>0</v>
      </c>
      <c r="H2867" s="31">
        <f t="shared" si="249"/>
        <v>0</v>
      </c>
      <c r="I2867" s="31">
        <f t="shared" si="250"/>
        <v>0</v>
      </c>
      <c r="J2867" s="31">
        <f t="shared" si="251"/>
        <v>0</v>
      </c>
      <c r="M2867" s="33">
        <f t="shared" si="247"/>
        <v>0</v>
      </c>
      <c r="N2867" s="33"/>
    </row>
    <row r="2868" spans="7:14" ht="16.5" customHeight="1">
      <c r="G2868" s="30">
        <f t="shared" si="248"/>
        <v>0</v>
      </c>
      <c r="H2868" s="31">
        <f t="shared" si="249"/>
        <v>0</v>
      </c>
      <c r="I2868" s="31">
        <f t="shared" si="250"/>
        <v>0</v>
      </c>
      <c r="J2868" s="31">
        <f t="shared" si="251"/>
        <v>0</v>
      </c>
      <c r="M2868" s="33">
        <f t="shared" si="247"/>
        <v>0</v>
      </c>
      <c r="N2868" s="33"/>
    </row>
    <row r="2869" spans="7:14" ht="16.5" customHeight="1">
      <c r="G2869" s="30">
        <f t="shared" si="248"/>
        <v>0</v>
      </c>
      <c r="H2869" s="31">
        <f t="shared" si="249"/>
        <v>0</v>
      </c>
      <c r="I2869" s="31">
        <f t="shared" si="250"/>
        <v>0</v>
      </c>
      <c r="J2869" s="31">
        <f t="shared" si="251"/>
        <v>0</v>
      </c>
      <c r="M2869" s="33">
        <f t="shared" si="247"/>
        <v>0</v>
      </c>
      <c r="N2869" s="33"/>
    </row>
    <row r="2870" spans="7:14" ht="16.5" customHeight="1">
      <c r="G2870" s="30">
        <f t="shared" si="248"/>
        <v>0</v>
      </c>
      <c r="H2870" s="31">
        <f t="shared" si="249"/>
        <v>0</v>
      </c>
      <c r="I2870" s="31">
        <f t="shared" si="250"/>
        <v>0</v>
      </c>
      <c r="J2870" s="31">
        <f t="shared" si="251"/>
        <v>0</v>
      </c>
      <c r="M2870" s="33">
        <f t="shared" si="247"/>
        <v>0</v>
      </c>
      <c r="N2870" s="33"/>
    </row>
    <row r="2871" spans="7:14" ht="16.5" customHeight="1">
      <c r="G2871" s="30">
        <f t="shared" si="248"/>
        <v>0</v>
      </c>
      <c r="H2871" s="31">
        <f t="shared" si="249"/>
        <v>0</v>
      </c>
      <c r="I2871" s="31">
        <f t="shared" si="250"/>
        <v>0</v>
      </c>
      <c r="J2871" s="31">
        <f t="shared" si="251"/>
        <v>0</v>
      </c>
      <c r="M2871" s="33">
        <f t="shared" si="247"/>
        <v>0</v>
      </c>
      <c r="N2871" s="33"/>
    </row>
    <row r="2872" spans="7:14" ht="16.5" customHeight="1">
      <c r="G2872" s="30">
        <f t="shared" si="248"/>
        <v>0</v>
      </c>
      <c r="H2872" s="31">
        <f t="shared" si="249"/>
        <v>0</v>
      </c>
      <c r="I2872" s="31">
        <f t="shared" si="250"/>
        <v>0</v>
      </c>
      <c r="J2872" s="31">
        <f t="shared" si="251"/>
        <v>0</v>
      </c>
      <c r="M2872" s="33">
        <f t="shared" si="247"/>
        <v>0</v>
      </c>
      <c r="N2872" s="33"/>
    </row>
    <row r="2873" spans="7:14" ht="16.5" customHeight="1">
      <c r="G2873" s="30">
        <f t="shared" si="248"/>
        <v>0</v>
      </c>
      <c r="H2873" s="31">
        <f t="shared" si="249"/>
        <v>0</v>
      </c>
      <c r="I2873" s="31">
        <f t="shared" si="250"/>
        <v>0</v>
      </c>
      <c r="J2873" s="31">
        <f t="shared" si="251"/>
        <v>0</v>
      </c>
      <c r="M2873" s="33">
        <f t="shared" si="247"/>
        <v>0</v>
      </c>
      <c r="N2873" s="33"/>
    </row>
    <row r="2874" spans="7:14" ht="16.5" customHeight="1">
      <c r="G2874" s="30">
        <f t="shared" si="248"/>
        <v>0</v>
      </c>
      <c r="H2874" s="31">
        <f t="shared" si="249"/>
        <v>0</v>
      </c>
      <c r="I2874" s="31">
        <f t="shared" si="250"/>
        <v>0</v>
      </c>
      <c r="J2874" s="31">
        <f t="shared" si="251"/>
        <v>0</v>
      </c>
      <c r="M2874" s="33">
        <f t="shared" si="247"/>
        <v>0</v>
      </c>
      <c r="N2874" s="33"/>
    </row>
    <row r="2875" spans="7:14" ht="16.5" customHeight="1">
      <c r="G2875" s="30">
        <f t="shared" si="248"/>
        <v>0</v>
      </c>
      <c r="H2875" s="31">
        <f t="shared" si="249"/>
        <v>0</v>
      </c>
      <c r="I2875" s="31">
        <f t="shared" si="250"/>
        <v>0</v>
      </c>
      <c r="J2875" s="31">
        <f t="shared" si="251"/>
        <v>0</v>
      </c>
      <c r="M2875" s="33">
        <f t="shared" si="247"/>
        <v>0</v>
      </c>
      <c r="N2875" s="33"/>
    </row>
    <row r="2876" spans="7:14" ht="16.5" customHeight="1">
      <c r="G2876" s="30">
        <f t="shared" si="248"/>
        <v>0</v>
      </c>
      <c r="H2876" s="31">
        <f t="shared" si="249"/>
        <v>0</v>
      </c>
      <c r="I2876" s="31">
        <f t="shared" si="250"/>
        <v>0</v>
      </c>
      <c r="J2876" s="31">
        <f t="shared" si="251"/>
        <v>0</v>
      </c>
      <c r="M2876" s="33">
        <f t="shared" si="247"/>
        <v>0</v>
      </c>
      <c r="N2876" s="33"/>
    </row>
    <row r="2877" spans="7:14" ht="16.5" customHeight="1">
      <c r="G2877" s="30">
        <f t="shared" si="248"/>
        <v>0</v>
      </c>
      <c r="H2877" s="31">
        <f t="shared" si="249"/>
        <v>0</v>
      </c>
      <c r="I2877" s="31">
        <f t="shared" si="250"/>
        <v>0</v>
      </c>
      <c r="J2877" s="31">
        <f t="shared" si="251"/>
        <v>0</v>
      </c>
      <c r="M2877" s="33">
        <f t="shared" si="247"/>
        <v>0</v>
      </c>
      <c r="N2877" s="33"/>
    </row>
    <row r="2878" spans="7:14" ht="16.5" customHeight="1">
      <c r="G2878" s="30">
        <f t="shared" si="248"/>
        <v>0</v>
      </c>
      <c r="H2878" s="31">
        <f t="shared" si="249"/>
        <v>0</v>
      </c>
      <c r="I2878" s="31">
        <f t="shared" si="250"/>
        <v>0</v>
      </c>
      <c r="J2878" s="31">
        <f t="shared" si="251"/>
        <v>0</v>
      </c>
      <c r="M2878" s="33">
        <f t="shared" ref="M2878:M2941" si="252">IF(P2878="TL tuyệt đối",0, IF(K2878&lt;5,0,IF(K2878&lt;50,K2878*9%,IF(K2878&lt;100,4.5,IF(K2878&lt;200,4.5%*K2878,IF(K2878&lt;300,9,IF(K2878&lt;500,K2878*3%,IF(K2878&lt;1000,15,))))))))</f>
        <v>0</v>
      </c>
      <c r="N2878" s="33"/>
    </row>
    <row r="2879" spans="7:14" ht="16.5" customHeight="1">
      <c r="G2879" s="30">
        <f t="shared" si="248"/>
        <v>0</v>
      </c>
      <c r="H2879" s="31">
        <f t="shared" si="249"/>
        <v>0</v>
      </c>
      <c r="I2879" s="31">
        <f t="shared" si="250"/>
        <v>0</v>
      </c>
      <c r="J2879" s="31">
        <f t="shared" si="251"/>
        <v>0</v>
      </c>
      <c r="M2879" s="33">
        <f t="shared" si="252"/>
        <v>0</v>
      </c>
      <c r="N2879" s="33"/>
    </row>
    <row r="2880" spans="7:14" ht="16.5" customHeight="1">
      <c r="G2880" s="30">
        <f t="shared" ref="G2880:G2943" si="253">IF(P2880="TL tuyệt đối",K2880*103%,K2880+1/3*M2880)</f>
        <v>0</v>
      </c>
      <c r="H2880" s="31">
        <f t="shared" ref="H2880:H2943" si="254">IF(P2880="TL tuyệt đối",K2880*101%,K2880-1/3*M2880)</f>
        <v>0</v>
      </c>
      <c r="I2880" s="31">
        <f t="shared" ref="I2880:I2943" si="255">IF(P2880="TL tuyệt đối", K2880*105%,K2880+M2880)</f>
        <v>0</v>
      </c>
      <c r="J2880" s="31">
        <f t="shared" si="251"/>
        <v>0</v>
      </c>
      <c r="M2880" s="33">
        <f t="shared" si="252"/>
        <v>0</v>
      </c>
      <c r="N2880" s="33"/>
    </row>
    <row r="2881" spans="7:14" ht="16.5" customHeight="1">
      <c r="G2881" s="30">
        <f t="shared" si="253"/>
        <v>0</v>
      </c>
      <c r="H2881" s="31">
        <f t="shared" si="254"/>
        <v>0</v>
      </c>
      <c r="I2881" s="31">
        <f t="shared" si="255"/>
        <v>0</v>
      </c>
      <c r="J2881" s="31">
        <f t="shared" si="251"/>
        <v>0</v>
      </c>
      <c r="M2881" s="33">
        <f t="shared" si="252"/>
        <v>0</v>
      </c>
      <c r="N2881" s="33"/>
    </row>
    <row r="2882" spans="7:14" ht="16.5" customHeight="1">
      <c r="G2882" s="30">
        <f t="shared" si="253"/>
        <v>0</v>
      </c>
      <c r="H2882" s="31">
        <f t="shared" si="254"/>
        <v>0</v>
      </c>
      <c r="I2882" s="31">
        <f t="shared" si="255"/>
        <v>0</v>
      </c>
      <c r="J2882" s="31">
        <f t="shared" si="251"/>
        <v>0</v>
      </c>
      <c r="M2882" s="33">
        <f t="shared" si="252"/>
        <v>0</v>
      </c>
      <c r="N2882" s="33"/>
    </row>
    <row r="2883" spans="7:14" ht="16.5" customHeight="1">
      <c r="G2883" s="30">
        <f t="shared" si="253"/>
        <v>0</v>
      </c>
      <c r="H2883" s="31">
        <f t="shared" si="254"/>
        <v>0</v>
      </c>
      <c r="I2883" s="31">
        <f t="shared" si="255"/>
        <v>0</v>
      </c>
      <c r="J2883" s="31">
        <f t="shared" si="251"/>
        <v>0</v>
      </c>
      <c r="M2883" s="33">
        <f t="shared" si="252"/>
        <v>0</v>
      </c>
      <c r="N2883" s="33"/>
    </row>
    <row r="2884" spans="7:14" ht="16.5" customHeight="1">
      <c r="G2884" s="30">
        <f t="shared" si="253"/>
        <v>0</v>
      </c>
      <c r="H2884" s="31">
        <f t="shared" si="254"/>
        <v>0</v>
      </c>
      <c r="I2884" s="31">
        <f t="shared" si="255"/>
        <v>0</v>
      </c>
      <c r="J2884" s="31">
        <f t="shared" ref="J2884:J2947" si="256">K2884-M2884</f>
        <v>0</v>
      </c>
      <c r="M2884" s="33">
        <f t="shared" si="252"/>
        <v>0</v>
      </c>
      <c r="N2884" s="33"/>
    </row>
    <row r="2885" spans="7:14" ht="16.5" customHeight="1">
      <c r="G2885" s="30">
        <f t="shared" si="253"/>
        <v>0</v>
      </c>
      <c r="H2885" s="31">
        <f t="shared" si="254"/>
        <v>0</v>
      </c>
      <c r="I2885" s="31">
        <f t="shared" si="255"/>
        <v>0</v>
      </c>
      <c r="J2885" s="31">
        <f t="shared" si="256"/>
        <v>0</v>
      </c>
      <c r="M2885" s="33">
        <f t="shared" si="252"/>
        <v>0</v>
      </c>
      <c r="N2885" s="33"/>
    </row>
    <row r="2886" spans="7:14" ht="16.5" customHeight="1">
      <c r="G2886" s="30">
        <f t="shared" si="253"/>
        <v>0</v>
      </c>
      <c r="H2886" s="31">
        <f t="shared" si="254"/>
        <v>0</v>
      </c>
      <c r="I2886" s="31">
        <f t="shared" si="255"/>
        <v>0</v>
      </c>
      <c r="J2886" s="31">
        <f t="shared" si="256"/>
        <v>0</v>
      </c>
      <c r="M2886" s="33">
        <f t="shared" si="252"/>
        <v>0</v>
      </c>
      <c r="N2886" s="33"/>
    </row>
    <row r="2887" spans="7:14" ht="16.5" customHeight="1">
      <c r="G2887" s="30">
        <f t="shared" si="253"/>
        <v>0</v>
      </c>
      <c r="H2887" s="31">
        <f t="shared" si="254"/>
        <v>0</v>
      </c>
      <c r="I2887" s="31">
        <f t="shared" si="255"/>
        <v>0</v>
      </c>
      <c r="J2887" s="31">
        <f t="shared" si="256"/>
        <v>0</v>
      </c>
      <c r="M2887" s="33">
        <f t="shared" si="252"/>
        <v>0</v>
      </c>
      <c r="N2887" s="33"/>
    </row>
    <row r="2888" spans="7:14" ht="16.5" customHeight="1">
      <c r="G2888" s="30">
        <f t="shared" si="253"/>
        <v>0</v>
      </c>
      <c r="H2888" s="31">
        <f t="shared" si="254"/>
        <v>0</v>
      </c>
      <c r="I2888" s="31">
        <f t="shared" si="255"/>
        <v>0</v>
      </c>
      <c r="J2888" s="31">
        <f t="shared" si="256"/>
        <v>0</v>
      </c>
      <c r="M2888" s="33">
        <f t="shared" si="252"/>
        <v>0</v>
      </c>
      <c r="N2888" s="33"/>
    </row>
    <row r="2889" spans="7:14" ht="16.5" customHeight="1">
      <c r="G2889" s="30">
        <f t="shared" si="253"/>
        <v>0</v>
      </c>
      <c r="H2889" s="31">
        <f t="shared" si="254"/>
        <v>0</v>
      </c>
      <c r="I2889" s="31">
        <f t="shared" si="255"/>
        <v>0</v>
      </c>
      <c r="J2889" s="31">
        <f t="shared" si="256"/>
        <v>0</v>
      </c>
      <c r="M2889" s="33">
        <f t="shared" si="252"/>
        <v>0</v>
      </c>
      <c r="N2889" s="33"/>
    </row>
    <row r="2890" spans="7:14" ht="16.5" customHeight="1">
      <c r="G2890" s="30">
        <f t="shared" si="253"/>
        <v>0</v>
      </c>
      <c r="H2890" s="31">
        <f t="shared" si="254"/>
        <v>0</v>
      </c>
      <c r="I2890" s="31">
        <f t="shared" si="255"/>
        <v>0</v>
      </c>
      <c r="J2890" s="31">
        <f t="shared" si="256"/>
        <v>0</v>
      </c>
      <c r="M2890" s="33">
        <f t="shared" si="252"/>
        <v>0</v>
      </c>
      <c r="N2890" s="33"/>
    </row>
    <row r="2891" spans="7:14" ht="16.5" customHeight="1">
      <c r="G2891" s="30">
        <f t="shared" si="253"/>
        <v>0</v>
      </c>
      <c r="H2891" s="31">
        <f t="shared" si="254"/>
        <v>0</v>
      </c>
      <c r="I2891" s="31">
        <f t="shared" si="255"/>
        <v>0</v>
      </c>
      <c r="J2891" s="31">
        <f t="shared" si="256"/>
        <v>0</v>
      </c>
      <c r="M2891" s="33">
        <f t="shared" si="252"/>
        <v>0</v>
      </c>
      <c r="N2891" s="33"/>
    </row>
    <row r="2892" spans="7:14" ht="16.5" customHeight="1">
      <c r="G2892" s="30">
        <f t="shared" si="253"/>
        <v>0</v>
      </c>
      <c r="H2892" s="31">
        <f t="shared" si="254"/>
        <v>0</v>
      </c>
      <c r="I2892" s="31">
        <f t="shared" si="255"/>
        <v>0</v>
      </c>
      <c r="J2892" s="31">
        <f t="shared" si="256"/>
        <v>0</v>
      </c>
      <c r="M2892" s="33">
        <f t="shared" si="252"/>
        <v>0</v>
      </c>
      <c r="N2892" s="33"/>
    </row>
    <row r="2893" spans="7:14" ht="16.5" customHeight="1">
      <c r="G2893" s="30">
        <f t="shared" si="253"/>
        <v>0</v>
      </c>
      <c r="H2893" s="31">
        <f t="shared" si="254"/>
        <v>0</v>
      </c>
      <c r="I2893" s="31">
        <f t="shared" si="255"/>
        <v>0</v>
      </c>
      <c r="J2893" s="31">
        <f t="shared" si="256"/>
        <v>0</v>
      </c>
      <c r="M2893" s="33">
        <f t="shared" si="252"/>
        <v>0</v>
      </c>
      <c r="N2893" s="33"/>
    </row>
    <row r="2894" spans="7:14" ht="16.5" customHeight="1">
      <c r="G2894" s="30">
        <f t="shared" si="253"/>
        <v>0</v>
      </c>
      <c r="H2894" s="31">
        <f t="shared" si="254"/>
        <v>0</v>
      </c>
      <c r="I2894" s="31">
        <f t="shared" si="255"/>
        <v>0</v>
      </c>
      <c r="J2894" s="31">
        <f t="shared" si="256"/>
        <v>0</v>
      </c>
      <c r="M2894" s="33">
        <f t="shared" si="252"/>
        <v>0</v>
      </c>
      <c r="N2894" s="33"/>
    </row>
    <row r="2895" spans="7:14" ht="16.5" customHeight="1">
      <c r="G2895" s="30">
        <f t="shared" si="253"/>
        <v>0</v>
      </c>
      <c r="H2895" s="31">
        <f t="shared" si="254"/>
        <v>0</v>
      </c>
      <c r="I2895" s="31">
        <f t="shared" si="255"/>
        <v>0</v>
      </c>
      <c r="J2895" s="31">
        <f t="shared" si="256"/>
        <v>0</v>
      </c>
      <c r="M2895" s="33">
        <f t="shared" si="252"/>
        <v>0</v>
      </c>
      <c r="N2895" s="33"/>
    </row>
    <row r="2896" spans="7:14" ht="16.5" customHeight="1">
      <c r="G2896" s="30">
        <f t="shared" si="253"/>
        <v>0</v>
      </c>
      <c r="H2896" s="31">
        <f t="shared" si="254"/>
        <v>0</v>
      </c>
      <c r="I2896" s="31">
        <f t="shared" si="255"/>
        <v>0</v>
      </c>
      <c r="J2896" s="31">
        <f t="shared" si="256"/>
        <v>0</v>
      </c>
      <c r="M2896" s="33">
        <f t="shared" si="252"/>
        <v>0</v>
      </c>
      <c r="N2896" s="33"/>
    </row>
    <row r="2897" spans="7:14" ht="16.5" customHeight="1">
      <c r="G2897" s="30">
        <f t="shared" si="253"/>
        <v>0</v>
      </c>
      <c r="H2897" s="31">
        <f t="shared" si="254"/>
        <v>0</v>
      </c>
      <c r="I2897" s="31">
        <f t="shared" si="255"/>
        <v>0</v>
      </c>
      <c r="J2897" s="31">
        <f t="shared" si="256"/>
        <v>0</v>
      </c>
      <c r="M2897" s="33">
        <f t="shared" si="252"/>
        <v>0</v>
      </c>
      <c r="N2897" s="33"/>
    </row>
    <row r="2898" spans="7:14" ht="16.5" customHeight="1">
      <c r="G2898" s="30">
        <f t="shared" si="253"/>
        <v>0</v>
      </c>
      <c r="H2898" s="31">
        <f t="shared" si="254"/>
        <v>0</v>
      </c>
      <c r="I2898" s="31">
        <f t="shared" si="255"/>
        <v>0</v>
      </c>
      <c r="J2898" s="31">
        <f t="shared" si="256"/>
        <v>0</v>
      </c>
      <c r="M2898" s="33">
        <f t="shared" si="252"/>
        <v>0</v>
      </c>
      <c r="N2898" s="33"/>
    </row>
    <row r="2899" spans="7:14" ht="16.5" customHeight="1">
      <c r="G2899" s="30">
        <f t="shared" si="253"/>
        <v>0</v>
      </c>
      <c r="H2899" s="31">
        <f t="shared" si="254"/>
        <v>0</v>
      </c>
      <c r="I2899" s="31">
        <f t="shared" si="255"/>
        <v>0</v>
      </c>
      <c r="J2899" s="31">
        <f t="shared" si="256"/>
        <v>0</v>
      </c>
      <c r="M2899" s="33">
        <f t="shared" si="252"/>
        <v>0</v>
      </c>
      <c r="N2899" s="33"/>
    </row>
    <row r="2900" spans="7:14" ht="16.5" customHeight="1">
      <c r="G2900" s="30">
        <f t="shared" si="253"/>
        <v>0</v>
      </c>
      <c r="H2900" s="31">
        <f t="shared" si="254"/>
        <v>0</v>
      </c>
      <c r="I2900" s="31">
        <f t="shared" si="255"/>
        <v>0</v>
      </c>
      <c r="J2900" s="31">
        <f t="shared" si="256"/>
        <v>0</v>
      </c>
      <c r="M2900" s="33">
        <f t="shared" si="252"/>
        <v>0</v>
      </c>
      <c r="N2900" s="33"/>
    </row>
    <row r="2901" spans="7:14" ht="16.5" customHeight="1">
      <c r="G2901" s="30">
        <f t="shared" si="253"/>
        <v>0</v>
      </c>
      <c r="H2901" s="31">
        <f t="shared" si="254"/>
        <v>0</v>
      </c>
      <c r="I2901" s="31">
        <f t="shared" si="255"/>
        <v>0</v>
      </c>
      <c r="J2901" s="31">
        <f t="shared" si="256"/>
        <v>0</v>
      </c>
      <c r="M2901" s="33">
        <f t="shared" si="252"/>
        <v>0</v>
      </c>
      <c r="N2901" s="33"/>
    </row>
    <row r="2902" spans="7:14" ht="16.5" customHeight="1">
      <c r="G2902" s="30">
        <f t="shared" si="253"/>
        <v>0</v>
      </c>
      <c r="H2902" s="31">
        <f t="shared" si="254"/>
        <v>0</v>
      </c>
      <c r="I2902" s="31">
        <f t="shared" si="255"/>
        <v>0</v>
      </c>
      <c r="J2902" s="31">
        <f t="shared" si="256"/>
        <v>0</v>
      </c>
      <c r="M2902" s="33">
        <f t="shared" si="252"/>
        <v>0</v>
      </c>
      <c r="N2902" s="33"/>
    </row>
    <row r="2903" spans="7:14" ht="16.5" customHeight="1">
      <c r="G2903" s="30">
        <f t="shared" si="253"/>
        <v>0</v>
      </c>
      <c r="H2903" s="31">
        <f t="shared" si="254"/>
        <v>0</v>
      </c>
      <c r="I2903" s="31">
        <f t="shared" si="255"/>
        <v>0</v>
      </c>
      <c r="J2903" s="31">
        <f t="shared" si="256"/>
        <v>0</v>
      </c>
      <c r="M2903" s="33">
        <f t="shared" si="252"/>
        <v>0</v>
      </c>
      <c r="N2903" s="33"/>
    </row>
    <row r="2904" spans="7:14" ht="16.5" customHeight="1">
      <c r="G2904" s="30">
        <f t="shared" si="253"/>
        <v>0</v>
      </c>
      <c r="H2904" s="31">
        <f t="shared" si="254"/>
        <v>0</v>
      </c>
      <c r="I2904" s="31">
        <f t="shared" si="255"/>
        <v>0</v>
      </c>
      <c r="J2904" s="31">
        <f t="shared" si="256"/>
        <v>0</v>
      </c>
      <c r="M2904" s="33">
        <f t="shared" si="252"/>
        <v>0</v>
      </c>
      <c r="N2904" s="33"/>
    </row>
    <row r="2905" spans="7:14" ht="16.5" customHeight="1">
      <c r="G2905" s="30">
        <f t="shared" si="253"/>
        <v>0</v>
      </c>
      <c r="H2905" s="31">
        <f t="shared" si="254"/>
        <v>0</v>
      </c>
      <c r="I2905" s="31">
        <f t="shared" si="255"/>
        <v>0</v>
      </c>
      <c r="J2905" s="31">
        <f t="shared" si="256"/>
        <v>0</v>
      </c>
      <c r="M2905" s="33">
        <f t="shared" si="252"/>
        <v>0</v>
      </c>
      <c r="N2905" s="33"/>
    </row>
    <row r="2906" spans="7:14" ht="16.5" customHeight="1">
      <c r="G2906" s="30">
        <f t="shared" si="253"/>
        <v>0</v>
      </c>
      <c r="H2906" s="31">
        <f t="shared" si="254"/>
        <v>0</v>
      </c>
      <c r="I2906" s="31">
        <f t="shared" si="255"/>
        <v>0</v>
      </c>
      <c r="J2906" s="31">
        <f t="shared" si="256"/>
        <v>0</v>
      </c>
      <c r="M2906" s="33">
        <f t="shared" si="252"/>
        <v>0</v>
      </c>
      <c r="N2906" s="33"/>
    </row>
    <row r="2907" spans="7:14" ht="16.5" customHeight="1">
      <c r="G2907" s="30">
        <f t="shared" si="253"/>
        <v>0</v>
      </c>
      <c r="H2907" s="31">
        <f t="shared" si="254"/>
        <v>0</v>
      </c>
      <c r="I2907" s="31">
        <f t="shared" si="255"/>
        <v>0</v>
      </c>
      <c r="J2907" s="31">
        <f t="shared" si="256"/>
        <v>0</v>
      </c>
      <c r="M2907" s="33">
        <f t="shared" si="252"/>
        <v>0</v>
      </c>
      <c r="N2907" s="33"/>
    </row>
    <row r="2908" spans="7:14" ht="16.5" customHeight="1">
      <c r="G2908" s="30">
        <f t="shared" si="253"/>
        <v>0</v>
      </c>
      <c r="H2908" s="31">
        <f t="shared" si="254"/>
        <v>0</v>
      </c>
      <c r="I2908" s="31">
        <f t="shared" si="255"/>
        <v>0</v>
      </c>
      <c r="J2908" s="31">
        <f t="shared" si="256"/>
        <v>0</v>
      </c>
      <c r="M2908" s="33">
        <f t="shared" si="252"/>
        <v>0</v>
      </c>
      <c r="N2908" s="33"/>
    </row>
    <row r="2909" spans="7:14" ht="16.5" customHeight="1">
      <c r="G2909" s="30">
        <f t="shared" si="253"/>
        <v>0</v>
      </c>
      <c r="H2909" s="31">
        <f t="shared" si="254"/>
        <v>0</v>
      </c>
      <c r="I2909" s="31">
        <f t="shared" si="255"/>
        <v>0</v>
      </c>
      <c r="J2909" s="31">
        <f t="shared" si="256"/>
        <v>0</v>
      </c>
      <c r="M2909" s="33">
        <f t="shared" si="252"/>
        <v>0</v>
      </c>
      <c r="N2909" s="33"/>
    </row>
    <row r="2910" spans="7:14" ht="16.5" customHeight="1">
      <c r="G2910" s="30">
        <f t="shared" si="253"/>
        <v>0</v>
      </c>
      <c r="H2910" s="31">
        <f t="shared" si="254"/>
        <v>0</v>
      </c>
      <c r="I2910" s="31">
        <f t="shared" si="255"/>
        <v>0</v>
      </c>
      <c r="J2910" s="31">
        <f t="shared" si="256"/>
        <v>0</v>
      </c>
      <c r="M2910" s="33">
        <f t="shared" si="252"/>
        <v>0</v>
      </c>
      <c r="N2910" s="33"/>
    </row>
    <row r="2911" spans="7:14" ht="16.5" customHeight="1">
      <c r="G2911" s="30">
        <f t="shared" si="253"/>
        <v>0</v>
      </c>
      <c r="H2911" s="31">
        <f t="shared" si="254"/>
        <v>0</v>
      </c>
      <c r="I2911" s="31">
        <f t="shared" si="255"/>
        <v>0</v>
      </c>
      <c r="J2911" s="31">
        <f t="shared" si="256"/>
        <v>0</v>
      </c>
      <c r="M2911" s="33">
        <f t="shared" si="252"/>
        <v>0</v>
      </c>
      <c r="N2911" s="33"/>
    </row>
    <row r="2912" spans="7:14" ht="16.5" customHeight="1">
      <c r="G2912" s="30">
        <f t="shared" si="253"/>
        <v>0</v>
      </c>
      <c r="H2912" s="31">
        <f t="shared" si="254"/>
        <v>0</v>
      </c>
      <c r="I2912" s="31">
        <f t="shared" si="255"/>
        <v>0</v>
      </c>
      <c r="J2912" s="31">
        <f t="shared" si="256"/>
        <v>0</v>
      </c>
      <c r="M2912" s="33">
        <f t="shared" si="252"/>
        <v>0</v>
      </c>
      <c r="N2912" s="33"/>
    </row>
    <row r="2913" spans="7:14" ht="16.5" customHeight="1">
      <c r="G2913" s="30">
        <f t="shared" si="253"/>
        <v>0</v>
      </c>
      <c r="H2913" s="31">
        <f t="shared" si="254"/>
        <v>0</v>
      </c>
      <c r="I2913" s="31">
        <f t="shared" si="255"/>
        <v>0</v>
      </c>
      <c r="J2913" s="31">
        <f t="shared" si="256"/>
        <v>0</v>
      </c>
      <c r="M2913" s="33">
        <f t="shared" si="252"/>
        <v>0</v>
      </c>
      <c r="N2913" s="33"/>
    </row>
    <row r="2914" spans="7:14" ht="16.5" customHeight="1">
      <c r="G2914" s="30">
        <f t="shared" si="253"/>
        <v>0</v>
      </c>
      <c r="H2914" s="31">
        <f t="shared" si="254"/>
        <v>0</v>
      </c>
      <c r="I2914" s="31">
        <f t="shared" si="255"/>
        <v>0</v>
      </c>
      <c r="J2914" s="31">
        <f t="shared" si="256"/>
        <v>0</v>
      </c>
      <c r="M2914" s="33">
        <f t="shared" si="252"/>
        <v>0</v>
      </c>
      <c r="N2914" s="33"/>
    </row>
    <row r="2915" spans="7:14" ht="16.5" customHeight="1">
      <c r="G2915" s="30">
        <f t="shared" si="253"/>
        <v>0</v>
      </c>
      <c r="H2915" s="31">
        <f t="shared" si="254"/>
        <v>0</v>
      </c>
      <c r="I2915" s="31">
        <f t="shared" si="255"/>
        <v>0</v>
      </c>
      <c r="J2915" s="31">
        <f t="shared" si="256"/>
        <v>0</v>
      </c>
      <c r="M2915" s="33">
        <f t="shared" si="252"/>
        <v>0</v>
      </c>
      <c r="N2915" s="33"/>
    </row>
    <row r="2916" spans="7:14" ht="16.5" customHeight="1">
      <c r="G2916" s="30">
        <f t="shared" si="253"/>
        <v>0</v>
      </c>
      <c r="H2916" s="31">
        <f t="shared" si="254"/>
        <v>0</v>
      </c>
      <c r="I2916" s="31">
        <f t="shared" si="255"/>
        <v>0</v>
      </c>
      <c r="J2916" s="31">
        <f t="shared" si="256"/>
        <v>0</v>
      </c>
      <c r="M2916" s="33">
        <f t="shared" si="252"/>
        <v>0</v>
      </c>
      <c r="N2916" s="33"/>
    </row>
    <row r="2917" spans="7:14" ht="16.5" customHeight="1">
      <c r="G2917" s="30">
        <f t="shared" si="253"/>
        <v>0</v>
      </c>
      <c r="H2917" s="31">
        <f t="shared" si="254"/>
        <v>0</v>
      </c>
      <c r="I2917" s="31">
        <f t="shared" si="255"/>
        <v>0</v>
      </c>
      <c r="J2917" s="31">
        <f t="shared" si="256"/>
        <v>0</v>
      </c>
      <c r="M2917" s="33">
        <f t="shared" si="252"/>
        <v>0</v>
      </c>
      <c r="N2917" s="33"/>
    </row>
    <row r="2918" spans="7:14" ht="16.5" customHeight="1">
      <c r="G2918" s="30">
        <f t="shared" si="253"/>
        <v>0</v>
      </c>
      <c r="H2918" s="31">
        <f t="shared" si="254"/>
        <v>0</v>
      </c>
      <c r="I2918" s="31">
        <f t="shared" si="255"/>
        <v>0</v>
      </c>
      <c r="J2918" s="31">
        <f t="shared" si="256"/>
        <v>0</v>
      </c>
      <c r="M2918" s="33">
        <f t="shared" si="252"/>
        <v>0</v>
      </c>
      <c r="N2918" s="33"/>
    </row>
    <row r="2919" spans="7:14" ht="16.5" customHeight="1">
      <c r="G2919" s="30">
        <f t="shared" si="253"/>
        <v>0</v>
      </c>
      <c r="H2919" s="31">
        <f t="shared" si="254"/>
        <v>0</v>
      </c>
      <c r="I2919" s="31">
        <f t="shared" si="255"/>
        <v>0</v>
      </c>
      <c r="J2919" s="31">
        <f t="shared" si="256"/>
        <v>0</v>
      </c>
      <c r="M2919" s="33">
        <f t="shared" si="252"/>
        <v>0</v>
      </c>
      <c r="N2919" s="33"/>
    </row>
    <row r="2920" spans="7:14" ht="16.5" customHeight="1">
      <c r="G2920" s="30">
        <f t="shared" si="253"/>
        <v>0</v>
      </c>
      <c r="H2920" s="31">
        <f t="shared" si="254"/>
        <v>0</v>
      </c>
      <c r="I2920" s="31">
        <f t="shared" si="255"/>
        <v>0</v>
      </c>
      <c r="J2920" s="31">
        <f t="shared" si="256"/>
        <v>0</v>
      </c>
      <c r="M2920" s="33">
        <f t="shared" si="252"/>
        <v>0</v>
      </c>
      <c r="N2920" s="33"/>
    </row>
    <row r="2921" spans="7:14" ht="16.5" customHeight="1">
      <c r="G2921" s="30">
        <f t="shared" si="253"/>
        <v>0</v>
      </c>
      <c r="H2921" s="31">
        <f t="shared" si="254"/>
        <v>0</v>
      </c>
      <c r="I2921" s="31">
        <f t="shared" si="255"/>
        <v>0</v>
      </c>
      <c r="J2921" s="31">
        <f t="shared" si="256"/>
        <v>0</v>
      </c>
      <c r="M2921" s="33">
        <f t="shared" si="252"/>
        <v>0</v>
      </c>
      <c r="N2921" s="33"/>
    </row>
    <row r="2922" spans="7:14" ht="16.5" customHeight="1">
      <c r="G2922" s="30">
        <f t="shared" si="253"/>
        <v>0</v>
      </c>
      <c r="H2922" s="31">
        <f t="shared" si="254"/>
        <v>0</v>
      </c>
      <c r="I2922" s="31">
        <f t="shared" si="255"/>
        <v>0</v>
      </c>
      <c r="J2922" s="31">
        <f t="shared" si="256"/>
        <v>0</v>
      </c>
      <c r="M2922" s="33">
        <f t="shared" si="252"/>
        <v>0</v>
      </c>
      <c r="N2922" s="33"/>
    </row>
    <row r="2923" spans="7:14" ht="16.5" customHeight="1">
      <c r="G2923" s="30">
        <f t="shared" si="253"/>
        <v>0</v>
      </c>
      <c r="H2923" s="31">
        <f t="shared" si="254"/>
        <v>0</v>
      </c>
      <c r="I2923" s="31">
        <f t="shared" si="255"/>
        <v>0</v>
      </c>
      <c r="J2923" s="31">
        <f t="shared" si="256"/>
        <v>0</v>
      </c>
      <c r="M2923" s="33">
        <f t="shared" si="252"/>
        <v>0</v>
      </c>
      <c r="N2923" s="33"/>
    </row>
    <row r="2924" spans="7:14" ht="16.5" customHeight="1">
      <c r="G2924" s="30">
        <f t="shared" si="253"/>
        <v>0</v>
      </c>
      <c r="H2924" s="31">
        <f t="shared" si="254"/>
        <v>0</v>
      </c>
      <c r="I2924" s="31">
        <f t="shared" si="255"/>
        <v>0</v>
      </c>
      <c r="J2924" s="31">
        <f t="shared" si="256"/>
        <v>0</v>
      </c>
      <c r="M2924" s="33">
        <f t="shared" si="252"/>
        <v>0</v>
      </c>
      <c r="N2924" s="33"/>
    </row>
    <row r="2925" spans="7:14" ht="16.5" customHeight="1">
      <c r="G2925" s="30">
        <f t="shared" si="253"/>
        <v>0</v>
      </c>
      <c r="H2925" s="31">
        <f t="shared" si="254"/>
        <v>0</v>
      </c>
      <c r="I2925" s="31">
        <f t="shared" si="255"/>
        <v>0</v>
      </c>
      <c r="J2925" s="31">
        <f t="shared" si="256"/>
        <v>0</v>
      </c>
      <c r="M2925" s="33">
        <f t="shared" si="252"/>
        <v>0</v>
      </c>
      <c r="N2925" s="33"/>
    </row>
    <row r="2926" spans="7:14" ht="16.5" customHeight="1">
      <c r="G2926" s="30">
        <f t="shared" si="253"/>
        <v>0</v>
      </c>
      <c r="H2926" s="31">
        <f t="shared" si="254"/>
        <v>0</v>
      </c>
      <c r="I2926" s="31">
        <f t="shared" si="255"/>
        <v>0</v>
      </c>
      <c r="J2926" s="31">
        <f t="shared" si="256"/>
        <v>0</v>
      </c>
      <c r="M2926" s="33">
        <f t="shared" si="252"/>
        <v>0</v>
      </c>
      <c r="N2926" s="33"/>
    </row>
    <row r="2927" spans="7:14" ht="16.5" customHeight="1">
      <c r="G2927" s="30">
        <f t="shared" si="253"/>
        <v>0</v>
      </c>
      <c r="H2927" s="31">
        <f t="shared" si="254"/>
        <v>0</v>
      </c>
      <c r="I2927" s="31">
        <f t="shared" si="255"/>
        <v>0</v>
      </c>
      <c r="J2927" s="31">
        <f t="shared" si="256"/>
        <v>0</v>
      </c>
      <c r="M2927" s="33">
        <f t="shared" si="252"/>
        <v>0</v>
      </c>
      <c r="N2927" s="33"/>
    </row>
    <row r="2928" spans="7:14" ht="16.5" customHeight="1">
      <c r="G2928" s="30">
        <f t="shared" si="253"/>
        <v>0</v>
      </c>
      <c r="H2928" s="31">
        <f t="shared" si="254"/>
        <v>0</v>
      </c>
      <c r="I2928" s="31">
        <f t="shared" si="255"/>
        <v>0</v>
      </c>
      <c r="J2928" s="31">
        <f t="shared" si="256"/>
        <v>0</v>
      </c>
      <c r="M2928" s="33">
        <f t="shared" si="252"/>
        <v>0</v>
      </c>
      <c r="N2928" s="33"/>
    </row>
    <row r="2929" spans="7:14" ht="16.5" customHeight="1">
      <c r="G2929" s="30">
        <f t="shared" si="253"/>
        <v>0</v>
      </c>
      <c r="H2929" s="31">
        <f t="shared" si="254"/>
        <v>0</v>
      </c>
      <c r="I2929" s="31">
        <f t="shared" si="255"/>
        <v>0</v>
      </c>
      <c r="J2929" s="31">
        <f t="shared" si="256"/>
        <v>0</v>
      </c>
      <c r="M2929" s="33">
        <f t="shared" si="252"/>
        <v>0</v>
      </c>
      <c r="N2929" s="33"/>
    </row>
    <row r="2930" spans="7:14" ht="16.5" customHeight="1">
      <c r="G2930" s="30">
        <f t="shared" si="253"/>
        <v>0</v>
      </c>
      <c r="H2930" s="31">
        <f t="shared" si="254"/>
        <v>0</v>
      </c>
      <c r="I2930" s="31">
        <f t="shared" si="255"/>
        <v>0</v>
      </c>
      <c r="J2930" s="31">
        <f t="shared" si="256"/>
        <v>0</v>
      </c>
      <c r="M2930" s="33">
        <f t="shared" si="252"/>
        <v>0</v>
      </c>
      <c r="N2930" s="33"/>
    </row>
    <row r="2931" spans="7:14" ht="16.5" customHeight="1">
      <c r="G2931" s="30">
        <f t="shared" si="253"/>
        <v>0</v>
      </c>
      <c r="H2931" s="31">
        <f t="shared" si="254"/>
        <v>0</v>
      </c>
      <c r="I2931" s="31">
        <f t="shared" si="255"/>
        <v>0</v>
      </c>
      <c r="J2931" s="31">
        <f t="shared" si="256"/>
        <v>0</v>
      </c>
      <c r="M2931" s="33">
        <f t="shared" si="252"/>
        <v>0</v>
      </c>
      <c r="N2931" s="33"/>
    </row>
    <row r="2932" spans="7:14" ht="16.5" customHeight="1">
      <c r="G2932" s="30">
        <f t="shared" si="253"/>
        <v>0</v>
      </c>
      <c r="H2932" s="31">
        <f t="shared" si="254"/>
        <v>0</v>
      </c>
      <c r="I2932" s="31">
        <f t="shared" si="255"/>
        <v>0</v>
      </c>
      <c r="J2932" s="31">
        <f t="shared" si="256"/>
        <v>0</v>
      </c>
      <c r="M2932" s="33">
        <f t="shared" si="252"/>
        <v>0</v>
      </c>
      <c r="N2932" s="33"/>
    </row>
    <row r="2933" spans="7:14" ht="16.5" customHeight="1">
      <c r="G2933" s="30">
        <f t="shared" si="253"/>
        <v>0</v>
      </c>
      <c r="H2933" s="31">
        <f t="shared" si="254"/>
        <v>0</v>
      </c>
      <c r="I2933" s="31">
        <f t="shared" si="255"/>
        <v>0</v>
      </c>
      <c r="J2933" s="31">
        <f t="shared" si="256"/>
        <v>0</v>
      </c>
      <c r="M2933" s="33">
        <f t="shared" si="252"/>
        <v>0</v>
      </c>
      <c r="N2933" s="33"/>
    </row>
    <row r="2934" spans="7:14" ht="16.5" customHeight="1">
      <c r="G2934" s="30">
        <f t="shared" si="253"/>
        <v>0</v>
      </c>
      <c r="H2934" s="31">
        <f t="shared" si="254"/>
        <v>0</v>
      </c>
      <c r="I2934" s="31">
        <f t="shared" si="255"/>
        <v>0</v>
      </c>
      <c r="J2934" s="31">
        <f t="shared" si="256"/>
        <v>0</v>
      </c>
      <c r="M2934" s="33">
        <f t="shared" si="252"/>
        <v>0</v>
      </c>
      <c r="N2934" s="33"/>
    </row>
    <row r="2935" spans="7:14" ht="16.5" customHeight="1">
      <c r="G2935" s="30">
        <f t="shared" si="253"/>
        <v>0</v>
      </c>
      <c r="H2935" s="31">
        <f t="shared" si="254"/>
        <v>0</v>
      </c>
      <c r="I2935" s="31">
        <f t="shared" si="255"/>
        <v>0</v>
      </c>
      <c r="J2935" s="31">
        <f t="shared" si="256"/>
        <v>0</v>
      </c>
      <c r="M2935" s="33">
        <f t="shared" si="252"/>
        <v>0</v>
      </c>
      <c r="N2935" s="33"/>
    </row>
    <row r="2936" spans="7:14" ht="16.5" customHeight="1">
      <c r="G2936" s="30">
        <f t="shared" si="253"/>
        <v>0</v>
      </c>
      <c r="H2936" s="31">
        <f t="shared" si="254"/>
        <v>0</v>
      </c>
      <c r="I2936" s="31">
        <f t="shared" si="255"/>
        <v>0</v>
      </c>
      <c r="J2936" s="31">
        <f t="shared" si="256"/>
        <v>0</v>
      </c>
      <c r="M2936" s="33">
        <f t="shared" si="252"/>
        <v>0</v>
      </c>
      <c r="N2936" s="33"/>
    </row>
    <row r="2937" spans="7:14" ht="16.5" customHeight="1">
      <c r="G2937" s="30">
        <f t="shared" si="253"/>
        <v>0</v>
      </c>
      <c r="H2937" s="31">
        <f t="shared" si="254"/>
        <v>0</v>
      </c>
      <c r="I2937" s="31">
        <f t="shared" si="255"/>
        <v>0</v>
      </c>
      <c r="J2937" s="31">
        <f t="shared" si="256"/>
        <v>0</v>
      </c>
      <c r="M2937" s="33">
        <f t="shared" si="252"/>
        <v>0</v>
      </c>
      <c r="N2937" s="33"/>
    </row>
    <row r="2938" spans="7:14" ht="16.5" customHeight="1">
      <c r="G2938" s="30">
        <f t="shared" si="253"/>
        <v>0</v>
      </c>
      <c r="H2938" s="31">
        <f t="shared" si="254"/>
        <v>0</v>
      </c>
      <c r="I2938" s="31">
        <f t="shared" si="255"/>
        <v>0</v>
      </c>
      <c r="J2938" s="31">
        <f t="shared" si="256"/>
        <v>0</v>
      </c>
      <c r="M2938" s="33">
        <f t="shared" si="252"/>
        <v>0</v>
      </c>
      <c r="N2938" s="33"/>
    </row>
    <row r="2939" spans="7:14" ht="16.5" customHeight="1">
      <c r="G2939" s="30">
        <f t="shared" si="253"/>
        <v>0</v>
      </c>
      <c r="H2939" s="31">
        <f t="shared" si="254"/>
        <v>0</v>
      </c>
      <c r="I2939" s="31">
        <f t="shared" si="255"/>
        <v>0</v>
      </c>
      <c r="J2939" s="31">
        <f t="shared" si="256"/>
        <v>0</v>
      </c>
      <c r="M2939" s="33">
        <f t="shared" si="252"/>
        <v>0</v>
      </c>
      <c r="N2939" s="33"/>
    </row>
    <row r="2940" spans="7:14" ht="16.5" customHeight="1">
      <c r="G2940" s="30">
        <f t="shared" si="253"/>
        <v>0</v>
      </c>
      <c r="H2940" s="31">
        <f t="shared" si="254"/>
        <v>0</v>
      </c>
      <c r="I2940" s="31">
        <f t="shared" si="255"/>
        <v>0</v>
      </c>
      <c r="J2940" s="31">
        <f t="shared" si="256"/>
        <v>0</v>
      </c>
      <c r="M2940" s="33">
        <f t="shared" si="252"/>
        <v>0</v>
      </c>
      <c r="N2940" s="33"/>
    </row>
    <row r="2941" spans="7:14" ht="16.5" customHeight="1">
      <c r="G2941" s="30">
        <f t="shared" si="253"/>
        <v>0</v>
      </c>
      <c r="H2941" s="31">
        <f t="shared" si="254"/>
        <v>0</v>
      </c>
      <c r="I2941" s="31">
        <f t="shared" si="255"/>
        <v>0</v>
      </c>
      <c r="J2941" s="31">
        <f t="shared" si="256"/>
        <v>0</v>
      </c>
      <c r="M2941" s="33">
        <f t="shared" si="252"/>
        <v>0</v>
      </c>
      <c r="N2941" s="33"/>
    </row>
    <row r="2942" spans="7:14" ht="16.5" customHeight="1">
      <c r="G2942" s="30">
        <f t="shared" si="253"/>
        <v>0</v>
      </c>
      <c r="H2942" s="31">
        <f t="shared" si="254"/>
        <v>0</v>
      </c>
      <c r="I2942" s="31">
        <f t="shared" si="255"/>
        <v>0</v>
      </c>
      <c r="J2942" s="31">
        <f t="shared" si="256"/>
        <v>0</v>
      </c>
      <c r="M2942" s="33">
        <f t="shared" ref="M2942:M3005" si="257">IF(P2942="TL tuyệt đối",0, IF(K2942&lt;5,0,IF(K2942&lt;50,K2942*9%,IF(K2942&lt;100,4.5,IF(K2942&lt;200,4.5%*K2942,IF(K2942&lt;300,9,IF(K2942&lt;500,K2942*3%,IF(K2942&lt;1000,15,))))))))</f>
        <v>0</v>
      </c>
      <c r="N2942" s="33"/>
    </row>
    <row r="2943" spans="7:14" ht="16.5" customHeight="1">
      <c r="G2943" s="30">
        <f t="shared" si="253"/>
        <v>0</v>
      </c>
      <c r="H2943" s="31">
        <f t="shared" si="254"/>
        <v>0</v>
      </c>
      <c r="I2943" s="31">
        <f t="shared" si="255"/>
        <v>0</v>
      </c>
      <c r="J2943" s="31">
        <f t="shared" si="256"/>
        <v>0</v>
      </c>
      <c r="M2943" s="33">
        <f t="shared" si="257"/>
        <v>0</v>
      </c>
      <c r="N2943" s="33"/>
    </row>
    <row r="2944" spans="7:14" ht="16.5" customHeight="1">
      <c r="G2944" s="30">
        <f t="shared" ref="G2944:G3007" si="258">IF(P2944="TL tuyệt đối",K2944*103%,K2944+1/3*M2944)</f>
        <v>0</v>
      </c>
      <c r="H2944" s="31">
        <f t="shared" ref="H2944:H3007" si="259">IF(P2944="TL tuyệt đối",K2944*101%,K2944-1/3*M2944)</f>
        <v>0</v>
      </c>
      <c r="I2944" s="31">
        <f t="shared" ref="I2944:I3007" si="260">IF(P2944="TL tuyệt đối", K2944*105%,K2944+M2944)</f>
        <v>0</v>
      </c>
      <c r="J2944" s="31">
        <f t="shared" si="256"/>
        <v>0</v>
      </c>
      <c r="M2944" s="33">
        <f t="shared" si="257"/>
        <v>0</v>
      </c>
      <c r="N2944" s="33"/>
    </row>
    <row r="2945" spans="7:14" ht="16.5" customHeight="1">
      <c r="G2945" s="30">
        <f t="shared" si="258"/>
        <v>0</v>
      </c>
      <c r="H2945" s="31">
        <f t="shared" si="259"/>
        <v>0</v>
      </c>
      <c r="I2945" s="31">
        <f t="shared" si="260"/>
        <v>0</v>
      </c>
      <c r="J2945" s="31">
        <f t="shared" si="256"/>
        <v>0</v>
      </c>
      <c r="M2945" s="33">
        <f t="shared" si="257"/>
        <v>0</v>
      </c>
      <c r="N2945" s="33"/>
    </row>
    <row r="2946" spans="7:14" ht="16.5" customHeight="1">
      <c r="G2946" s="30">
        <f t="shared" si="258"/>
        <v>0</v>
      </c>
      <c r="H2946" s="31">
        <f t="shared" si="259"/>
        <v>0</v>
      </c>
      <c r="I2946" s="31">
        <f t="shared" si="260"/>
        <v>0</v>
      </c>
      <c r="J2946" s="31">
        <f t="shared" si="256"/>
        <v>0</v>
      </c>
      <c r="M2946" s="33">
        <f t="shared" si="257"/>
        <v>0</v>
      </c>
      <c r="N2946" s="33"/>
    </row>
    <row r="2947" spans="7:14" ht="16.5" customHeight="1">
      <c r="G2947" s="30">
        <f t="shared" si="258"/>
        <v>0</v>
      </c>
      <c r="H2947" s="31">
        <f t="shared" si="259"/>
        <v>0</v>
      </c>
      <c r="I2947" s="31">
        <f t="shared" si="260"/>
        <v>0</v>
      </c>
      <c r="J2947" s="31">
        <f t="shared" si="256"/>
        <v>0</v>
      </c>
      <c r="M2947" s="33">
        <f t="shared" si="257"/>
        <v>0</v>
      </c>
      <c r="N2947" s="33"/>
    </row>
    <row r="2948" spans="7:14" ht="16.5" customHeight="1">
      <c r="G2948" s="30">
        <f t="shared" si="258"/>
        <v>0</v>
      </c>
      <c r="H2948" s="31">
        <f t="shared" si="259"/>
        <v>0</v>
      </c>
      <c r="I2948" s="31">
        <f t="shared" si="260"/>
        <v>0</v>
      </c>
      <c r="J2948" s="31">
        <f t="shared" ref="J2948:J3011" si="261">K2948-M2948</f>
        <v>0</v>
      </c>
      <c r="M2948" s="33">
        <f t="shared" si="257"/>
        <v>0</v>
      </c>
      <c r="N2948" s="33"/>
    </row>
    <row r="2949" spans="7:14" ht="16.5" customHeight="1">
      <c r="G2949" s="30">
        <f t="shared" si="258"/>
        <v>0</v>
      </c>
      <c r="H2949" s="31">
        <f t="shared" si="259"/>
        <v>0</v>
      </c>
      <c r="I2949" s="31">
        <f t="shared" si="260"/>
        <v>0</v>
      </c>
      <c r="J2949" s="31">
        <f t="shared" si="261"/>
        <v>0</v>
      </c>
      <c r="M2949" s="33">
        <f t="shared" si="257"/>
        <v>0</v>
      </c>
      <c r="N2949" s="33"/>
    </row>
    <row r="2950" spans="7:14" ht="16.5" customHeight="1">
      <c r="G2950" s="30">
        <f t="shared" si="258"/>
        <v>0</v>
      </c>
      <c r="H2950" s="31">
        <f t="shared" si="259"/>
        <v>0</v>
      </c>
      <c r="I2950" s="31">
        <f t="shared" si="260"/>
        <v>0</v>
      </c>
      <c r="J2950" s="31">
        <f t="shared" si="261"/>
        <v>0</v>
      </c>
      <c r="M2950" s="33">
        <f t="shared" si="257"/>
        <v>0</v>
      </c>
      <c r="N2950" s="33"/>
    </row>
    <row r="2951" spans="7:14" ht="16.5" customHeight="1">
      <c r="G2951" s="30">
        <f t="shared" si="258"/>
        <v>0</v>
      </c>
      <c r="H2951" s="31">
        <f t="shared" si="259"/>
        <v>0</v>
      </c>
      <c r="I2951" s="31">
        <f t="shared" si="260"/>
        <v>0</v>
      </c>
      <c r="J2951" s="31">
        <f t="shared" si="261"/>
        <v>0</v>
      </c>
      <c r="M2951" s="33">
        <f t="shared" si="257"/>
        <v>0</v>
      </c>
      <c r="N2951" s="33"/>
    </row>
    <row r="2952" spans="7:14" ht="16.5" customHeight="1">
      <c r="G2952" s="30">
        <f t="shared" si="258"/>
        <v>0</v>
      </c>
      <c r="H2952" s="31">
        <f t="shared" si="259"/>
        <v>0</v>
      </c>
      <c r="I2952" s="31">
        <f t="shared" si="260"/>
        <v>0</v>
      </c>
      <c r="J2952" s="31">
        <f t="shared" si="261"/>
        <v>0</v>
      </c>
      <c r="M2952" s="33">
        <f t="shared" si="257"/>
        <v>0</v>
      </c>
      <c r="N2952" s="33"/>
    </row>
    <row r="2953" spans="7:14" ht="16.5" customHeight="1">
      <c r="G2953" s="30">
        <f t="shared" si="258"/>
        <v>0</v>
      </c>
      <c r="H2953" s="31">
        <f t="shared" si="259"/>
        <v>0</v>
      </c>
      <c r="I2953" s="31">
        <f t="shared" si="260"/>
        <v>0</v>
      </c>
      <c r="J2953" s="31">
        <f t="shared" si="261"/>
        <v>0</v>
      </c>
      <c r="M2953" s="33">
        <f t="shared" si="257"/>
        <v>0</v>
      </c>
      <c r="N2953" s="33"/>
    </row>
    <row r="2954" spans="7:14" ht="16.5" customHeight="1">
      <c r="G2954" s="30">
        <f t="shared" si="258"/>
        <v>0</v>
      </c>
      <c r="H2954" s="31">
        <f t="shared" si="259"/>
        <v>0</v>
      </c>
      <c r="I2954" s="31">
        <f t="shared" si="260"/>
        <v>0</v>
      </c>
      <c r="J2954" s="31">
        <f t="shared" si="261"/>
        <v>0</v>
      </c>
      <c r="M2954" s="33">
        <f t="shared" si="257"/>
        <v>0</v>
      </c>
      <c r="N2954" s="33"/>
    </row>
    <row r="2955" spans="7:14" ht="16.5" customHeight="1">
      <c r="G2955" s="30">
        <f t="shared" si="258"/>
        <v>0</v>
      </c>
      <c r="H2955" s="31">
        <f t="shared" si="259"/>
        <v>0</v>
      </c>
      <c r="I2955" s="31">
        <f t="shared" si="260"/>
        <v>0</v>
      </c>
      <c r="J2955" s="31">
        <f t="shared" si="261"/>
        <v>0</v>
      </c>
      <c r="M2955" s="33">
        <f t="shared" si="257"/>
        <v>0</v>
      </c>
      <c r="N2955" s="33"/>
    </row>
    <row r="2956" spans="7:14" ht="16.5" customHeight="1">
      <c r="G2956" s="30">
        <f t="shared" si="258"/>
        <v>0</v>
      </c>
      <c r="H2956" s="31">
        <f t="shared" si="259"/>
        <v>0</v>
      </c>
      <c r="I2956" s="31">
        <f t="shared" si="260"/>
        <v>0</v>
      </c>
      <c r="J2956" s="31">
        <f t="shared" si="261"/>
        <v>0</v>
      </c>
      <c r="M2956" s="33">
        <f t="shared" si="257"/>
        <v>0</v>
      </c>
      <c r="N2956" s="33"/>
    </row>
    <row r="2957" spans="7:14" ht="16.5" customHeight="1">
      <c r="G2957" s="30">
        <f t="shared" si="258"/>
        <v>0</v>
      </c>
      <c r="H2957" s="31">
        <f t="shared" si="259"/>
        <v>0</v>
      </c>
      <c r="I2957" s="31">
        <f t="shared" si="260"/>
        <v>0</v>
      </c>
      <c r="J2957" s="31">
        <f t="shared" si="261"/>
        <v>0</v>
      </c>
      <c r="M2957" s="33">
        <f t="shared" si="257"/>
        <v>0</v>
      </c>
      <c r="N2957" s="33"/>
    </row>
    <row r="2958" spans="7:14" ht="16.5" customHeight="1">
      <c r="G2958" s="30">
        <f t="shared" si="258"/>
        <v>0</v>
      </c>
      <c r="H2958" s="31">
        <f t="shared" si="259"/>
        <v>0</v>
      </c>
      <c r="I2958" s="31">
        <f t="shared" si="260"/>
        <v>0</v>
      </c>
      <c r="J2958" s="31">
        <f t="shared" si="261"/>
        <v>0</v>
      </c>
      <c r="M2958" s="33">
        <f t="shared" si="257"/>
        <v>0</v>
      </c>
      <c r="N2958" s="33"/>
    </row>
    <row r="2959" spans="7:14" ht="16.5" customHeight="1">
      <c r="G2959" s="30">
        <f t="shared" si="258"/>
        <v>0</v>
      </c>
      <c r="H2959" s="31">
        <f t="shared" si="259"/>
        <v>0</v>
      </c>
      <c r="I2959" s="31">
        <f t="shared" si="260"/>
        <v>0</v>
      </c>
      <c r="J2959" s="31">
        <f t="shared" si="261"/>
        <v>0</v>
      </c>
      <c r="M2959" s="33">
        <f t="shared" si="257"/>
        <v>0</v>
      </c>
      <c r="N2959" s="33"/>
    </row>
    <row r="2960" spans="7:14" ht="16.5" customHeight="1">
      <c r="G2960" s="30">
        <f t="shared" si="258"/>
        <v>0</v>
      </c>
      <c r="H2960" s="31">
        <f t="shared" si="259"/>
        <v>0</v>
      </c>
      <c r="I2960" s="31">
        <f t="shared" si="260"/>
        <v>0</v>
      </c>
      <c r="J2960" s="31">
        <f t="shared" si="261"/>
        <v>0</v>
      </c>
      <c r="M2960" s="33">
        <f t="shared" si="257"/>
        <v>0</v>
      </c>
      <c r="N2960" s="33"/>
    </row>
    <row r="2961" spans="7:14" ht="16.5" customHeight="1">
      <c r="G2961" s="30">
        <f t="shared" si="258"/>
        <v>0</v>
      </c>
      <c r="H2961" s="31">
        <f t="shared" si="259"/>
        <v>0</v>
      </c>
      <c r="I2961" s="31">
        <f t="shared" si="260"/>
        <v>0</v>
      </c>
      <c r="J2961" s="31">
        <f t="shared" si="261"/>
        <v>0</v>
      </c>
      <c r="M2961" s="33">
        <f t="shared" si="257"/>
        <v>0</v>
      </c>
      <c r="N2961" s="33"/>
    </row>
    <row r="2962" spans="7:14" ht="16.5" customHeight="1">
      <c r="G2962" s="30">
        <f t="shared" si="258"/>
        <v>0</v>
      </c>
      <c r="H2962" s="31">
        <f t="shared" si="259"/>
        <v>0</v>
      </c>
      <c r="I2962" s="31">
        <f t="shared" si="260"/>
        <v>0</v>
      </c>
      <c r="J2962" s="31">
        <f t="shared" si="261"/>
        <v>0</v>
      </c>
      <c r="M2962" s="33">
        <f t="shared" si="257"/>
        <v>0</v>
      </c>
      <c r="N2962" s="33"/>
    </row>
    <row r="2963" spans="7:14" ht="16.5" customHeight="1">
      <c r="G2963" s="30">
        <f t="shared" si="258"/>
        <v>0</v>
      </c>
      <c r="H2963" s="31">
        <f t="shared" si="259"/>
        <v>0</v>
      </c>
      <c r="I2963" s="31">
        <f t="shared" si="260"/>
        <v>0</v>
      </c>
      <c r="J2963" s="31">
        <f t="shared" si="261"/>
        <v>0</v>
      </c>
      <c r="M2963" s="33">
        <f t="shared" si="257"/>
        <v>0</v>
      </c>
      <c r="N2963" s="33"/>
    </row>
    <row r="2964" spans="7:14" ht="16.5" customHeight="1">
      <c r="G2964" s="30">
        <f t="shared" si="258"/>
        <v>0</v>
      </c>
      <c r="H2964" s="31">
        <f t="shared" si="259"/>
        <v>0</v>
      </c>
      <c r="I2964" s="31">
        <f t="shared" si="260"/>
        <v>0</v>
      </c>
      <c r="J2964" s="31">
        <f t="shared" si="261"/>
        <v>0</v>
      </c>
      <c r="M2964" s="33">
        <f t="shared" si="257"/>
        <v>0</v>
      </c>
      <c r="N2964" s="33"/>
    </row>
    <row r="2965" spans="7:14" ht="16.5" customHeight="1">
      <c r="G2965" s="30">
        <f t="shared" si="258"/>
        <v>0</v>
      </c>
      <c r="H2965" s="31">
        <f t="shared" si="259"/>
        <v>0</v>
      </c>
      <c r="I2965" s="31">
        <f t="shared" si="260"/>
        <v>0</v>
      </c>
      <c r="J2965" s="31">
        <f t="shared" si="261"/>
        <v>0</v>
      </c>
      <c r="M2965" s="33">
        <f t="shared" si="257"/>
        <v>0</v>
      </c>
      <c r="N2965" s="33"/>
    </row>
    <row r="2966" spans="7:14" ht="16.5" customHeight="1">
      <c r="G2966" s="30">
        <f t="shared" si="258"/>
        <v>0</v>
      </c>
      <c r="H2966" s="31">
        <f t="shared" si="259"/>
        <v>0</v>
      </c>
      <c r="I2966" s="31">
        <f t="shared" si="260"/>
        <v>0</v>
      </c>
      <c r="J2966" s="31">
        <f t="shared" si="261"/>
        <v>0</v>
      </c>
      <c r="M2966" s="33">
        <f t="shared" si="257"/>
        <v>0</v>
      </c>
      <c r="N2966" s="33"/>
    </row>
    <row r="2967" spans="7:14" ht="16.5" customHeight="1">
      <c r="G2967" s="30">
        <f t="shared" si="258"/>
        <v>0</v>
      </c>
      <c r="H2967" s="31">
        <f t="shared" si="259"/>
        <v>0</v>
      </c>
      <c r="I2967" s="31">
        <f t="shared" si="260"/>
        <v>0</v>
      </c>
      <c r="J2967" s="31">
        <f t="shared" si="261"/>
        <v>0</v>
      </c>
      <c r="M2967" s="33">
        <f t="shared" si="257"/>
        <v>0</v>
      </c>
      <c r="N2967" s="33"/>
    </row>
    <row r="2968" spans="7:14" ht="16.5" customHeight="1">
      <c r="G2968" s="30">
        <f t="shared" si="258"/>
        <v>0</v>
      </c>
      <c r="H2968" s="31">
        <f t="shared" si="259"/>
        <v>0</v>
      </c>
      <c r="I2968" s="31">
        <f t="shared" si="260"/>
        <v>0</v>
      </c>
      <c r="J2968" s="31">
        <f t="shared" si="261"/>
        <v>0</v>
      </c>
      <c r="M2968" s="33">
        <f t="shared" si="257"/>
        <v>0</v>
      </c>
      <c r="N2968" s="33"/>
    </row>
    <row r="2969" spans="7:14" ht="16.5" customHeight="1">
      <c r="G2969" s="30">
        <f t="shared" si="258"/>
        <v>0</v>
      </c>
      <c r="H2969" s="31">
        <f t="shared" si="259"/>
        <v>0</v>
      </c>
      <c r="I2969" s="31">
        <f t="shared" si="260"/>
        <v>0</v>
      </c>
      <c r="J2969" s="31">
        <f t="shared" si="261"/>
        <v>0</v>
      </c>
      <c r="M2969" s="33">
        <f t="shared" si="257"/>
        <v>0</v>
      </c>
      <c r="N2969" s="33"/>
    </row>
    <row r="2970" spans="7:14" ht="16.5" customHeight="1">
      <c r="G2970" s="30">
        <f t="shared" si="258"/>
        <v>0</v>
      </c>
      <c r="H2970" s="31">
        <f t="shared" si="259"/>
        <v>0</v>
      </c>
      <c r="I2970" s="31">
        <f t="shared" si="260"/>
        <v>0</v>
      </c>
      <c r="J2970" s="31">
        <f t="shared" si="261"/>
        <v>0</v>
      </c>
      <c r="M2970" s="33">
        <f t="shared" si="257"/>
        <v>0</v>
      </c>
      <c r="N2970" s="33"/>
    </row>
    <row r="2971" spans="7:14" ht="16.5" customHeight="1">
      <c r="G2971" s="30">
        <f t="shared" si="258"/>
        <v>0</v>
      </c>
      <c r="H2971" s="31">
        <f t="shared" si="259"/>
        <v>0</v>
      </c>
      <c r="I2971" s="31">
        <f t="shared" si="260"/>
        <v>0</v>
      </c>
      <c r="J2971" s="31">
        <f t="shared" si="261"/>
        <v>0</v>
      </c>
      <c r="M2971" s="33">
        <f t="shared" si="257"/>
        <v>0</v>
      </c>
      <c r="N2971" s="33"/>
    </row>
    <row r="2972" spans="7:14" ht="16.5" customHeight="1">
      <c r="G2972" s="30">
        <f t="shared" si="258"/>
        <v>0</v>
      </c>
      <c r="H2972" s="31">
        <f t="shared" si="259"/>
        <v>0</v>
      </c>
      <c r="I2972" s="31">
        <f t="shared" si="260"/>
        <v>0</v>
      </c>
      <c r="J2972" s="31">
        <f t="shared" si="261"/>
        <v>0</v>
      </c>
      <c r="M2972" s="33">
        <f t="shared" si="257"/>
        <v>0</v>
      </c>
      <c r="N2972" s="33"/>
    </row>
    <row r="2973" spans="7:14" ht="16.5" customHeight="1">
      <c r="G2973" s="30">
        <f t="shared" si="258"/>
        <v>0</v>
      </c>
      <c r="H2973" s="31">
        <f t="shared" si="259"/>
        <v>0</v>
      </c>
      <c r="I2973" s="31">
        <f t="shared" si="260"/>
        <v>0</v>
      </c>
      <c r="J2973" s="31">
        <f t="shared" si="261"/>
        <v>0</v>
      </c>
      <c r="M2973" s="33">
        <f t="shared" si="257"/>
        <v>0</v>
      </c>
      <c r="N2973" s="33"/>
    </row>
    <row r="2974" spans="7:14" ht="16.5" customHeight="1">
      <c r="G2974" s="30">
        <f t="shared" si="258"/>
        <v>0</v>
      </c>
      <c r="H2974" s="31">
        <f t="shared" si="259"/>
        <v>0</v>
      </c>
      <c r="I2974" s="31">
        <f t="shared" si="260"/>
        <v>0</v>
      </c>
      <c r="J2974" s="31">
        <f t="shared" si="261"/>
        <v>0</v>
      </c>
      <c r="M2974" s="33">
        <f t="shared" si="257"/>
        <v>0</v>
      </c>
      <c r="N2974" s="33"/>
    </row>
    <row r="2975" spans="7:14" ht="16.5" customHeight="1">
      <c r="G2975" s="30">
        <f t="shared" si="258"/>
        <v>0</v>
      </c>
      <c r="H2975" s="31">
        <f t="shared" si="259"/>
        <v>0</v>
      </c>
      <c r="I2975" s="31">
        <f t="shared" si="260"/>
        <v>0</v>
      </c>
      <c r="J2975" s="31">
        <f t="shared" si="261"/>
        <v>0</v>
      </c>
      <c r="M2975" s="33">
        <f t="shared" si="257"/>
        <v>0</v>
      </c>
      <c r="N2975" s="33"/>
    </row>
    <row r="2976" spans="7:14" ht="16.5" customHeight="1">
      <c r="G2976" s="30">
        <f t="shared" si="258"/>
        <v>0</v>
      </c>
      <c r="H2976" s="31">
        <f t="shared" si="259"/>
        <v>0</v>
      </c>
      <c r="I2976" s="31">
        <f t="shared" si="260"/>
        <v>0</v>
      </c>
      <c r="J2976" s="31">
        <f t="shared" si="261"/>
        <v>0</v>
      </c>
      <c r="M2976" s="33">
        <f t="shared" si="257"/>
        <v>0</v>
      </c>
      <c r="N2976" s="33"/>
    </row>
    <row r="2977" spans="7:14" ht="16.5" customHeight="1">
      <c r="G2977" s="30">
        <f t="shared" si="258"/>
        <v>0</v>
      </c>
      <c r="H2977" s="31">
        <f t="shared" si="259"/>
        <v>0</v>
      </c>
      <c r="I2977" s="31">
        <f t="shared" si="260"/>
        <v>0</v>
      </c>
      <c r="J2977" s="31">
        <f t="shared" si="261"/>
        <v>0</v>
      </c>
      <c r="M2977" s="33">
        <f t="shared" si="257"/>
        <v>0</v>
      </c>
      <c r="N2977" s="33"/>
    </row>
    <row r="2978" spans="7:14" ht="16.5" customHeight="1">
      <c r="G2978" s="30">
        <f t="shared" si="258"/>
        <v>0</v>
      </c>
      <c r="H2978" s="31">
        <f t="shared" si="259"/>
        <v>0</v>
      </c>
      <c r="I2978" s="31">
        <f t="shared" si="260"/>
        <v>0</v>
      </c>
      <c r="J2978" s="31">
        <f t="shared" si="261"/>
        <v>0</v>
      </c>
      <c r="M2978" s="33">
        <f t="shared" si="257"/>
        <v>0</v>
      </c>
      <c r="N2978" s="33"/>
    </row>
    <row r="2979" spans="7:14" ht="16.5" customHeight="1">
      <c r="G2979" s="30">
        <f t="shared" si="258"/>
        <v>0</v>
      </c>
      <c r="H2979" s="31">
        <f t="shared" si="259"/>
        <v>0</v>
      </c>
      <c r="I2979" s="31">
        <f t="shared" si="260"/>
        <v>0</v>
      </c>
      <c r="J2979" s="31">
        <f t="shared" si="261"/>
        <v>0</v>
      </c>
      <c r="M2979" s="33">
        <f t="shared" si="257"/>
        <v>0</v>
      </c>
      <c r="N2979" s="33"/>
    </row>
    <row r="2980" spans="7:14" ht="16.5" customHeight="1">
      <c r="G2980" s="30">
        <f t="shared" si="258"/>
        <v>0</v>
      </c>
      <c r="H2980" s="31">
        <f t="shared" si="259"/>
        <v>0</v>
      </c>
      <c r="I2980" s="31">
        <f t="shared" si="260"/>
        <v>0</v>
      </c>
      <c r="J2980" s="31">
        <f t="shared" si="261"/>
        <v>0</v>
      </c>
      <c r="M2980" s="33">
        <f t="shared" si="257"/>
        <v>0</v>
      </c>
      <c r="N2980" s="33"/>
    </row>
    <row r="2981" spans="7:14" ht="16.5" customHeight="1">
      <c r="G2981" s="30">
        <f t="shared" si="258"/>
        <v>0</v>
      </c>
      <c r="H2981" s="31">
        <f t="shared" si="259"/>
        <v>0</v>
      </c>
      <c r="I2981" s="31">
        <f t="shared" si="260"/>
        <v>0</v>
      </c>
      <c r="J2981" s="31">
        <f t="shared" si="261"/>
        <v>0</v>
      </c>
      <c r="M2981" s="33">
        <f t="shared" si="257"/>
        <v>0</v>
      </c>
      <c r="N2981" s="33"/>
    </row>
    <row r="2982" spans="7:14" ht="16.5" customHeight="1">
      <c r="G2982" s="30">
        <f t="shared" si="258"/>
        <v>0</v>
      </c>
      <c r="H2982" s="31">
        <f t="shared" si="259"/>
        <v>0</v>
      </c>
      <c r="I2982" s="31">
        <f t="shared" si="260"/>
        <v>0</v>
      </c>
      <c r="J2982" s="31">
        <f t="shared" si="261"/>
        <v>0</v>
      </c>
      <c r="M2982" s="33">
        <f t="shared" si="257"/>
        <v>0</v>
      </c>
      <c r="N2982" s="33"/>
    </row>
    <row r="2983" spans="7:14" ht="16.5" customHeight="1">
      <c r="G2983" s="30">
        <f t="shared" si="258"/>
        <v>0</v>
      </c>
      <c r="H2983" s="31">
        <f t="shared" si="259"/>
        <v>0</v>
      </c>
      <c r="I2983" s="31">
        <f t="shared" si="260"/>
        <v>0</v>
      </c>
      <c r="J2983" s="31">
        <f t="shared" si="261"/>
        <v>0</v>
      </c>
      <c r="M2983" s="33">
        <f t="shared" si="257"/>
        <v>0</v>
      </c>
      <c r="N2983" s="33"/>
    </row>
    <row r="2984" spans="7:14" ht="16.5" customHeight="1">
      <c r="G2984" s="30">
        <f t="shared" si="258"/>
        <v>0</v>
      </c>
      <c r="H2984" s="31">
        <f t="shared" si="259"/>
        <v>0</v>
      </c>
      <c r="I2984" s="31">
        <f t="shared" si="260"/>
        <v>0</v>
      </c>
      <c r="J2984" s="31">
        <f t="shared" si="261"/>
        <v>0</v>
      </c>
      <c r="M2984" s="33">
        <f t="shared" si="257"/>
        <v>0</v>
      </c>
      <c r="N2984" s="33"/>
    </row>
    <row r="2985" spans="7:14" ht="16.5" customHeight="1">
      <c r="G2985" s="30">
        <f t="shared" si="258"/>
        <v>0</v>
      </c>
      <c r="H2985" s="31">
        <f t="shared" si="259"/>
        <v>0</v>
      </c>
      <c r="I2985" s="31">
        <f t="shared" si="260"/>
        <v>0</v>
      </c>
      <c r="J2985" s="31">
        <f t="shared" si="261"/>
        <v>0</v>
      </c>
      <c r="M2985" s="33">
        <f t="shared" si="257"/>
        <v>0</v>
      </c>
      <c r="N2985" s="33"/>
    </row>
    <row r="2986" spans="7:14" ht="16.5" customHeight="1">
      <c r="G2986" s="30">
        <f t="shared" si="258"/>
        <v>0</v>
      </c>
      <c r="H2986" s="31">
        <f t="shared" si="259"/>
        <v>0</v>
      </c>
      <c r="I2986" s="31">
        <f t="shared" si="260"/>
        <v>0</v>
      </c>
      <c r="J2986" s="31">
        <f t="shared" si="261"/>
        <v>0</v>
      </c>
      <c r="M2986" s="33">
        <f t="shared" si="257"/>
        <v>0</v>
      </c>
      <c r="N2986" s="33"/>
    </row>
    <row r="2987" spans="7:14" ht="16.5" customHeight="1">
      <c r="G2987" s="30">
        <f t="shared" si="258"/>
        <v>0</v>
      </c>
      <c r="H2987" s="31">
        <f t="shared" si="259"/>
        <v>0</v>
      </c>
      <c r="I2987" s="31">
        <f t="shared" si="260"/>
        <v>0</v>
      </c>
      <c r="J2987" s="31">
        <f t="shared" si="261"/>
        <v>0</v>
      </c>
      <c r="M2987" s="33">
        <f t="shared" si="257"/>
        <v>0</v>
      </c>
      <c r="N2987" s="33"/>
    </row>
    <row r="2988" spans="7:14" ht="16.5" customHeight="1">
      <c r="G2988" s="30">
        <f t="shared" si="258"/>
        <v>0</v>
      </c>
      <c r="H2988" s="31">
        <f t="shared" si="259"/>
        <v>0</v>
      </c>
      <c r="I2988" s="31">
        <f t="shared" si="260"/>
        <v>0</v>
      </c>
      <c r="J2988" s="31">
        <f t="shared" si="261"/>
        <v>0</v>
      </c>
      <c r="M2988" s="33">
        <f t="shared" si="257"/>
        <v>0</v>
      </c>
      <c r="N2988" s="33"/>
    </row>
    <row r="2989" spans="7:14" ht="16.5" customHeight="1">
      <c r="G2989" s="30">
        <f t="shared" si="258"/>
        <v>0</v>
      </c>
      <c r="H2989" s="31">
        <f t="shared" si="259"/>
        <v>0</v>
      </c>
      <c r="I2989" s="31">
        <f t="shared" si="260"/>
        <v>0</v>
      </c>
      <c r="J2989" s="31">
        <f t="shared" si="261"/>
        <v>0</v>
      </c>
      <c r="M2989" s="33">
        <f t="shared" si="257"/>
        <v>0</v>
      </c>
      <c r="N2989" s="33"/>
    </row>
    <row r="2990" spans="7:14" ht="16.5" customHeight="1">
      <c r="G2990" s="30">
        <f t="shared" si="258"/>
        <v>0</v>
      </c>
      <c r="H2990" s="31">
        <f t="shared" si="259"/>
        <v>0</v>
      </c>
      <c r="I2990" s="31">
        <f t="shared" si="260"/>
        <v>0</v>
      </c>
      <c r="J2990" s="31">
        <f t="shared" si="261"/>
        <v>0</v>
      </c>
      <c r="M2990" s="33">
        <f t="shared" si="257"/>
        <v>0</v>
      </c>
      <c r="N2990" s="33"/>
    </row>
    <row r="2991" spans="7:14" ht="16.5" customHeight="1">
      <c r="G2991" s="30">
        <f t="shared" si="258"/>
        <v>0</v>
      </c>
      <c r="H2991" s="31">
        <f t="shared" si="259"/>
        <v>0</v>
      </c>
      <c r="I2991" s="31">
        <f t="shared" si="260"/>
        <v>0</v>
      </c>
      <c r="J2991" s="31">
        <f t="shared" si="261"/>
        <v>0</v>
      </c>
      <c r="M2991" s="33">
        <f t="shared" si="257"/>
        <v>0</v>
      </c>
      <c r="N2991" s="33"/>
    </row>
    <row r="2992" spans="7:14" ht="16.5" customHeight="1">
      <c r="G2992" s="30">
        <f t="shared" si="258"/>
        <v>0</v>
      </c>
      <c r="H2992" s="31">
        <f t="shared" si="259"/>
        <v>0</v>
      </c>
      <c r="I2992" s="31">
        <f t="shared" si="260"/>
        <v>0</v>
      </c>
      <c r="J2992" s="31">
        <f t="shared" si="261"/>
        <v>0</v>
      </c>
      <c r="M2992" s="33">
        <f t="shared" si="257"/>
        <v>0</v>
      </c>
      <c r="N2992" s="33"/>
    </row>
    <row r="2993" spans="7:14" ht="16.5" customHeight="1">
      <c r="G2993" s="30">
        <f t="shared" si="258"/>
        <v>0</v>
      </c>
      <c r="H2993" s="31">
        <f t="shared" si="259"/>
        <v>0</v>
      </c>
      <c r="I2993" s="31">
        <f t="shared" si="260"/>
        <v>0</v>
      </c>
      <c r="J2993" s="31">
        <f t="shared" si="261"/>
        <v>0</v>
      </c>
      <c r="M2993" s="33">
        <f t="shared" si="257"/>
        <v>0</v>
      </c>
      <c r="N2993" s="33"/>
    </row>
    <row r="2994" spans="7:14" ht="16.5" customHeight="1">
      <c r="G2994" s="30">
        <f t="shared" si="258"/>
        <v>0</v>
      </c>
      <c r="H2994" s="31">
        <f t="shared" si="259"/>
        <v>0</v>
      </c>
      <c r="I2994" s="31">
        <f t="shared" si="260"/>
        <v>0</v>
      </c>
      <c r="J2994" s="31">
        <f t="shared" si="261"/>
        <v>0</v>
      </c>
      <c r="M2994" s="33">
        <f t="shared" si="257"/>
        <v>0</v>
      </c>
      <c r="N2994" s="33"/>
    </row>
    <row r="2995" spans="7:14" ht="16.5" customHeight="1">
      <c r="G2995" s="30">
        <f t="shared" si="258"/>
        <v>0</v>
      </c>
      <c r="H2995" s="31">
        <f t="shared" si="259"/>
        <v>0</v>
      </c>
      <c r="I2995" s="31">
        <f t="shared" si="260"/>
        <v>0</v>
      </c>
      <c r="J2995" s="31">
        <f t="shared" si="261"/>
        <v>0</v>
      </c>
      <c r="M2995" s="33">
        <f t="shared" si="257"/>
        <v>0</v>
      </c>
      <c r="N2995" s="33"/>
    </row>
    <row r="2996" spans="7:14" ht="16.5" customHeight="1">
      <c r="G2996" s="30">
        <f t="shared" si="258"/>
        <v>0</v>
      </c>
      <c r="H2996" s="31">
        <f t="shared" si="259"/>
        <v>0</v>
      </c>
      <c r="I2996" s="31">
        <f t="shared" si="260"/>
        <v>0</v>
      </c>
      <c r="J2996" s="31">
        <f t="shared" si="261"/>
        <v>0</v>
      </c>
      <c r="M2996" s="33">
        <f t="shared" si="257"/>
        <v>0</v>
      </c>
      <c r="N2996" s="33"/>
    </row>
    <row r="2997" spans="7:14" ht="16.5" customHeight="1">
      <c r="G2997" s="30">
        <f t="shared" si="258"/>
        <v>0</v>
      </c>
      <c r="H2997" s="31">
        <f t="shared" si="259"/>
        <v>0</v>
      </c>
      <c r="I2997" s="31">
        <f t="shared" si="260"/>
        <v>0</v>
      </c>
      <c r="J2997" s="31">
        <f t="shared" si="261"/>
        <v>0</v>
      </c>
      <c r="M2997" s="33">
        <f t="shared" si="257"/>
        <v>0</v>
      </c>
      <c r="N2997" s="33"/>
    </row>
    <row r="2998" spans="7:14" ht="16.5" customHeight="1">
      <c r="G2998" s="30">
        <f t="shared" si="258"/>
        <v>0</v>
      </c>
      <c r="H2998" s="31">
        <f t="shared" si="259"/>
        <v>0</v>
      </c>
      <c r="I2998" s="31">
        <f t="shared" si="260"/>
        <v>0</v>
      </c>
      <c r="J2998" s="31">
        <f t="shared" si="261"/>
        <v>0</v>
      </c>
      <c r="M2998" s="33">
        <f t="shared" si="257"/>
        <v>0</v>
      </c>
      <c r="N2998" s="33"/>
    </row>
    <row r="2999" spans="7:14" ht="16.5" customHeight="1">
      <c r="G2999" s="30">
        <f t="shared" si="258"/>
        <v>0</v>
      </c>
      <c r="H2999" s="31">
        <f t="shared" si="259"/>
        <v>0</v>
      </c>
      <c r="I2999" s="31">
        <f t="shared" si="260"/>
        <v>0</v>
      </c>
      <c r="J2999" s="31">
        <f t="shared" si="261"/>
        <v>0</v>
      </c>
      <c r="M2999" s="33">
        <f t="shared" si="257"/>
        <v>0</v>
      </c>
      <c r="N2999" s="33"/>
    </row>
    <row r="3000" spans="7:14" ht="16.5" customHeight="1">
      <c r="G3000" s="30">
        <f t="shared" si="258"/>
        <v>0</v>
      </c>
      <c r="H3000" s="31">
        <f t="shared" si="259"/>
        <v>0</v>
      </c>
      <c r="I3000" s="31">
        <f t="shared" si="260"/>
        <v>0</v>
      </c>
      <c r="J3000" s="31">
        <f t="shared" si="261"/>
        <v>0</v>
      </c>
      <c r="M3000" s="33">
        <f t="shared" si="257"/>
        <v>0</v>
      </c>
      <c r="N3000" s="33"/>
    </row>
    <row r="3001" spans="7:14" ht="16.5" customHeight="1">
      <c r="G3001" s="30">
        <f t="shared" si="258"/>
        <v>0</v>
      </c>
      <c r="H3001" s="31">
        <f t="shared" si="259"/>
        <v>0</v>
      </c>
      <c r="I3001" s="31">
        <f t="shared" si="260"/>
        <v>0</v>
      </c>
      <c r="J3001" s="31">
        <f t="shared" si="261"/>
        <v>0</v>
      </c>
      <c r="M3001" s="33">
        <f t="shared" si="257"/>
        <v>0</v>
      </c>
      <c r="N3001" s="33"/>
    </row>
    <row r="3002" spans="7:14" ht="16.5" customHeight="1">
      <c r="G3002" s="30">
        <f t="shared" si="258"/>
        <v>0</v>
      </c>
      <c r="H3002" s="31">
        <f t="shared" si="259"/>
        <v>0</v>
      </c>
      <c r="I3002" s="31">
        <f t="shared" si="260"/>
        <v>0</v>
      </c>
      <c r="J3002" s="31">
        <f t="shared" si="261"/>
        <v>0</v>
      </c>
      <c r="M3002" s="33">
        <f t="shared" si="257"/>
        <v>0</v>
      </c>
      <c r="N3002" s="33"/>
    </row>
    <row r="3003" spans="7:14" ht="16.5" customHeight="1">
      <c r="G3003" s="30">
        <f t="shared" si="258"/>
        <v>0</v>
      </c>
      <c r="H3003" s="31">
        <f t="shared" si="259"/>
        <v>0</v>
      </c>
      <c r="I3003" s="31">
        <f t="shared" si="260"/>
        <v>0</v>
      </c>
      <c r="J3003" s="31">
        <f t="shared" si="261"/>
        <v>0</v>
      </c>
      <c r="M3003" s="33">
        <f t="shared" si="257"/>
        <v>0</v>
      </c>
      <c r="N3003" s="33"/>
    </row>
    <row r="3004" spans="7:14" ht="16.5" customHeight="1">
      <c r="G3004" s="30">
        <f t="shared" si="258"/>
        <v>0</v>
      </c>
      <c r="H3004" s="31">
        <f t="shared" si="259"/>
        <v>0</v>
      </c>
      <c r="I3004" s="31">
        <f t="shared" si="260"/>
        <v>0</v>
      </c>
      <c r="J3004" s="31">
        <f t="shared" si="261"/>
        <v>0</v>
      </c>
      <c r="M3004" s="33">
        <f t="shared" si="257"/>
        <v>0</v>
      </c>
      <c r="N3004" s="33"/>
    </row>
    <row r="3005" spans="7:14" ht="16.5" customHeight="1">
      <c r="G3005" s="30">
        <f t="shared" si="258"/>
        <v>0</v>
      </c>
      <c r="H3005" s="31">
        <f t="shared" si="259"/>
        <v>0</v>
      </c>
      <c r="I3005" s="31">
        <f t="shared" si="260"/>
        <v>0</v>
      </c>
      <c r="J3005" s="31">
        <f t="shared" si="261"/>
        <v>0</v>
      </c>
      <c r="M3005" s="33">
        <f t="shared" si="257"/>
        <v>0</v>
      </c>
      <c r="N3005" s="33"/>
    </row>
    <row r="3006" spans="7:14" ht="16.5" customHeight="1">
      <c r="G3006" s="30">
        <f t="shared" si="258"/>
        <v>0</v>
      </c>
      <c r="H3006" s="31">
        <f t="shared" si="259"/>
        <v>0</v>
      </c>
      <c r="I3006" s="31">
        <f t="shared" si="260"/>
        <v>0</v>
      </c>
      <c r="J3006" s="31">
        <f t="shared" si="261"/>
        <v>0</v>
      </c>
      <c r="M3006" s="33">
        <f t="shared" ref="M3006:M3069" si="262">IF(P3006="TL tuyệt đối",0, IF(K3006&lt;5,0,IF(K3006&lt;50,K3006*9%,IF(K3006&lt;100,4.5,IF(K3006&lt;200,4.5%*K3006,IF(K3006&lt;300,9,IF(K3006&lt;500,K3006*3%,IF(K3006&lt;1000,15,))))))))</f>
        <v>0</v>
      </c>
      <c r="N3006" s="33"/>
    </row>
    <row r="3007" spans="7:14" ht="16.5" customHeight="1">
      <c r="G3007" s="30">
        <f t="shared" si="258"/>
        <v>0</v>
      </c>
      <c r="H3007" s="31">
        <f t="shared" si="259"/>
        <v>0</v>
      </c>
      <c r="I3007" s="31">
        <f t="shared" si="260"/>
        <v>0</v>
      </c>
      <c r="J3007" s="31">
        <f t="shared" si="261"/>
        <v>0</v>
      </c>
      <c r="M3007" s="33">
        <f t="shared" si="262"/>
        <v>0</v>
      </c>
      <c r="N3007" s="33"/>
    </row>
    <row r="3008" spans="7:14" ht="16.5" customHeight="1">
      <c r="G3008" s="30">
        <f t="shared" ref="G3008:G3071" si="263">IF(P3008="TL tuyệt đối",K3008*103%,K3008+1/3*M3008)</f>
        <v>0</v>
      </c>
      <c r="H3008" s="31">
        <f t="shared" ref="H3008:H3071" si="264">IF(P3008="TL tuyệt đối",K3008*101%,K3008-1/3*M3008)</f>
        <v>0</v>
      </c>
      <c r="I3008" s="31">
        <f t="shared" ref="I3008:I3071" si="265">IF(P3008="TL tuyệt đối", K3008*105%,K3008+M3008)</f>
        <v>0</v>
      </c>
      <c r="J3008" s="31">
        <f t="shared" si="261"/>
        <v>0</v>
      </c>
      <c r="M3008" s="33">
        <f t="shared" si="262"/>
        <v>0</v>
      </c>
      <c r="N3008" s="33"/>
    </row>
    <row r="3009" spans="7:14" ht="16.5" customHeight="1">
      <c r="G3009" s="30">
        <f t="shared" si="263"/>
        <v>0</v>
      </c>
      <c r="H3009" s="31">
        <f t="shared" si="264"/>
        <v>0</v>
      </c>
      <c r="I3009" s="31">
        <f t="shared" si="265"/>
        <v>0</v>
      </c>
      <c r="J3009" s="31">
        <f t="shared" si="261"/>
        <v>0</v>
      </c>
      <c r="M3009" s="33">
        <f t="shared" si="262"/>
        <v>0</v>
      </c>
      <c r="N3009" s="33"/>
    </row>
    <row r="3010" spans="7:14" ht="16.5" customHeight="1">
      <c r="G3010" s="30">
        <f t="shared" si="263"/>
        <v>0</v>
      </c>
      <c r="H3010" s="31">
        <f t="shared" si="264"/>
        <v>0</v>
      </c>
      <c r="I3010" s="31">
        <f t="shared" si="265"/>
        <v>0</v>
      </c>
      <c r="J3010" s="31">
        <f t="shared" si="261"/>
        <v>0</v>
      </c>
      <c r="M3010" s="33">
        <f t="shared" si="262"/>
        <v>0</v>
      </c>
      <c r="N3010" s="33"/>
    </row>
    <row r="3011" spans="7:14" ht="16.5" customHeight="1">
      <c r="G3011" s="30">
        <f t="shared" si="263"/>
        <v>0</v>
      </c>
      <c r="H3011" s="31">
        <f t="shared" si="264"/>
        <v>0</v>
      </c>
      <c r="I3011" s="31">
        <f t="shared" si="265"/>
        <v>0</v>
      </c>
      <c r="J3011" s="31">
        <f t="shared" si="261"/>
        <v>0</v>
      </c>
      <c r="M3011" s="33">
        <f t="shared" si="262"/>
        <v>0</v>
      </c>
      <c r="N3011" s="33"/>
    </row>
    <row r="3012" spans="7:14" ht="16.5" customHeight="1">
      <c r="G3012" s="30">
        <f t="shared" si="263"/>
        <v>0</v>
      </c>
      <c r="H3012" s="31">
        <f t="shared" si="264"/>
        <v>0</v>
      </c>
      <c r="I3012" s="31">
        <f t="shared" si="265"/>
        <v>0</v>
      </c>
      <c r="J3012" s="31">
        <f t="shared" ref="J3012:J3075" si="266">K3012-M3012</f>
        <v>0</v>
      </c>
      <c r="M3012" s="33">
        <f t="shared" si="262"/>
        <v>0</v>
      </c>
      <c r="N3012" s="33"/>
    </row>
    <row r="3013" spans="7:14" ht="16.5" customHeight="1">
      <c r="G3013" s="30">
        <f t="shared" si="263"/>
        <v>0</v>
      </c>
      <c r="H3013" s="31">
        <f t="shared" si="264"/>
        <v>0</v>
      </c>
      <c r="I3013" s="31">
        <f t="shared" si="265"/>
        <v>0</v>
      </c>
      <c r="J3013" s="31">
        <f t="shared" si="266"/>
        <v>0</v>
      </c>
      <c r="M3013" s="33">
        <f t="shared" si="262"/>
        <v>0</v>
      </c>
      <c r="N3013" s="33"/>
    </row>
    <row r="3014" spans="7:14" ht="16.5" customHeight="1">
      <c r="G3014" s="30">
        <f t="shared" si="263"/>
        <v>0</v>
      </c>
      <c r="H3014" s="31">
        <f t="shared" si="264"/>
        <v>0</v>
      </c>
      <c r="I3014" s="31">
        <f t="shared" si="265"/>
        <v>0</v>
      </c>
      <c r="J3014" s="31">
        <f t="shared" si="266"/>
        <v>0</v>
      </c>
      <c r="M3014" s="33">
        <f t="shared" si="262"/>
        <v>0</v>
      </c>
      <c r="N3014" s="33"/>
    </row>
    <row r="3015" spans="7:14" ht="16.5" customHeight="1">
      <c r="G3015" s="30">
        <f t="shared" si="263"/>
        <v>0</v>
      </c>
      <c r="H3015" s="31">
        <f t="shared" si="264"/>
        <v>0</v>
      </c>
      <c r="I3015" s="31">
        <f t="shared" si="265"/>
        <v>0</v>
      </c>
      <c r="J3015" s="31">
        <f t="shared" si="266"/>
        <v>0</v>
      </c>
      <c r="M3015" s="33">
        <f t="shared" si="262"/>
        <v>0</v>
      </c>
      <c r="N3015" s="33"/>
    </row>
    <row r="3016" spans="7:14" ht="16.5" customHeight="1">
      <c r="G3016" s="30">
        <f t="shared" si="263"/>
        <v>0</v>
      </c>
      <c r="H3016" s="31">
        <f t="shared" si="264"/>
        <v>0</v>
      </c>
      <c r="I3016" s="31">
        <f t="shared" si="265"/>
        <v>0</v>
      </c>
      <c r="J3016" s="31">
        <f t="shared" si="266"/>
        <v>0</v>
      </c>
      <c r="M3016" s="33">
        <f t="shared" si="262"/>
        <v>0</v>
      </c>
      <c r="N3016" s="33"/>
    </row>
    <row r="3017" spans="7:14" ht="16.5" customHeight="1">
      <c r="G3017" s="30">
        <f t="shared" si="263"/>
        <v>0</v>
      </c>
      <c r="H3017" s="31">
        <f t="shared" si="264"/>
        <v>0</v>
      </c>
      <c r="I3017" s="31">
        <f t="shared" si="265"/>
        <v>0</v>
      </c>
      <c r="J3017" s="31">
        <f t="shared" si="266"/>
        <v>0</v>
      </c>
      <c r="M3017" s="33">
        <f t="shared" si="262"/>
        <v>0</v>
      </c>
      <c r="N3017" s="33"/>
    </row>
    <row r="3018" spans="7:14" ht="16.5" customHeight="1">
      <c r="G3018" s="30">
        <f t="shared" si="263"/>
        <v>0</v>
      </c>
      <c r="H3018" s="31">
        <f t="shared" si="264"/>
        <v>0</v>
      </c>
      <c r="I3018" s="31">
        <f t="shared" si="265"/>
        <v>0</v>
      </c>
      <c r="J3018" s="31">
        <f t="shared" si="266"/>
        <v>0</v>
      </c>
      <c r="M3018" s="33">
        <f t="shared" si="262"/>
        <v>0</v>
      </c>
      <c r="N3018" s="33"/>
    </row>
    <row r="3019" spans="7:14" ht="16.5" customHeight="1">
      <c r="G3019" s="30">
        <f t="shared" si="263"/>
        <v>0</v>
      </c>
      <c r="H3019" s="31">
        <f t="shared" si="264"/>
        <v>0</v>
      </c>
      <c r="I3019" s="31">
        <f t="shared" si="265"/>
        <v>0</v>
      </c>
      <c r="J3019" s="31">
        <f t="shared" si="266"/>
        <v>0</v>
      </c>
      <c r="M3019" s="33">
        <f t="shared" si="262"/>
        <v>0</v>
      </c>
      <c r="N3019" s="33"/>
    </row>
    <row r="3020" spans="7:14" ht="16.5" customHeight="1">
      <c r="G3020" s="30">
        <f t="shared" si="263"/>
        <v>0</v>
      </c>
      <c r="H3020" s="31">
        <f t="shared" si="264"/>
        <v>0</v>
      </c>
      <c r="I3020" s="31">
        <f t="shared" si="265"/>
        <v>0</v>
      </c>
      <c r="J3020" s="31">
        <f t="shared" si="266"/>
        <v>0</v>
      </c>
      <c r="M3020" s="33">
        <f t="shared" si="262"/>
        <v>0</v>
      </c>
      <c r="N3020" s="33"/>
    </row>
    <row r="3021" spans="7:14" ht="16.5" customHeight="1">
      <c r="G3021" s="30">
        <f t="shared" si="263"/>
        <v>0</v>
      </c>
      <c r="H3021" s="31">
        <f t="shared" si="264"/>
        <v>0</v>
      </c>
      <c r="I3021" s="31">
        <f t="shared" si="265"/>
        <v>0</v>
      </c>
      <c r="J3021" s="31">
        <f t="shared" si="266"/>
        <v>0</v>
      </c>
      <c r="M3021" s="33">
        <f t="shared" si="262"/>
        <v>0</v>
      </c>
      <c r="N3021" s="33"/>
    </row>
    <row r="3022" spans="7:14" ht="16.5" customHeight="1">
      <c r="G3022" s="30">
        <f t="shared" si="263"/>
        <v>0</v>
      </c>
      <c r="H3022" s="31">
        <f t="shared" si="264"/>
        <v>0</v>
      </c>
      <c r="I3022" s="31">
        <f t="shared" si="265"/>
        <v>0</v>
      </c>
      <c r="J3022" s="31">
        <f t="shared" si="266"/>
        <v>0</v>
      </c>
      <c r="M3022" s="33">
        <f t="shared" si="262"/>
        <v>0</v>
      </c>
      <c r="N3022" s="33"/>
    </row>
    <row r="3023" spans="7:14" ht="16.5" customHeight="1">
      <c r="G3023" s="30">
        <f t="shared" si="263"/>
        <v>0</v>
      </c>
      <c r="H3023" s="31">
        <f t="shared" si="264"/>
        <v>0</v>
      </c>
      <c r="I3023" s="31">
        <f t="shared" si="265"/>
        <v>0</v>
      </c>
      <c r="J3023" s="31">
        <f t="shared" si="266"/>
        <v>0</v>
      </c>
      <c r="M3023" s="33">
        <f t="shared" si="262"/>
        <v>0</v>
      </c>
      <c r="N3023" s="33"/>
    </row>
    <row r="3024" spans="7:14" ht="16.5" customHeight="1">
      <c r="G3024" s="30">
        <f t="shared" si="263"/>
        <v>0</v>
      </c>
      <c r="H3024" s="31">
        <f t="shared" si="264"/>
        <v>0</v>
      </c>
      <c r="I3024" s="31">
        <f t="shared" si="265"/>
        <v>0</v>
      </c>
      <c r="J3024" s="31">
        <f t="shared" si="266"/>
        <v>0</v>
      </c>
      <c r="M3024" s="33">
        <f t="shared" si="262"/>
        <v>0</v>
      </c>
      <c r="N3024" s="33"/>
    </row>
    <row r="3025" spans="7:14" ht="16.5" customHeight="1">
      <c r="G3025" s="30">
        <f t="shared" si="263"/>
        <v>0</v>
      </c>
      <c r="H3025" s="31">
        <f t="shared" si="264"/>
        <v>0</v>
      </c>
      <c r="I3025" s="31">
        <f t="shared" si="265"/>
        <v>0</v>
      </c>
      <c r="J3025" s="31">
        <f t="shared" si="266"/>
        <v>0</v>
      </c>
      <c r="M3025" s="33">
        <f t="shared" si="262"/>
        <v>0</v>
      </c>
      <c r="N3025" s="33"/>
    </row>
    <row r="3026" spans="7:14" ht="16.5" customHeight="1">
      <c r="G3026" s="30">
        <f t="shared" si="263"/>
        <v>0</v>
      </c>
      <c r="H3026" s="31">
        <f t="shared" si="264"/>
        <v>0</v>
      </c>
      <c r="I3026" s="31">
        <f t="shared" si="265"/>
        <v>0</v>
      </c>
      <c r="J3026" s="31">
        <f t="shared" si="266"/>
        <v>0</v>
      </c>
      <c r="M3026" s="33">
        <f t="shared" si="262"/>
        <v>0</v>
      </c>
      <c r="N3026" s="33"/>
    </row>
    <row r="3027" spans="7:14" ht="16.5" customHeight="1">
      <c r="G3027" s="30">
        <f t="shared" si="263"/>
        <v>0</v>
      </c>
      <c r="H3027" s="31">
        <f t="shared" si="264"/>
        <v>0</v>
      </c>
      <c r="I3027" s="31">
        <f t="shared" si="265"/>
        <v>0</v>
      </c>
      <c r="J3027" s="31">
        <f t="shared" si="266"/>
        <v>0</v>
      </c>
      <c r="M3027" s="33">
        <f t="shared" si="262"/>
        <v>0</v>
      </c>
      <c r="N3027" s="33"/>
    </row>
    <row r="3028" spans="7:14" ht="16.5" customHeight="1">
      <c r="G3028" s="30">
        <f t="shared" si="263"/>
        <v>0</v>
      </c>
      <c r="H3028" s="31">
        <f t="shared" si="264"/>
        <v>0</v>
      </c>
      <c r="I3028" s="31">
        <f t="shared" si="265"/>
        <v>0</v>
      </c>
      <c r="J3028" s="31">
        <f t="shared" si="266"/>
        <v>0</v>
      </c>
      <c r="M3028" s="33">
        <f t="shared" si="262"/>
        <v>0</v>
      </c>
      <c r="N3028" s="33"/>
    </row>
    <row r="3029" spans="7:14" ht="16.5" customHeight="1">
      <c r="G3029" s="30">
        <f t="shared" si="263"/>
        <v>0</v>
      </c>
      <c r="H3029" s="31">
        <f t="shared" si="264"/>
        <v>0</v>
      </c>
      <c r="I3029" s="31">
        <f t="shared" si="265"/>
        <v>0</v>
      </c>
      <c r="J3029" s="31">
        <f t="shared" si="266"/>
        <v>0</v>
      </c>
      <c r="M3029" s="33">
        <f t="shared" si="262"/>
        <v>0</v>
      </c>
      <c r="N3029" s="33"/>
    </row>
    <row r="3030" spans="7:14" ht="16.5" customHeight="1">
      <c r="G3030" s="30">
        <f t="shared" si="263"/>
        <v>0</v>
      </c>
      <c r="H3030" s="31">
        <f t="shared" si="264"/>
        <v>0</v>
      </c>
      <c r="I3030" s="31">
        <f t="shared" si="265"/>
        <v>0</v>
      </c>
      <c r="J3030" s="31">
        <f t="shared" si="266"/>
        <v>0</v>
      </c>
      <c r="M3030" s="33">
        <f t="shared" si="262"/>
        <v>0</v>
      </c>
      <c r="N3030" s="33"/>
    </row>
    <row r="3031" spans="7:14" ht="16.5" customHeight="1">
      <c r="G3031" s="30">
        <f t="shared" si="263"/>
        <v>0</v>
      </c>
      <c r="H3031" s="31">
        <f t="shared" si="264"/>
        <v>0</v>
      </c>
      <c r="I3031" s="31">
        <f t="shared" si="265"/>
        <v>0</v>
      </c>
      <c r="J3031" s="31">
        <f t="shared" si="266"/>
        <v>0</v>
      </c>
      <c r="M3031" s="33">
        <f t="shared" si="262"/>
        <v>0</v>
      </c>
      <c r="N3031" s="33"/>
    </row>
    <row r="3032" spans="7:14" ht="16.5" customHeight="1">
      <c r="G3032" s="30">
        <f t="shared" si="263"/>
        <v>0</v>
      </c>
      <c r="H3032" s="31">
        <f t="shared" si="264"/>
        <v>0</v>
      </c>
      <c r="I3032" s="31">
        <f t="shared" si="265"/>
        <v>0</v>
      </c>
      <c r="J3032" s="31">
        <f t="shared" si="266"/>
        <v>0</v>
      </c>
      <c r="M3032" s="33">
        <f t="shared" si="262"/>
        <v>0</v>
      </c>
      <c r="N3032" s="33"/>
    </row>
    <row r="3033" spans="7:14" ht="16.5" customHeight="1">
      <c r="G3033" s="30">
        <f t="shared" si="263"/>
        <v>0</v>
      </c>
      <c r="H3033" s="31">
        <f t="shared" si="264"/>
        <v>0</v>
      </c>
      <c r="I3033" s="31">
        <f t="shared" si="265"/>
        <v>0</v>
      </c>
      <c r="J3033" s="31">
        <f t="shared" si="266"/>
        <v>0</v>
      </c>
      <c r="M3033" s="33">
        <f t="shared" si="262"/>
        <v>0</v>
      </c>
      <c r="N3033" s="33"/>
    </row>
    <row r="3034" spans="7:14" ht="16.5" customHeight="1">
      <c r="G3034" s="30">
        <f t="shared" si="263"/>
        <v>0</v>
      </c>
      <c r="H3034" s="31">
        <f t="shared" si="264"/>
        <v>0</v>
      </c>
      <c r="I3034" s="31">
        <f t="shared" si="265"/>
        <v>0</v>
      </c>
      <c r="J3034" s="31">
        <f t="shared" si="266"/>
        <v>0</v>
      </c>
      <c r="M3034" s="33">
        <f t="shared" si="262"/>
        <v>0</v>
      </c>
      <c r="N3034" s="33"/>
    </row>
    <row r="3035" spans="7:14" ht="16.5" customHeight="1">
      <c r="G3035" s="30">
        <f t="shared" si="263"/>
        <v>0</v>
      </c>
      <c r="H3035" s="31">
        <f t="shared" si="264"/>
        <v>0</v>
      </c>
      <c r="I3035" s="31">
        <f t="shared" si="265"/>
        <v>0</v>
      </c>
      <c r="J3035" s="31">
        <f t="shared" si="266"/>
        <v>0</v>
      </c>
      <c r="M3035" s="33">
        <f t="shared" si="262"/>
        <v>0</v>
      </c>
      <c r="N3035" s="33"/>
    </row>
    <row r="3036" spans="7:14" ht="16.5" customHeight="1">
      <c r="G3036" s="30">
        <f t="shared" si="263"/>
        <v>0</v>
      </c>
      <c r="H3036" s="31">
        <f t="shared" si="264"/>
        <v>0</v>
      </c>
      <c r="I3036" s="31">
        <f t="shared" si="265"/>
        <v>0</v>
      </c>
      <c r="J3036" s="31">
        <f t="shared" si="266"/>
        <v>0</v>
      </c>
      <c r="M3036" s="33">
        <f t="shared" si="262"/>
        <v>0</v>
      </c>
      <c r="N3036" s="33"/>
    </row>
    <row r="3037" spans="7:14" ht="16.5" customHeight="1">
      <c r="G3037" s="30">
        <f t="shared" si="263"/>
        <v>0</v>
      </c>
      <c r="H3037" s="31">
        <f t="shared" si="264"/>
        <v>0</v>
      </c>
      <c r="I3037" s="31">
        <f t="shared" si="265"/>
        <v>0</v>
      </c>
      <c r="J3037" s="31">
        <f t="shared" si="266"/>
        <v>0</v>
      </c>
      <c r="M3037" s="33">
        <f t="shared" si="262"/>
        <v>0</v>
      </c>
      <c r="N3037" s="33"/>
    </row>
    <row r="3038" spans="7:14" ht="16.5" customHeight="1">
      <c r="G3038" s="30">
        <f t="shared" si="263"/>
        <v>0</v>
      </c>
      <c r="H3038" s="31">
        <f t="shared" si="264"/>
        <v>0</v>
      </c>
      <c r="I3038" s="31">
        <f t="shared" si="265"/>
        <v>0</v>
      </c>
      <c r="J3038" s="31">
        <f t="shared" si="266"/>
        <v>0</v>
      </c>
      <c r="M3038" s="33">
        <f t="shared" si="262"/>
        <v>0</v>
      </c>
      <c r="N3038" s="33"/>
    </row>
    <row r="3039" spans="7:14" ht="16.5" customHeight="1">
      <c r="G3039" s="30">
        <f t="shared" si="263"/>
        <v>0</v>
      </c>
      <c r="H3039" s="31">
        <f t="shared" si="264"/>
        <v>0</v>
      </c>
      <c r="I3039" s="31">
        <f t="shared" si="265"/>
        <v>0</v>
      </c>
      <c r="J3039" s="31">
        <f t="shared" si="266"/>
        <v>0</v>
      </c>
      <c r="M3039" s="33">
        <f t="shared" si="262"/>
        <v>0</v>
      </c>
      <c r="N3039" s="33"/>
    </row>
    <row r="3040" spans="7:14" ht="16.5" customHeight="1">
      <c r="G3040" s="30">
        <f t="shared" si="263"/>
        <v>0</v>
      </c>
      <c r="H3040" s="31">
        <f t="shared" si="264"/>
        <v>0</v>
      </c>
      <c r="I3040" s="31">
        <f t="shared" si="265"/>
        <v>0</v>
      </c>
      <c r="J3040" s="31">
        <f t="shared" si="266"/>
        <v>0</v>
      </c>
      <c r="M3040" s="33">
        <f t="shared" si="262"/>
        <v>0</v>
      </c>
      <c r="N3040" s="33"/>
    </row>
    <row r="3041" spans="7:14" ht="16.5" customHeight="1">
      <c r="G3041" s="30">
        <f t="shared" si="263"/>
        <v>0</v>
      </c>
      <c r="H3041" s="31">
        <f t="shared" si="264"/>
        <v>0</v>
      </c>
      <c r="I3041" s="31">
        <f t="shared" si="265"/>
        <v>0</v>
      </c>
      <c r="J3041" s="31">
        <f t="shared" si="266"/>
        <v>0</v>
      </c>
      <c r="M3041" s="33">
        <f t="shared" si="262"/>
        <v>0</v>
      </c>
      <c r="N3041" s="33"/>
    </row>
    <row r="3042" spans="7:14" ht="16.5" customHeight="1">
      <c r="G3042" s="30">
        <f t="shared" si="263"/>
        <v>0</v>
      </c>
      <c r="H3042" s="31">
        <f t="shared" si="264"/>
        <v>0</v>
      </c>
      <c r="I3042" s="31">
        <f t="shared" si="265"/>
        <v>0</v>
      </c>
      <c r="J3042" s="31">
        <f t="shared" si="266"/>
        <v>0</v>
      </c>
      <c r="M3042" s="33">
        <f t="shared" si="262"/>
        <v>0</v>
      </c>
      <c r="N3042" s="33"/>
    </row>
    <row r="3043" spans="7:14" ht="16.5" customHeight="1">
      <c r="G3043" s="30">
        <f t="shared" si="263"/>
        <v>0</v>
      </c>
      <c r="H3043" s="31">
        <f t="shared" si="264"/>
        <v>0</v>
      </c>
      <c r="I3043" s="31">
        <f t="shared" si="265"/>
        <v>0</v>
      </c>
      <c r="J3043" s="31">
        <f t="shared" si="266"/>
        <v>0</v>
      </c>
      <c r="M3043" s="33">
        <f t="shared" si="262"/>
        <v>0</v>
      </c>
      <c r="N3043" s="33"/>
    </row>
    <row r="3044" spans="7:14" ht="16.5" customHeight="1">
      <c r="G3044" s="30">
        <f t="shared" si="263"/>
        <v>0</v>
      </c>
      <c r="H3044" s="31">
        <f t="shared" si="264"/>
        <v>0</v>
      </c>
      <c r="I3044" s="31">
        <f t="shared" si="265"/>
        <v>0</v>
      </c>
      <c r="J3044" s="31">
        <f t="shared" si="266"/>
        <v>0</v>
      </c>
      <c r="M3044" s="33">
        <f t="shared" si="262"/>
        <v>0</v>
      </c>
      <c r="N3044" s="33"/>
    </row>
    <row r="3045" spans="7:14" ht="16.5" customHeight="1">
      <c r="G3045" s="30">
        <f t="shared" si="263"/>
        <v>0</v>
      </c>
      <c r="H3045" s="31">
        <f t="shared" si="264"/>
        <v>0</v>
      </c>
      <c r="I3045" s="31">
        <f t="shared" si="265"/>
        <v>0</v>
      </c>
      <c r="J3045" s="31">
        <f t="shared" si="266"/>
        <v>0</v>
      </c>
      <c r="M3045" s="33">
        <f t="shared" si="262"/>
        <v>0</v>
      </c>
      <c r="N3045" s="33"/>
    </row>
    <row r="3046" spans="7:14" ht="16.5" customHeight="1">
      <c r="G3046" s="30">
        <f t="shared" si="263"/>
        <v>0</v>
      </c>
      <c r="H3046" s="31">
        <f t="shared" si="264"/>
        <v>0</v>
      </c>
      <c r="I3046" s="31">
        <f t="shared" si="265"/>
        <v>0</v>
      </c>
      <c r="J3046" s="31">
        <f t="shared" si="266"/>
        <v>0</v>
      </c>
      <c r="M3046" s="33">
        <f t="shared" si="262"/>
        <v>0</v>
      </c>
      <c r="N3046" s="33"/>
    </row>
    <row r="3047" spans="7:14" ht="16.5" customHeight="1">
      <c r="G3047" s="30">
        <f t="shared" si="263"/>
        <v>0</v>
      </c>
      <c r="H3047" s="31">
        <f t="shared" si="264"/>
        <v>0</v>
      </c>
      <c r="I3047" s="31">
        <f t="shared" si="265"/>
        <v>0</v>
      </c>
      <c r="J3047" s="31">
        <f t="shared" si="266"/>
        <v>0</v>
      </c>
      <c r="M3047" s="33">
        <f t="shared" si="262"/>
        <v>0</v>
      </c>
      <c r="N3047" s="33"/>
    </row>
    <row r="3048" spans="7:14" ht="16.5" customHeight="1">
      <c r="G3048" s="30">
        <f t="shared" si="263"/>
        <v>0</v>
      </c>
      <c r="H3048" s="31">
        <f t="shared" si="264"/>
        <v>0</v>
      </c>
      <c r="I3048" s="31">
        <f t="shared" si="265"/>
        <v>0</v>
      </c>
      <c r="J3048" s="31">
        <f t="shared" si="266"/>
        <v>0</v>
      </c>
      <c r="M3048" s="33">
        <f t="shared" si="262"/>
        <v>0</v>
      </c>
      <c r="N3048" s="33"/>
    </row>
    <row r="3049" spans="7:14" ht="16.5" customHeight="1">
      <c r="G3049" s="30">
        <f t="shared" si="263"/>
        <v>0</v>
      </c>
      <c r="H3049" s="31">
        <f t="shared" si="264"/>
        <v>0</v>
      </c>
      <c r="I3049" s="31">
        <f t="shared" si="265"/>
        <v>0</v>
      </c>
      <c r="J3049" s="31">
        <f t="shared" si="266"/>
        <v>0</v>
      </c>
      <c r="M3049" s="33">
        <f t="shared" si="262"/>
        <v>0</v>
      </c>
      <c r="N3049" s="33"/>
    </row>
    <row r="3050" spans="7:14" ht="16.5" customHeight="1">
      <c r="G3050" s="30">
        <f t="shared" si="263"/>
        <v>0</v>
      </c>
      <c r="H3050" s="31">
        <f t="shared" si="264"/>
        <v>0</v>
      </c>
      <c r="I3050" s="31">
        <f t="shared" si="265"/>
        <v>0</v>
      </c>
      <c r="J3050" s="31">
        <f t="shared" si="266"/>
        <v>0</v>
      </c>
      <c r="M3050" s="33">
        <f t="shared" si="262"/>
        <v>0</v>
      </c>
      <c r="N3050" s="33"/>
    </row>
    <row r="3051" spans="7:14" ht="16.5" customHeight="1">
      <c r="G3051" s="30">
        <f t="shared" si="263"/>
        <v>0</v>
      </c>
      <c r="H3051" s="31">
        <f t="shared" si="264"/>
        <v>0</v>
      </c>
      <c r="I3051" s="31">
        <f t="shared" si="265"/>
        <v>0</v>
      </c>
      <c r="J3051" s="31">
        <f t="shared" si="266"/>
        <v>0</v>
      </c>
      <c r="M3051" s="33">
        <f t="shared" si="262"/>
        <v>0</v>
      </c>
      <c r="N3051" s="33"/>
    </row>
    <row r="3052" spans="7:14" ht="16.5" customHeight="1">
      <c r="G3052" s="30">
        <f t="shared" si="263"/>
        <v>0</v>
      </c>
      <c r="H3052" s="31">
        <f t="shared" si="264"/>
        <v>0</v>
      </c>
      <c r="I3052" s="31">
        <f t="shared" si="265"/>
        <v>0</v>
      </c>
      <c r="J3052" s="31">
        <f t="shared" si="266"/>
        <v>0</v>
      </c>
      <c r="M3052" s="33">
        <f t="shared" si="262"/>
        <v>0</v>
      </c>
      <c r="N3052" s="33"/>
    </row>
    <row r="3053" spans="7:14" ht="16.5" customHeight="1">
      <c r="G3053" s="30">
        <f t="shared" si="263"/>
        <v>0</v>
      </c>
      <c r="H3053" s="31">
        <f t="shared" si="264"/>
        <v>0</v>
      </c>
      <c r="I3053" s="31">
        <f t="shared" si="265"/>
        <v>0</v>
      </c>
      <c r="J3053" s="31">
        <f t="shared" si="266"/>
        <v>0</v>
      </c>
      <c r="M3053" s="33">
        <f t="shared" si="262"/>
        <v>0</v>
      </c>
      <c r="N3053" s="33"/>
    </row>
    <row r="3054" spans="7:14" ht="16.5" customHeight="1">
      <c r="G3054" s="30">
        <f t="shared" si="263"/>
        <v>0</v>
      </c>
      <c r="H3054" s="31">
        <f t="shared" si="264"/>
        <v>0</v>
      </c>
      <c r="I3054" s="31">
        <f t="shared" si="265"/>
        <v>0</v>
      </c>
      <c r="J3054" s="31">
        <f t="shared" si="266"/>
        <v>0</v>
      </c>
      <c r="M3054" s="33">
        <f t="shared" si="262"/>
        <v>0</v>
      </c>
      <c r="N3054" s="33"/>
    </row>
    <row r="3055" spans="7:14" ht="16.5" customHeight="1">
      <c r="G3055" s="30">
        <f t="shared" si="263"/>
        <v>0</v>
      </c>
      <c r="H3055" s="31">
        <f t="shared" si="264"/>
        <v>0</v>
      </c>
      <c r="I3055" s="31">
        <f t="shared" si="265"/>
        <v>0</v>
      </c>
      <c r="J3055" s="31">
        <f t="shared" si="266"/>
        <v>0</v>
      </c>
      <c r="M3055" s="33">
        <f t="shared" si="262"/>
        <v>0</v>
      </c>
      <c r="N3055" s="33"/>
    </row>
    <row r="3056" spans="7:14" ht="16.5" customHeight="1">
      <c r="G3056" s="30">
        <f t="shared" si="263"/>
        <v>0</v>
      </c>
      <c r="H3056" s="31">
        <f t="shared" si="264"/>
        <v>0</v>
      </c>
      <c r="I3056" s="31">
        <f t="shared" si="265"/>
        <v>0</v>
      </c>
      <c r="J3056" s="31">
        <f t="shared" si="266"/>
        <v>0</v>
      </c>
      <c r="M3056" s="33">
        <f t="shared" si="262"/>
        <v>0</v>
      </c>
      <c r="N3056" s="33"/>
    </row>
    <row r="3057" spans="7:14" ht="16.5" customHeight="1">
      <c r="G3057" s="30">
        <f t="shared" si="263"/>
        <v>0</v>
      </c>
      <c r="H3057" s="31">
        <f t="shared" si="264"/>
        <v>0</v>
      </c>
      <c r="I3057" s="31">
        <f t="shared" si="265"/>
        <v>0</v>
      </c>
      <c r="J3057" s="31">
        <f t="shared" si="266"/>
        <v>0</v>
      </c>
      <c r="M3057" s="33">
        <f t="shared" si="262"/>
        <v>0</v>
      </c>
      <c r="N3057" s="33"/>
    </row>
    <row r="3058" spans="7:14" ht="16.5" customHeight="1">
      <c r="G3058" s="30">
        <f t="shared" si="263"/>
        <v>0</v>
      </c>
      <c r="H3058" s="31">
        <f t="shared" si="264"/>
        <v>0</v>
      </c>
      <c r="I3058" s="31">
        <f t="shared" si="265"/>
        <v>0</v>
      </c>
      <c r="J3058" s="31">
        <f t="shared" si="266"/>
        <v>0</v>
      </c>
      <c r="M3058" s="33">
        <f t="shared" si="262"/>
        <v>0</v>
      </c>
      <c r="N3058" s="33"/>
    </row>
    <row r="3059" spans="7:14" ht="16.5" customHeight="1">
      <c r="G3059" s="30">
        <f t="shared" si="263"/>
        <v>0</v>
      </c>
      <c r="H3059" s="31">
        <f t="shared" si="264"/>
        <v>0</v>
      </c>
      <c r="I3059" s="31">
        <f t="shared" si="265"/>
        <v>0</v>
      </c>
      <c r="J3059" s="31">
        <f t="shared" si="266"/>
        <v>0</v>
      </c>
      <c r="M3059" s="33">
        <f t="shared" si="262"/>
        <v>0</v>
      </c>
      <c r="N3059" s="33"/>
    </row>
    <row r="3060" spans="7:14" ht="16.5" customHeight="1">
      <c r="G3060" s="30">
        <f t="shared" si="263"/>
        <v>0</v>
      </c>
      <c r="H3060" s="31">
        <f t="shared" si="264"/>
        <v>0</v>
      </c>
      <c r="I3060" s="31">
        <f t="shared" si="265"/>
        <v>0</v>
      </c>
      <c r="J3060" s="31">
        <f t="shared" si="266"/>
        <v>0</v>
      </c>
      <c r="M3060" s="33">
        <f t="shared" si="262"/>
        <v>0</v>
      </c>
      <c r="N3060" s="33"/>
    </row>
    <row r="3061" spans="7:14" ht="16.5" customHeight="1">
      <c r="G3061" s="30">
        <f t="shared" si="263"/>
        <v>0</v>
      </c>
      <c r="H3061" s="31">
        <f t="shared" si="264"/>
        <v>0</v>
      </c>
      <c r="I3061" s="31">
        <f t="shared" si="265"/>
        <v>0</v>
      </c>
      <c r="J3061" s="31">
        <f t="shared" si="266"/>
        <v>0</v>
      </c>
      <c r="M3061" s="33">
        <f t="shared" si="262"/>
        <v>0</v>
      </c>
      <c r="N3061" s="33"/>
    </row>
    <row r="3062" spans="7:14" ht="16.5" customHeight="1">
      <c r="G3062" s="30">
        <f t="shared" si="263"/>
        <v>0</v>
      </c>
      <c r="H3062" s="31">
        <f t="shared" si="264"/>
        <v>0</v>
      </c>
      <c r="I3062" s="31">
        <f t="shared" si="265"/>
        <v>0</v>
      </c>
      <c r="J3062" s="31">
        <f t="shared" si="266"/>
        <v>0</v>
      </c>
      <c r="M3062" s="33">
        <f t="shared" si="262"/>
        <v>0</v>
      </c>
      <c r="N3062" s="33"/>
    </row>
    <row r="3063" spans="7:14" ht="16.5" customHeight="1">
      <c r="G3063" s="30">
        <f t="shared" si="263"/>
        <v>0</v>
      </c>
      <c r="H3063" s="31">
        <f t="shared" si="264"/>
        <v>0</v>
      </c>
      <c r="I3063" s="31">
        <f t="shared" si="265"/>
        <v>0</v>
      </c>
      <c r="J3063" s="31">
        <f t="shared" si="266"/>
        <v>0</v>
      </c>
      <c r="M3063" s="33">
        <f t="shared" si="262"/>
        <v>0</v>
      </c>
      <c r="N3063" s="33"/>
    </row>
    <row r="3064" spans="7:14" ht="16.5" customHeight="1">
      <c r="G3064" s="30">
        <f t="shared" si="263"/>
        <v>0</v>
      </c>
      <c r="H3064" s="31">
        <f t="shared" si="264"/>
        <v>0</v>
      </c>
      <c r="I3064" s="31">
        <f t="shared" si="265"/>
        <v>0</v>
      </c>
      <c r="J3064" s="31">
        <f t="shared" si="266"/>
        <v>0</v>
      </c>
      <c r="M3064" s="33">
        <f t="shared" si="262"/>
        <v>0</v>
      </c>
      <c r="N3064" s="33"/>
    </row>
    <row r="3065" spans="7:14" ht="16.5" customHeight="1">
      <c r="G3065" s="30">
        <f t="shared" si="263"/>
        <v>0</v>
      </c>
      <c r="H3065" s="31">
        <f t="shared" si="264"/>
        <v>0</v>
      </c>
      <c r="I3065" s="31">
        <f t="shared" si="265"/>
        <v>0</v>
      </c>
      <c r="J3065" s="31">
        <f t="shared" si="266"/>
        <v>0</v>
      </c>
      <c r="M3065" s="33">
        <f t="shared" si="262"/>
        <v>0</v>
      </c>
      <c r="N3065" s="33"/>
    </row>
    <row r="3066" spans="7:14" ht="16.5" customHeight="1">
      <c r="G3066" s="30">
        <f t="shared" si="263"/>
        <v>0</v>
      </c>
      <c r="H3066" s="31">
        <f t="shared" si="264"/>
        <v>0</v>
      </c>
      <c r="I3066" s="31">
        <f t="shared" si="265"/>
        <v>0</v>
      </c>
      <c r="J3066" s="31">
        <f t="shared" si="266"/>
        <v>0</v>
      </c>
      <c r="M3066" s="33">
        <f t="shared" si="262"/>
        <v>0</v>
      </c>
      <c r="N3066" s="33"/>
    </row>
    <row r="3067" spans="7:14" ht="16.5" customHeight="1">
      <c r="G3067" s="30">
        <f t="shared" si="263"/>
        <v>0</v>
      </c>
      <c r="H3067" s="31">
        <f t="shared" si="264"/>
        <v>0</v>
      </c>
      <c r="I3067" s="31">
        <f t="shared" si="265"/>
        <v>0</v>
      </c>
      <c r="J3067" s="31">
        <f t="shared" si="266"/>
        <v>0</v>
      </c>
      <c r="M3067" s="33">
        <f t="shared" si="262"/>
        <v>0</v>
      </c>
      <c r="N3067" s="33"/>
    </row>
    <row r="3068" spans="7:14" ht="16.5" customHeight="1">
      <c r="G3068" s="30">
        <f t="shared" si="263"/>
        <v>0</v>
      </c>
      <c r="H3068" s="31">
        <f t="shared" si="264"/>
        <v>0</v>
      </c>
      <c r="I3068" s="31">
        <f t="shared" si="265"/>
        <v>0</v>
      </c>
      <c r="J3068" s="31">
        <f t="shared" si="266"/>
        <v>0</v>
      </c>
      <c r="M3068" s="33">
        <f t="shared" si="262"/>
        <v>0</v>
      </c>
      <c r="N3068" s="33"/>
    </row>
    <row r="3069" spans="7:14" ht="16.5" customHeight="1">
      <c r="G3069" s="30">
        <f t="shared" si="263"/>
        <v>0</v>
      </c>
      <c r="H3069" s="31">
        <f t="shared" si="264"/>
        <v>0</v>
      </c>
      <c r="I3069" s="31">
        <f t="shared" si="265"/>
        <v>0</v>
      </c>
      <c r="J3069" s="31">
        <f t="shared" si="266"/>
        <v>0</v>
      </c>
      <c r="M3069" s="33">
        <f t="shared" si="262"/>
        <v>0</v>
      </c>
      <c r="N3069" s="33"/>
    </row>
    <row r="3070" spans="7:14" ht="16.5" customHeight="1">
      <c r="G3070" s="30">
        <f t="shared" si="263"/>
        <v>0</v>
      </c>
      <c r="H3070" s="31">
        <f t="shared" si="264"/>
        <v>0</v>
      </c>
      <c r="I3070" s="31">
        <f t="shared" si="265"/>
        <v>0</v>
      </c>
      <c r="J3070" s="31">
        <f t="shared" si="266"/>
        <v>0</v>
      </c>
      <c r="M3070" s="33">
        <f t="shared" ref="M3070:M3133" si="267">IF(P3070="TL tuyệt đối",0, IF(K3070&lt;5,0,IF(K3070&lt;50,K3070*9%,IF(K3070&lt;100,4.5,IF(K3070&lt;200,4.5%*K3070,IF(K3070&lt;300,9,IF(K3070&lt;500,K3070*3%,IF(K3070&lt;1000,15,))))))))</f>
        <v>0</v>
      </c>
      <c r="N3070" s="33"/>
    </row>
    <row r="3071" spans="7:14" ht="16.5" customHeight="1">
      <c r="G3071" s="30">
        <f t="shared" si="263"/>
        <v>0</v>
      </c>
      <c r="H3071" s="31">
        <f t="shared" si="264"/>
        <v>0</v>
      </c>
      <c r="I3071" s="31">
        <f t="shared" si="265"/>
        <v>0</v>
      </c>
      <c r="J3071" s="31">
        <f t="shared" si="266"/>
        <v>0</v>
      </c>
      <c r="M3071" s="33">
        <f t="shared" si="267"/>
        <v>0</v>
      </c>
      <c r="N3071" s="33"/>
    </row>
    <row r="3072" spans="7:14" ht="16.5" customHeight="1">
      <c r="G3072" s="30">
        <f t="shared" ref="G3072:G3135" si="268">IF(P3072="TL tuyệt đối",K3072*103%,K3072+1/3*M3072)</f>
        <v>0</v>
      </c>
      <c r="H3072" s="31">
        <f t="shared" ref="H3072:H3135" si="269">IF(P3072="TL tuyệt đối",K3072*101%,K3072-1/3*M3072)</f>
        <v>0</v>
      </c>
      <c r="I3072" s="31">
        <f t="shared" ref="I3072:I3135" si="270">IF(P3072="TL tuyệt đối", K3072*105%,K3072+M3072)</f>
        <v>0</v>
      </c>
      <c r="J3072" s="31">
        <f t="shared" si="266"/>
        <v>0</v>
      </c>
      <c r="M3072" s="33">
        <f t="shared" si="267"/>
        <v>0</v>
      </c>
      <c r="N3072" s="33"/>
    </row>
    <row r="3073" spans="7:14" ht="16.5" customHeight="1">
      <c r="G3073" s="30">
        <f t="shared" si="268"/>
        <v>0</v>
      </c>
      <c r="H3073" s="31">
        <f t="shared" si="269"/>
        <v>0</v>
      </c>
      <c r="I3073" s="31">
        <f t="shared" si="270"/>
        <v>0</v>
      </c>
      <c r="J3073" s="31">
        <f t="shared" si="266"/>
        <v>0</v>
      </c>
      <c r="M3073" s="33">
        <f t="shared" si="267"/>
        <v>0</v>
      </c>
      <c r="N3073" s="33"/>
    </row>
    <row r="3074" spans="7:14" ht="16.5" customHeight="1">
      <c r="G3074" s="30">
        <f t="shared" si="268"/>
        <v>0</v>
      </c>
      <c r="H3074" s="31">
        <f t="shared" si="269"/>
        <v>0</v>
      </c>
      <c r="I3074" s="31">
        <f t="shared" si="270"/>
        <v>0</v>
      </c>
      <c r="J3074" s="31">
        <f t="shared" si="266"/>
        <v>0</v>
      </c>
      <c r="M3074" s="33">
        <f t="shared" si="267"/>
        <v>0</v>
      </c>
      <c r="N3074" s="33"/>
    </row>
    <row r="3075" spans="7:14" ht="16.5" customHeight="1">
      <c r="G3075" s="30">
        <f t="shared" si="268"/>
        <v>0</v>
      </c>
      <c r="H3075" s="31">
        <f t="shared" si="269"/>
        <v>0</v>
      </c>
      <c r="I3075" s="31">
        <f t="shared" si="270"/>
        <v>0</v>
      </c>
      <c r="J3075" s="31">
        <f t="shared" si="266"/>
        <v>0</v>
      </c>
      <c r="M3075" s="33">
        <f t="shared" si="267"/>
        <v>0</v>
      </c>
      <c r="N3075" s="33"/>
    </row>
    <row r="3076" spans="7:14" ht="16.5" customHeight="1">
      <c r="G3076" s="30">
        <f t="shared" si="268"/>
        <v>0</v>
      </c>
      <c r="H3076" s="31">
        <f t="shared" si="269"/>
        <v>0</v>
      </c>
      <c r="I3076" s="31">
        <f t="shared" si="270"/>
        <v>0</v>
      </c>
      <c r="J3076" s="31">
        <f t="shared" ref="J3076:J3139" si="271">K3076-M3076</f>
        <v>0</v>
      </c>
      <c r="M3076" s="33">
        <f t="shared" si="267"/>
        <v>0</v>
      </c>
      <c r="N3076" s="33"/>
    </row>
    <row r="3077" spans="7:14" ht="16.5" customHeight="1">
      <c r="G3077" s="30">
        <f t="shared" si="268"/>
        <v>0</v>
      </c>
      <c r="H3077" s="31">
        <f t="shared" si="269"/>
        <v>0</v>
      </c>
      <c r="I3077" s="31">
        <f t="shared" si="270"/>
        <v>0</v>
      </c>
      <c r="J3077" s="31">
        <f t="shared" si="271"/>
        <v>0</v>
      </c>
      <c r="M3077" s="33">
        <f t="shared" si="267"/>
        <v>0</v>
      </c>
      <c r="N3077" s="33"/>
    </row>
    <row r="3078" spans="7:14" ht="16.5" customHeight="1">
      <c r="G3078" s="30">
        <f t="shared" si="268"/>
        <v>0</v>
      </c>
      <c r="H3078" s="31">
        <f t="shared" si="269"/>
        <v>0</v>
      </c>
      <c r="I3078" s="31">
        <f t="shared" si="270"/>
        <v>0</v>
      </c>
      <c r="J3078" s="31">
        <f t="shared" si="271"/>
        <v>0</v>
      </c>
      <c r="M3078" s="33">
        <f t="shared" si="267"/>
        <v>0</v>
      </c>
      <c r="N3078" s="33"/>
    </row>
    <row r="3079" spans="7:14" ht="16.5" customHeight="1">
      <c r="G3079" s="30">
        <f t="shared" si="268"/>
        <v>0</v>
      </c>
      <c r="H3079" s="31">
        <f t="shared" si="269"/>
        <v>0</v>
      </c>
      <c r="I3079" s="31">
        <f t="shared" si="270"/>
        <v>0</v>
      </c>
      <c r="J3079" s="31">
        <f t="shared" si="271"/>
        <v>0</v>
      </c>
      <c r="M3079" s="33">
        <f t="shared" si="267"/>
        <v>0</v>
      </c>
      <c r="N3079" s="33"/>
    </row>
    <row r="3080" spans="7:14" ht="16.5" customHeight="1">
      <c r="G3080" s="30">
        <f t="shared" si="268"/>
        <v>0</v>
      </c>
      <c r="H3080" s="31">
        <f t="shared" si="269"/>
        <v>0</v>
      </c>
      <c r="I3080" s="31">
        <f t="shared" si="270"/>
        <v>0</v>
      </c>
      <c r="J3080" s="31">
        <f t="shared" si="271"/>
        <v>0</v>
      </c>
      <c r="M3080" s="33">
        <f t="shared" si="267"/>
        <v>0</v>
      </c>
      <c r="N3080" s="33"/>
    </row>
    <row r="3081" spans="7:14" ht="16.5" customHeight="1">
      <c r="G3081" s="30">
        <f t="shared" si="268"/>
        <v>0</v>
      </c>
      <c r="H3081" s="31">
        <f t="shared" si="269"/>
        <v>0</v>
      </c>
      <c r="I3081" s="31">
        <f t="shared" si="270"/>
        <v>0</v>
      </c>
      <c r="J3081" s="31">
        <f t="shared" si="271"/>
        <v>0</v>
      </c>
      <c r="M3081" s="33">
        <f t="shared" si="267"/>
        <v>0</v>
      </c>
      <c r="N3081" s="33"/>
    </row>
    <row r="3082" spans="7:14" ht="16.5" customHeight="1">
      <c r="G3082" s="30">
        <f t="shared" si="268"/>
        <v>0</v>
      </c>
      <c r="H3082" s="31">
        <f t="shared" si="269"/>
        <v>0</v>
      </c>
      <c r="I3082" s="31">
        <f t="shared" si="270"/>
        <v>0</v>
      </c>
      <c r="J3082" s="31">
        <f t="shared" si="271"/>
        <v>0</v>
      </c>
      <c r="M3082" s="33">
        <f t="shared" si="267"/>
        <v>0</v>
      </c>
      <c r="N3082" s="33"/>
    </row>
    <row r="3083" spans="7:14" ht="16.5" customHeight="1">
      <c r="G3083" s="30">
        <f t="shared" si="268"/>
        <v>0</v>
      </c>
      <c r="H3083" s="31">
        <f t="shared" si="269"/>
        <v>0</v>
      </c>
      <c r="I3083" s="31">
        <f t="shared" si="270"/>
        <v>0</v>
      </c>
      <c r="J3083" s="31">
        <f t="shared" si="271"/>
        <v>0</v>
      </c>
      <c r="M3083" s="33">
        <f t="shared" si="267"/>
        <v>0</v>
      </c>
      <c r="N3083" s="33"/>
    </row>
    <row r="3084" spans="7:14" ht="16.5" customHeight="1">
      <c r="G3084" s="30">
        <f t="shared" si="268"/>
        <v>0</v>
      </c>
      <c r="H3084" s="31">
        <f t="shared" si="269"/>
        <v>0</v>
      </c>
      <c r="I3084" s="31">
        <f t="shared" si="270"/>
        <v>0</v>
      </c>
      <c r="J3084" s="31">
        <f t="shared" si="271"/>
        <v>0</v>
      </c>
      <c r="M3084" s="33">
        <f t="shared" si="267"/>
        <v>0</v>
      </c>
      <c r="N3084" s="33"/>
    </row>
    <row r="3085" spans="7:14" ht="16.5" customHeight="1">
      <c r="G3085" s="30">
        <f t="shared" si="268"/>
        <v>0</v>
      </c>
      <c r="H3085" s="31">
        <f t="shared" si="269"/>
        <v>0</v>
      </c>
      <c r="I3085" s="31">
        <f t="shared" si="270"/>
        <v>0</v>
      </c>
      <c r="J3085" s="31">
        <f t="shared" si="271"/>
        <v>0</v>
      </c>
      <c r="M3085" s="33">
        <f t="shared" si="267"/>
        <v>0</v>
      </c>
      <c r="N3085" s="33"/>
    </row>
    <row r="3086" spans="7:14" ht="16.5" customHeight="1">
      <c r="G3086" s="30">
        <f t="shared" si="268"/>
        <v>0</v>
      </c>
      <c r="H3086" s="31">
        <f t="shared" si="269"/>
        <v>0</v>
      </c>
      <c r="I3086" s="31">
        <f t="shared" si="270"/>
        <v>0</v>
      </c>
      <c r="J3086" s="31">
        <f t="shared" si="271"/>
        <v>0</v>
      </c>
      <c r="M3086" s="33">
        <f t="shared" si="267"/>
        <v>0</v>
      </c>
      <c r="N3086" s="33"/>
    </row>
    <row r="3087" spans="7:14" ht="16.5" customHeight="1">
      <c r="G3087" s="30">
        <f t="shared" si="268"/>
        <v>0</v>
      </c>
      <c r="H3087" s="31">
        <f t="shared" si="269"/>
        <v>0</v>
      </c>
      <c r="I3087" s="31">
        <f t="shared" si="270"/>
        <v>0</v>
      </c>
      <c r="J3087" s="31">
        <f t="shared" si="271"/>
        <v>0</v>
      </c>
      <c r="M3087" s="33">
        <f t="shared" si="267"/>
        <v>0</v>
      </c>
      <c r="N3087" s="33"/>
    </row>
    <row r="3088" spans="7:14" ht="16.5" customHeight="1">
      <c r="G3088" s="30">
        <f t="shared" si="268"/>
        <v>0</v>
      </c>
      <c r="H3088" s="31">
        <f t="shared" si="269"/>
        <v>0</v>
      </c>
      <c r="I3088" s="31">
        <f t="shared" si="270"/>
        <v>0</v>
      </c>
      <c r="J3088" s="31">
        <f t="shared" si="271"/>
        <v>0</v>
      </c>
      <c r="M3088" s="33">
        <f t="shared" si="267"/>
        <v>0</v>
      </c>
      <c r="N3088" s="33"/>
    </row>
    <row r="3089" spans="7:14" ht="16.5" customHeight="1">
      <c r="G3089" s="30">
        <f t="shared" si="268"/>
        <v>0</v>
      </c>
      <c r="H3089" s="31">
        <f t="shared" si="269"/>
        <v>0</v>
      </c>
      <c r="I3089" s="31">
        <f t="shared" si="270"/>
        <v>0</v>
      </c>
      <c r="J3089" s="31">
        <f t="shared" si="271"/>
        <v>0</v>
      </c>
      <c r="M3089" s="33">
        <f t="shared" si="267"/>
        <v>0</v>
      </c>
      <c r="N3089" s="33"/>
    </row>
    <row r="3090" spans="7:14" ht="16.5" customHeight="1">
      <c r="G3090" s="30">
        <f t="shared" si="268"/>
        <v>0</v>
      </c>
      <c r="H3090" s="31">
        <f t="shared" si="269"/>
        <v>0</v>
      </c>
      <c r="I3090" s="31">
        <f t="shared" si="270"/>
        <v>0</v>
      </c>
      <c r="J3090" s="31">
        <f t="shared" si="271"/>
        <v>0</v>
      </c>
      <c r="M3090" s="33">
        <f t="shared" si="267"/>
        <v>0</v>
      </c>
      <c r="N3090" s="33"/>
    </row>
    <row r="3091" spans="7:14" ht="16.5" customHeight="1">
      <c r="G3091" s="30">
        <f t="shared" si="268"/>
        <v>0</v>
      </c>
      <c r="H3091" s="31">
        <f t="shared" si="269"/>
        <v>0</v>
      </c>
      <c r="I3091" s="31">
        <f t="shared" si="270"/>
        <v>0</v>
      </c>
      <c r="J3091" s="31">
        <f t="shared" si="271"/>
        <v>0</v>
      </c>
      <c r="M3091" s="33">
        <f t="shared" si="267"/>
        <v>0</v>
      </c>
      <c r="N3091" s="33"/>
    </row>
    <row r="3092" spans="7:14" ht="16.5" customHeight="1">
      <c r="G3092" s="30">
        <f t="shared" si="268"/>
        <v>0</v>
      </c>
      <c r="H3092" s="31">
        <f t="shared" si="269"/>
        <v>0</v>
      </c>
      <c r="I3092" s="31">
        <f t="shared" si="270"/>
        <v>0</v>
      </c>
      <c r="J3092" s="31">
        <f t="shared" si="271"/>
        <v>0</v>
      </c>
      <c r="M3092" s="33">
        <f t="shared" si="267"/>
        <v>0</v>
      </c>
      <c r="N3092" s="33"/>
    </row>
    <row r="3093" spans="7:14" ht="16.5" customHeight="1">
      <c r="G3093" s="30">
        <f t="shared" si="268"/>
        <v>0</v>
      </c>
      <c r="H3093" s="31">
        <f t="shared" si="269"/>
        <v>0</v>
      </c>
      <c r="I3093" s="31">
        <f t="shared" si="270"/>
        <v>0</v>
      </c>
      <c r="J3093" s="31">
        <f t="shared" si="271"/>
        <v>0</v>
      </c>
      <c r="M3093" s="33">
        <f t="shared" si="267"/>
        <v>0</v>
      </c>
      <c r="N3093" s="33"/>
    </row>
    <row r="3094" spans="7:14" ht="16.5" customHeight="1">
      <c r="G3094" s="30">
        <f t="shared" si="268"/>
        <v>0</v>
      </c>
      <c r="H3094" s="31">
        <f t="shared" si="269"/>
        <v>0</v>
      </c>
      <c r="I3094" s="31">
        <f t="shared" si="270"/>
        <v>0</v>
      </c>
      <c r="J3094" s="31">
        <f t="shared" si="271"/>
        <v>0</v>
      </c>
      <c r="M3094" s="33">
        <f t="shared" si="267"/>
        <v>0</v>
      </c>
      <c r="N3094" s="33"/>
    </row>
    <row r="3095" spans="7:14" ht="16.5" customHeight="1">
      <c r="G3095" s="30">
        <f t="shared" si="268"/>
        <v>0</v>
      </c>
      <c r="H3095" s="31">
        <f t="shared" si="269"/>
        <v>0</v>
      </c>
      <c r="I3095" s="31">
        <f t="shared" si="270"/>
        <v>0</v>
      </c>
      <c r="J3095" s="31">
        <f t="shared" si="271"/>
        <v>0</v>
      </c>
      <c r="M3095" s="33">
        <f t="shared" si="267"/>
        <v>0</v>
      </c>
      <c r="N3095" s="33"/>
    </row>
    <row r="3096" spans="7:14" ht="16.5" customHeight="1">
      <c r="G3096" s="30">
        <f t="shared" si="268"/>
        <v>0</v>
      </c>
      <c r="H3096" s="31">
        <f t="shared" si="269"/>
        <v>0</v>
      </c>
      <c r="I3096" s="31">
        <f t="shared" si="270"/>
        <v>0</v>
      </c>
      <c r="J3096" s="31">
        <f t="shared" si="271"/>
        <v>0</v>
      </c>
      <c r="M3096" s="33">
        <f t="shared" si="267"/>
        <v>0</v>
      </c>
      <c r="N3096" s="33"/>
    </row>
    <row r="3097" spans="7:14" ht="16.5" customHeight="1">
      <c r="G3097" s="30">
        <f t="shared" si="268"/>
        <v>0</v>
      </c>
      <c r="H3097" s="31">
        <f t="shared" si="269"/>
        <v>0</v>
      </c>
      <c r="I3097" s="31">
        <f t="shared" si="270"/>
        <v>0</v>
      </c>
      <c r="J3097" s="31">
        <f t="shared" si="271"/>
        <v>0</v>
      </c>
      <c r="M3097" s="33">
        <f t="shared" si="267"/>
        <v>0</v>
      </c>
      <c r="N3097" s="33"/>
    </row>
    <row r="3098" spans="7:14" ht="16.5" customHeight="1">
      <c r="G3098" s="30">
        <f t="shared" si="268"/>
        <v>0</v>
      </c>
      <c r="H3098" s="31">
        <f t="shared" si="269"/>
        <v>0</v>
      </c>
      <c r="I3098" s="31">
        <f t="shared" si="270"/>
        <v>0</v>
      </c>
      <c r="J3098" s="31">
        <f t="shared" si="271"/>
        <v>0</v>
      </c>
      <c r="M3098" s="33">
        <f t="shared" si="267"/>
        <v>0</v>
      </c>
      <c r="N3098" s="33"/>
    </row>
    <row r="3099" spans="7:14" ht="16.5" customHeight="1">
      <c r="G3099" s="30">
        <f t="shared" si="268"/>
        <v>0</v>
      </c>
      <c r="H3099" s="31">
        <f t="shared" si="269"/>
        <v>0</v>
      </c>
      <c r="I3099" s="31">
        <f t="shared" si="270"/>
        <v>0</v>
      </c>
      <c r="J3099" s="31">
        <f t="shared" si="271"/>
        <v>0</v>
      </c>
      <c r="M3099" s="33">
        <f t="shared" si="267"/>
        <v>0</v>
      </c>
      <c r="N3099" s="33"/>
    </row>
    <row r="3100" spans="7:14" ht="16.5" customHeight="1">
      <c r="G3100" s="30">
        <f t="shared" si="268"/>
        <v>0</v>
      </c>
      <c r="H3100" s="31">
        <f t="shared" si="269"/>
        <v>0</v>
      </c>
      <c r="I3100" s="31">
        <f t="shared" si="270"/>
        <v>0</v>
      </c>
      <c r="J3100" s="31">
        <f t="shared" si="271"/>
        <v>0</v>
      </c>
      <c r="M3100" s="33">
        <f t="shared" si="267"/>
        <v>0</v>
      </c>
      <c r="N3100" s="33"/>
    </row>
    <row r="3101" spans="7:14" ht="16.5" customHeight="1">
      <c r="G3101" s="30">
        <f t="shared" si="268"/>
        <v>0</v>
      </c>
      <c r="H3101" s="31">
        <f t="shared" si="269"/>
        <v>0</v>
      </c>
      <c r="I3101" s="31">
        <f t="shared" si="270"/>
        <v>0</v>
      </c>
      <c r="J3101" s="31">
        <f t="shared" si="271"/>
        <v>0</v>
      </c>
      <c r="M3101" s="33">
        <f t="shared" si="267"/>
        <v>0</v>
      </c>
      <c r="N3101" s="33"/>
    </row>
    <row r="3102" spans="7:14" ht="16.5" customHeight="1">
      <c r="G3102" s="30">
        <f t="shared" si="268"/>
        <v>0</v>
      </c>
      <c r="H3102" s="31">
        <f t="shared" si="269"/>
        <v>0</v>
      </c>
      <c r="I3102" s="31">
        <f t="shared" si="270"/>
        <v>0</v>
      </c>
      <c r="J3102" s="31">
        <f t="shared" si="271"/>
        <v>0</v>
      </c>
      <c r="M3102" s="33">
        <f t="shared" si="267"/>
        <v>0</v>
      </c>
      <c r="N3102" s="33"/>
    </row>
    <row r="3103" spans="7:14" ht="16.5" customHeight="1">
      <c r="G3103" s="30">
        <f t="shared" si="268"/>
        <v>0</v>
      </c>
      <c r="H3103" s="31">
        <f t="shared" si="269"/>
        <v>0</v>
      </c>
      <c r="I3103" s="31">
        <f t="shared" si="270"/>
        <v>0</v>
      </c>
      <c r="J3103" s="31">
        <f t="shared" si="271"/>
        <v>0</v>
      </c>
      <c r="M3103" s="33">
        <f t="shared" si="267"/>
        <v>0</v>
      </c>
      <c r="N3103" s="33"/>
    </row>
    <row r="3104" spans="7:14" ht="16.5" customHeight="1">
      <c r="G3104" s="30">
        <f t="shared" si="268"/>
        <v>0</v>
      </c>
      <c r="H3104" s="31">
        <f t="shared" si="269"/>
        <v>0</v>
      </c>
      <c r="I3104" s="31">
        <f t="shared" si="270"/>
        <v>0</v>
      </c>
      <c r="J3104" s="31">
        <f t="shared" si="271"/>
        <v>0</v>
      </c>
      <c r="M3104" s="33">
        <f t="shared" si="267"/>
        <v>0</v>
      </c>
      <c r="N3104" s="33"/>
    </row>
    <row r="3105" spans="7:14" ht="16.5" customHeight="1">
      <c r="G3105" s="30">
        <f t="shared" si="268"/>
        <v>0</v>
      </c>
      <c r="H3105" s="31">
        <f t="shared" si="269"/>
        <v>0</v>
      </c>
      <c r="I3105" s="31">
        <f t="shared" si="270"/>
        <v>0</v>
      </c>
      <c r="J3105" s="31">
        <f t="shared" si="271"/>
        <v>0</v>
      </c>
      <c r="M3105" s="33">
        <f t="shared" si="267"/>
        <v>0</v>
      </c>
      <c r="N3105" s="33"/>
    </row>
    <row r="3106" spans="7:14" ht="16.5" customHeight="1">
      <c r="G3106" s="30">
        <f t="shared" si="268"/>
        <v>0</v>
      </c>
      <c r="H3106" s="31">
        <f t="shared" si="269"/>
        <v>0</v>
      </c>
      <c r="I3106" s="31">
        <f t="shared" si="270"/>
        <v>0</v>
      </c>
      <c r="J3106" s="31">
        <f t="shared" si="271"/>
        <v>0</v>
      </c>
      <c r="M3106" s="33">
        <f t="shared" si="267"/>
        <v>0</v>
      </c>
      <c r="N3106" s="33"/>
    </row>
    <row r="3107" spans="7:14" ht="16.5" customHeight="1">
      <c r="G3107" s="30">
        <f t="shared" si="268"/>
        <v>0</v>
      </c>
      <c r="H3107" s="31">
        <f t="shared" si="269"/>
        <v>0</v>
      </c>
      <c r="I3107" s="31">
        <f t="shared" si="270"/>
        <v>0</v>
      </c>
      <c r="J3107" s="31">
        <f t="shared" si="271"/>
        <v>0</v>
      </c>
      <c r="M3107" s="33">
        <f t="shared" si="267"/>
        <v>0</v>
      </c>
      <c r="N3107" s="33"/>
    </row>
    <row r="3108" spans="7:14" ht="16.5" customHeight="1">
      <c r="G3108" s="30">
        <f t="shared" si="268"/>
        <v>0</v>
      </c>
      <c r="H3108" s="31">
        <f t="shared" si="269"/>
        <v>0</v>
      </c>
      <c r="I3108" s="31">
        <f t="shared" si="270"/>
        <v>0</v>
      </c>
      <c r="J3108" s="31">
        <f t="shared" si="271"/>
        <v>0</v>
      </c>
      <c r="M3108" s="33">
        <f t="shared" si="267"/>
        <v>0</v>
      </c>
      <c r="N3108" s="33"/>
    </row>
    <row r="3109" spans="7:14" ht="16.5" customHeight="1">
      <c r="G3109" s="30">
        <f t="shared" si="268"/>
        <v>0</v>
      </c>
      <c r="H3109" s="31">
        <f t="shared" si="269"/>
        <v>0</v>
      </c>
      <c r="I3109" s="31">
        <f t="shared" si="270"/>
        <v>0</v>
      </c>
      <c r="J3109" s="31">
        <f t="shared" si="271"/>
        <v>0</v>
      </c>
      <c r="M3109" s="33">
        <f t="shared" si="267"/>
        <v>0</v>
      </c>
      <c r="N3109" s="33"/>
    </row>
    <row r="3110" spans="7:14" ht="16.5" customHeight="1">
      <c r="G3110" s="30">
        <f t="shared" si="268"/>
        <v>0</v>
      </c>
      <c r="H3110" s="31">
        <f t="shared" si="269"/>
        <v>0</v>
      </c>
      <c r="I3110" s="31">
        <f t="shared" si="270"/>
        <v>0</v>
      </c>
      <c r="J3110" s="31">
        <f t="shared" si="271"/>
        <v>0</v>
      </c>
      <c r="M3110" s="33">
        <f t="shared" si="267"/>
        <v>0</v>
      </c>
      <c r="N3110" s="33"/>
    </row>
    <row r="3111" spans="7:14" ht="16.5" customHeight="1">
      <c r="G3111" s="30">
        <f t="shared" si="268"/>
        <v>0</v>
      </c>
      <c r="H3111" s="31">
        <f t="shared" si="269"/>
        <v>0</v>
      </c>
      <c r="I3111" s="31">
        <f t="shared" si="270"/>
        <v>0</v>
      </c>
      <c r="J3111" s="31">
        <f t="shared" si="271"/>
        <v>0</v>
      </c>
      <c r="M3111" s="33">
        <f t="shared" si="267"/>
        <v>0</v>
      </c>
      <c r="N3111" s="33"/>
    </row>
    <row r="3112" spans="7:14" ht="16.5" customHeight="1">
      <c r="G3112" s="30">
        <f t="shared" si="268"/>
        <v>0</v>
      </c>
      <c r="H3112" s="31">
        <f t="shared" si="269"/>
        <v>0</v>
      </c>
      <c r="I3112" s="31">
        <f t="shared" si="270"/>
        <v>0</v>
      </c>
      <c r="J3112" s="31">
        <f t="shared" si="271"/>
        <v>0</v>
      </c>
      <c r="M3112" s="33">
        <f t="shared" si="267"/>
        <v>0</v>
      </c>
      <c r="N3112" s="33"/>
    </row>
    <row r="3113" spans="7:14" ht="16.5" customHeight="1">
      <c r="G3113" s="30">
        <f t="shared" si="268"/>
        <v>0</v>
      </c>
      <c r="H3113" s="31">
        <f t="shared" si="269"/>
        <v>0</v>
      </c>
      <c r="I3113" s="31">
        <f t="shared" si="270"/>
        <v>0</v>
      </c>
      <c r="J3113" s="31">
        <f t="shared" si="271"/>
        <v>0</v>
      </c>
      <c r="M3113" s="33">
        <f t="shared" si="267"/>
        <v>0</v>
      </c>
      <c r="N3113" s="33"/>
    </row>
    <row r="3114" spans="7:14" ht="16.5" customHeight="1">
      <c r="G3114" s="30">
        <f t="shared" si="268"/>
        <v>0</v>
      </c>
      <c r="H3114" s="31">
        <f t="shared" si="269"/>
        <v>0</v>
      </c>
      <c r="I3114" s="31">
        <f t="shared" si="270"/>
        <v>0</v>
      </c>
      <c r="J3114" s="31">
        <f t="shared" si="271"/>
        <v>0</v>
      </c>
      <c r="M3114" s="33">
        <f t="shared" si="267"/>
        <v>0</v>
      </c>
      <c r="N3114" s="33"/>
    </row>
    <row r="3115" spans="7:14" ht="16.5" customHeight="1">
      <c r="G3115" s="30">
        <f t="shared" si="268"/>
        <v>0</v>
      </c>
      <c r="H3115" s="31">
        <f t="shared" si="269"/>
        <v>0</v>
      </c>
      <c r="I3115" s="31">
        <f t="shared" si="270"/>
        <v>0</v>
      </c>
      <c r="J3115" s="31">
        <f t="shared" si="271"/>
        <v>0</v>
      </c>
      <c r="M3115" s="33">
        <f t="shared" si="267"/>
        <v>0</v>
      </c>
      <c r="N3115" s="33"/>
    </row>
    <row r="3116" spans="7:14" ht="16.5" customHeight="1">
      <c r="G3116" s="30">
        <f t="shared" si="268"/>
        <v>0</v>
      </c>
      <c r="H3116" s="31">
        <f t="shared" si="269"/>
        <v>0</v>
      </c>
      <c r="I3116" s="31">
        <f t="shared" si="270"/>
        <v>0</v>
      </c>
      <c r="J3116" s="31">
        <f t="shared" si="271"/>
        <v>0</v>
      </c>
      <c r="M3116" s="33">
        <f t="shared" si="267"/>
        <v>0</v>
      </c>
      <c r="N3116" s="33"/>
    </row>
    <row r="3117" spans="7:14" ht="16.5" customHeight="1">
      <c r="G3117" s="30">
        <f t="shared" si="268"/>
        <v>0</v>
      </c>
      <c r="H3117" s="31">
        <f t="shared" si="269"/>
        <v>0</v>
      </c>
      <c r="I3117" s="31">
        <f t="shared" si="270"/>
        <v>0</v>
      </c>
      <c r="J3117" s="31">
        <f t="shared" si="271"/>
        <v>0</v>
      </c>
      <c r="M3117" s="33">
        <f t="shared" si="267"/>
        <v>0</v>
      </c>
      <c r="N3117" s="33"/>
    </row>
    <row r="3118" spans="7:14" ht="16.5" customHeight="1">
      <c r="G3118" s="30">
        <f t="shared" si="268"/>
        <v>0</v>
      </c>
      <c r="H3118" s="31">
        <f t="shared" si="269"/>
        <v>0</v>
      </c>
      <c r="I3118" s="31">
        <f t="shared" si="270"/>
        <v>0</v>
      </c>
      <c r="J3118" s="31">
        <f t="shared" si="271"/>
        <v>0</v>
      </c>
      <c r="M3118" s="33">
        <f t="shared" si="267"/>
        <v>0</v>
      </c>
      <c r="N3118" s="33"/>
    </row>
    <row r="3119" spans="7:14" ht="16.5" customHeight="1">
      <c r="G3119" s="30">
        <f t="shared" si="268"/>
        <v>0</v>
      </c>
      <c r="H3119" s="31">
        <f t="shared" si="269"/>
        <v>0</v>
      </c>
      <c r="I3119" s="31">
        <f t="shared" si="270"/>
        <v>0</v>
      </c>
      <c r="J3119" s="31">
        <f t="shared" si="271"/>
        <v>0</v>
      </c>
      <c r="M3119" s="33">
        <f t="shared" si="267"/>
        <v>0</v>
      </c>
      <c r="N3119" s="33"/>
    </row>
    <row r="3120" spans="7:14" ht="16.5" customHeight="1">
      <c r="G3120" s="30">
        <f t="shared" si="268"/>
        <v>0</v>
      </c>
      <c r="H3120" s="31">
        <f t="shared" si="269"/>
        <v>0</v>
      </c>
      <c r="I3120" s="31">
        <f t="shared" si="270"/>
        <v>0</v>
      </c>
      <c r="J3120" s="31">
        <f t="shared" si="271"/>
        <v>0</v>
      </c>
      <c r="M3120" s="33">
        <f t="shared" si="267"/>
        <v>0</v>
      </c>
      <c r="N3120" s="33"/>
    </row>
    <row r="3121" spans="7:14" ht="16.5" customHeight="1">
      <c r="G3121" s="30">
        <f t="shared" si="268"/>
        <v>0</v>
      </c>
      <c r="H3121" s="31">
        <f t="shared" si="269"/>
        <v>0</v>
      </c>
      <c r="I3121" s="31">
        <f t="shared" si="270"/>
        <v>0</v>
      </c>
      <c r="J3121" s="31">
        <f t="shared" si="271"/>
        <v>0</v>
      </c>
      <c r="M3121" s="33">
        <f t="shared" si="267"/>
        <v>0</v>
      </c>
      <c r="N3121" s="33"/>
    </row>
    <row r="3122" spans="7:14" ht="16.5" customHeight="1">
      <c r="G3122" s="30">
        <f t="shared" si="268"/>
        <v>0</v>
      </c>
      <c r="H3122" s="31">
        <f t="shared" si="269"/>
        <v>0</v>
      </c>
      <c r="I3122" s="31">
        <f t="shared" si="270"/>
        <v>0</v>
      </c>
      <c r="J3122" s="31">
        <f t="shared" si="271"/>
        <v>0</v>
      </c>
      <c r="M3122" s="33">
        <f t="shared" si="267"/>
        <v>0</v>
      </c>
      <c r="N3122" s="33"/>
    </row>
    <row r="3123" spans="7:14" ht="16.5" customHeight="1">
      <c r="G3123" s="30">
        <f t="shared" si="268"/>
        <v>0</v>
      </c>
      <c r="H3123" s="31">
        <f t="shared" si="269"/>
        <v>0</v>
      </c>
      <c r="I3123" s="31">
        <f t="shared" si="270"/>
        <v>0</v>
      </c>
      <c r="J3123" s="31">
        <f t="shared" si="271"/>
        <v>0</v>
      </c>
      <c r="M3123" s="33">
        <f t="shared" si="267"/>
        <v>0</v>
      </c>
      <c r="N3123" s="33"/>
    </row>
    <row r="3124" spans="7:14" ht="16.5" customHeight="1">
      <c r="G3124" s="30">
        <f t="shared" si="268"/>
        <v>0</v>
      </c>
      <c r="H3124" s="31">
        <f t="shared" si="269"/>
        <v>0</v>
      </c>
      <c r="I3124" s="31">
        <f t="shared" si="270"/>
        <v>0</v>
      </c>
      <c r="J3124" s="31">
        <f t="shared" si="271"/>
        <v>0</v>
      </c>
      <c r="M3124" s="33">
        <f t="shared" si="267"/>
        <v>0</v>
      </c>
      <c r="N3124" s="33"/>
    </row>
    <row r="3125" spans="7:14" ht="16.5" customHeight="1">
      <c r="G3125" s="30">
        <f t="shared" si="268"/>
        <v>0</v>
      </c>
      <c r="H3125" s="31">
        <f t="shared" si="269"/>
        <v>0</v>
      </c>
      <c r="I3125" s="31">
        <f t="shared" si="270"/>
        <v>0</v>
      </c>
      <c r="J3125" s="31">
        <f t="shared" si="271"/>
        <v>0</v>
      </c>
      <c r="M3125" s="33">
        <f t="shared" si="267"/>
        <v>0</v>
      </c>
      <c r="N3125" s="33"/>
    </row>
    <row r="3126" spans="7:14" ht="16.5" customHeight="1">
      <c r="G3126" s="30">
        <f t="shared" si="268"/>
        <v>0</v>
      </c>
      <c r="H3126" s="31">
        <f t="shared" si="269"/>
        <v>0</v>
      </c>
      <c r="I3126" s="31">
        <f t="shared" si="270"/>
        <v>0</v>
      </c>
      <c r="J3126" s="31">
        <f t="shared" si="271"/>
        <v>0</v>
      </c>
      <c r="M3126" s="33">
        <f t="shared" si="267"/>
        <v>0</v>
      </c>
      <c r="N3126" s="33"/>
    </row>
    <row r="3127" spans="7:14" ht="16.5" customHeight="1">
      <c r="G3127" s="30">
        <f t="shared" si="268"/>
        <v>0</v>
      </c>
      <c r="H3127" s="31">
        <f t="shared" si="269"/>
        <v>0</v>
      </c>
      <c r="I3127" s="31">
        <f t="shared" si="270"/>
        <v>0</v>
      </c>
      <c r="J3127" s="31">
        <f t="shared" si="271"/>
        <v>0</v>
      </c>
      <c r="M3127" s="33">
        <f t="shared" si="267"/>
        <v>0</v>
      </c>
      <c r="N3127" s="33"/>
    </row>
    <row r="3128" spans="7:14" ht="16.5" customHeight="1">
      <c r="G3128" s="30">
        <f t="shared" si="268"/>
        <v>0</v>
      </c>
      <c r="H3128" s="31">
        <f t="shared" si="269"/>
        <v>0</v>
      </c>
      <c r="I3128" s="31">
        <f t="shared" si="270"/>
        <v>0</v>
      </c>
      <c r="J3128" s="31">
        <f t="shared" si="271"/>
        <v>0</v>
      </c>
      <c r="M3128" s="33">
        <f t="shared" si="267"/>
        <v>0</v>
      </c>
      <c r="N3128" s="33"/>
    </row>
    <row r="3129" spans="7:14" ht="16.5" customHeight="1">
      <c r="G3129" s="30">
        <f t="shared" si="268"/>
        <v>0</v>
      </c>
      <c r="H3129" s="31">
        <f t="shared" si="269"/>
        <v>0</v>
      </c>
      <c r="I3129" s="31">
        <f t="shared" si="270"/>
        <v>0</v>
      </c>
      <c r="J3129" s="31">
        <f t="shared" si="271"/>
        <v>0</v>
      </c>
      <c r="M3129" s="33">
        <f t="shared" si="267"/>
        <v>0</v>
      </c>
      <c r="N3129" s="33"/>
    </row>
    <row r="3130" spans="7:14" ht="16.5" customHeight="1">
      <c r="G3130" s="30">
        <f t="shared" si="268"/>
        <v>0</v>
      </c>
      <c r="H3130" s="31">
        <f t="shared" si="269"/>
        <v>0</v>
      </c>
      <c r="I3130" s="31">
        <f t="shared" si="270"/>
        <v>0</v>
      </c>
      <c r="J3130" s="31">
        <f t="shared" si="271"/>
        <v>0</v>
      </c>
      <c r="M3130" s="33">
        <f t="shared" si="267"/>
        <v>0</v>
      </c>
      <c r="N3130" s="33"/>
    </row>
    <row r="3131" spans="7:14" ht="16.5" customHeight="1">
      <c r="G3131" s="30">
        <f t="shared" si="268"/>
        <v>0</v>
      </c>
      <c r="H3131" s="31">
        <f t="shared" si="269"/>
        <v>0</v>
      </c>
      <c r="I3131" s="31">
        <f t="shared" si="270"/>
        <v>0</v>
      </c>
      <c r="J3131" s="31">
        <f t="shared" si="271"/>
        <v>0</v>
      </c>
      <c r="M3131" s="33">
        <f t="shared" si="267"/>
        <v>0</v>
      </c>
      <c r="N3131" s="33"/>
    </row>
    <row r="3132" spans="7:14" ht="16.5" customHeight="1">
      <c r="G3132" s="30">
        <f t="shared" si="268"/>
        <v>0</v>
      </c>
      <c r="H3132" s="31">
        <f t="shared" si="269"/>
        <v>0</v>
      </c>
      <c r="I3132" s="31">
        <f t="shared" si="270"/>
        <v>0</v>
      </c>
      <c r="J3132" s="31">
        <f t="shared" si="271"/>
        <v>0</v>
      </c>
      <c r="M3132" s="33">
        <f t="shared" si="267"/>
        <v>0</v>
      </c>
      <c r="N3132" s="33"/>
    </row>
    <row r="3133" spans="7:14" ht="16.5" customHeight="1">
      <c r="G3133" s="30">
        <f t="shared" si="268"/>
        <v>0</v>
      </c>
      <c r="H3133" s="31">
        <f t="shared" si="269"/>
        <v>0</v>
      </c>
      <c r="I3133" s="31">
        <f t="shared" si="270"/>
        <v>0</v>
      </c>
      <c r="J3133" s="31">
        <f t="shared" si="271"/>
        <v>0</v>
      </c>
      <c r="M3133" s="33">
        <f t="shared" si="267"/>
        <v>0</v>
      </c>
      <c r="N3133" s="33"/>
    </row>
    <row r="3134" spans="7:14" ht="16.5" customHeight="1">
      <c r="G3134" s="30">
        <f t="shared" si="268"/>
        <v>0</v>
      </c>
      <c r="H3134" s="31">
        <f t="shared" si="269"/>
        <v>0</v>
      </c>
      <c r="I3134" s="31">
        <f t="shared" si="270"/>
        <v>0</v>
      </c>
      <c r="J3134" s="31">
        <f t="shared" si="271"/>
        <v>0</v>
      </c>
      <c r="M3134" s="33">
        <f t="shared" ref="M3134:M3197" si="272">IF(P3134="TL tuyệt đối",0, IF(K3134&lt;5,0,IF(K3134&lt;50,K3134*9%,IF(K3134&lt;100,4.5,IF(K3134&lt;200,4.5%*K3134,IF(K3134&lt;300,9,IF(K3134&lt;500,K3134*3%,IF(K3134&lt;1000,15,))))))))</f>
        <v>0</v>
      </c>
      <c r="N3134" s="33"/>
    </row>
    <row r="3135" spans="7:14" ht="16.5" customHeight="1">
      <c r="G3135" s="30">
        <f t="shared" si="268"/>
        <v>0</v>
      </c>
      <c r="H3135" s="31">
        <f t="shared" si="269"/>
        <v>0</v>
      </c>
      <c r="I3135" s="31">
        <f t="shared" si="270"/>
        <v>0</v>
      </c>
      <c r="J3135" s="31">
        <f t="shared" si="271"/>
        <v>0</v>
      </c>
      <c r="M3135" s="33">
        <f t="shared" si="272"/>
        <v>0</v>
      </c>
      <c r="N3135" s="33"/>
    </row>
    <row r="3136" spans="7:14" ht="16.5" customHeight="1">
      <c r="G3136" s="30">
        <f t="shared" ref="G3136:G3199" si="273">IF(P3136="TL tuyệt đối",K3136*103%,K3136+1/3*M3136)</f>
        <v>0</v>
      </c>
      <c r="H3136" s="31">
        <f t="shared" ref="H3136:H3199" si="274">IF(P3136="TL tuyệt đối",K3136*101%,K3136-1/3*M3136)</f>
        <v>0</v>
      </c>
      <c r="I3136" s="31">
        <f t="shared" ref="I3136:I3199" si="275">IF(P3136="TL tuyệt đối", K3136*105%,K3136+M3136)</f>
        <v>0</v>
      </c>
      <c r="J3136" s="31">
        <f t="shared" si="271"/>
        <v>0</v>
      </c>
      <c r="M3136" s="33">
        <f t="shared" si="272"/>
        <v>0</v>
      </c>
      <c r="N3136" s="33"/>
    </row>
    <row r="3137" spans="7:14" ht="16.5" customHeight="1">
      <c r="G3137" s="30">
        <f t="shared" si="273"/>
        <v>0</v>
      </c>
      <c r="H3137" s="31">
        <f t="shared" si="274"/>
        <v>0</v>
      </c>
      <c r="I3137" s="31">
        <f t="shared" si="275"/>
        <v>0</v>
      </c>
      <c r="J3137" s="31">
        <f t="shared" si="271"/>
        <v>0</v>
      </c>
      <c r="M3137" s="33">
        <f t="shared" si="272"/>
        <v>0</v>
      </c>
      <c r="N3137" s="33"/>
    </row>
    <row r="3138" spans="7:14" ht="16.5" customHeight="1">
      <c r="G3138" s="30">
        <f t="shared" si="273"/>
        <v>0</v>
      </c>
      <c r="H3138" s="31">
        <f t="shared" si="274"/>
        <v>0</v>
      </c>
      <c r="I3138" s="31">
        <f t="shared" si="275"/>
        <v>0</v>
      </c>
      <c r="J3138" s="31">
        <f t="shared" si="271"/>
        <v>0</v>
      </c>
      <c r="M3138" s="33">
        <f t="shared" si="272"/>
        <v>0</v>
      </c>
      <c r="N3138" s="33"/>
    </row>
    <row r="3139" spans="7:14" ht="16.5" customHeight="1">
      <c r="G3139" s="30">
        <f t="shared" si="273"/>
        <v>0</v>
      </c>
      <c r="H3139" s="31">
        <f t="shared" si="274"/>
        <v>0</v>
      </c>
      <c r="I3139" s="31">
        <f t="shared" si="275"/>
        <v>0</v>
      </c>
      <c r="J3139" s="31">
        <f t="shared" si="271"/>
        <v>0</v>
      </c>
      <c r="M3139" s="33">
        <f t="shared" si="272"/>
        <v>0</v>
      </c>
      <c r="N3139" s="33"/>
    </row>
    <row r="3140" spans="7:14" ht="16.5" customHeight="1">
      <c r="G3140" s="30">
        <f t="shared" si="273"/>
        <v>0</v>
      </c>
      <c r="H3140" s="31">
        <f t="shared" si="274"/>
        <v>0</v>
      </c>
      <c r="I3140" s="31">
        <f t="shared" si="275"/>
        <v>0</v>
      </c>
      <c r="J3140" s="31">
        <f t="shared" ref="J3140:J3203" si="276">K3140-M3140</f>
        <v>0</v>
      </c>
      <c r="M3140" s="33">
        <f t="shared" si="272"/>
        <v>0</v>
      </c>
      <c r="N3140" s="33"/>
    </row>
    <row r="3141" spans="7:14" ht="16.5" customHeight="1">
      <c r="G3141" s="30">
        <f t="shared" si="273"/>
        <v>0</v>
      </c>
      <c r="H3141" s="31">
        <f t="shared" si="274"/>
        <v>0</v>
      </c>
      <c r="I3141" s="31">
        <f t="shared" si="275"/>
        <v>0</v>
      </c>
      <c r="J3141" s="31">
        <f t="shared" si="276"/>
        <v>0</v>
      </c>
      <c r="M3141" s="33">
        <f t="shared" si="272"/>
        <v>0</v>
      </c>
      <c r="N3141" s="33"/>
    </row>
    <row r="3142" spans="7:14" ht="16.5" customHeight="1">
      <c r="G3142" s="30">
        <f t="shared" si="273"/>
        <v>0</v>
      </c>
      <c r="H3142" s="31">
        <f t="shared" si="274"/>
        <v>0</v>
      </c>
      <c r="I3142" s="31">
        <f t="shared" si="275"/>
        <v>0</v>
      </c>
      <c r="J3142" s="31">
        <f t="shared" si="276"/>
        <v>0</v>
      </c>
      <c r="M3142" s="33">
        <f t="shared" si="272"/>
        <v>0</v>
      </c>
      <c r="N3142" s="33"/>
    </row>
    <row r="3143" spans="7:14" ht="16.5" customHeight="1">
      <c r="G3143" s="30">
        <f t="shared" si="273"/>
        <v>0</v>
      </c>
      <c r="H3143" s="31">
        <f t="shared" si="274"/>
        <v>0</v>
      </c>
      <c r="I3143" s="31">
        <f t="shared" si="275"/>
        <v>0</v>
      </c>
      <c r="J3143" s="31">
        <f t="shared" si="276"/>
        <v>0</v>
      </c>
      <c r="M3143" s="33">
        <f t="shared" si="272"/>
        <v>0</v>
      </c>
      <c r="N3143" s="33"/>
    </row>
    <row r="3144" spans="7:14" ht="16.5" customHeight="1">
      <c r="G3144" s="30">
        <f t="shared" si="273"/>
        <v>0</v>
      </c>
      <c r="H3144" s="31">
        <f t="shared" si="274"/>
        <v>0</v>
      </c>
      <c r="I3144" s="31">
        <f t="shared" si="275"/>
        <v>0</v>
      </c>
      <c r="J3144" s="31">
        <f t="shared" si="276"/>
        <v>0</v>
      </c>
      <c r="M3144" s="33">
        <f t="shared" si="272"/>
        <v>0</v>
      </c>
      <c r="N3144" s="33"/>
    </row>
    <row r="3145" spans="7:14" ht="16.5" customHeight="1">
      <c r="G3145" s="30">
        <f t="shared" si="273"/>
        <v>0</v>
      </c>
      <c r="H3145" s="31">
        <f t="shared" si="274"/>
        <v>0</v>
      </c>
      <c r="I3145" s="31">
        <f t="shared" si="275"/>
        <v>0</v>
      </c>
      <c r="J3145" s="31">
        <f t="shared" si="276"/>
        <v>0</v>
      </c>
      <c r="M3145" s="33">
        <f t="shared" si="272"/>
        <v>0</v>
      </c>
      <c r="N3145" s="33"/>
    </row>
    <row r="3146" spans="7:14" ht="16.5" customHeight="1">
      <c r="G3146" s="30">
        <f t="shared" si="273"/>
        <v>0</v>
      </c>
      <c r="H3146" s="31">
        <f t="shared" si="274"/>
        <v>0</v>
      </c>
      <c r="I3146" s="31">
        <f t="shared" si="275"/>
        <v>0</v>
      </c>
      <c r="J3146" s="31">
        <f t="shared" si="276"/>
        <v>0</v>
      </c>
      <c r="M3146" s="33">
        <f t="shared" si="272"/>
        <v>0</v>
      </c>
      <c r="N3146" s="33"/>
    </row>
    <row r="3147" spans="7:14" ht="16.5" customHeight="1">
      <c r="G3147" s="30">
        <f t="shared" si="273"/>
        <v>0</v>
      </c>
      <c r="H3147" s="31">
        <f t="shared" si="274"/>
        <v>0</v>
      </c>
      <c r="I3147" s="31">
        <f t="shared" si="275"/>
        <v>0</v>
      </c>
      <c r="J3147" s="31">
        <f t="shared" si="276"/>
        <v>0</v>
      </c>
      <c r="M3147" s="33">
        <f t="shared" si="272"/>
        <v>0</v>
      </c>
      <c r="N3147" s="33"/>
    </row>
    <row r="3148" spans="7:14" ht="16.5" customHeight="1">
      <c r="G3148" s="30">
        <f t="shared" si="273"/>
        <v>0</v>
      </c>
      <c r="H3148" s="31">
        <f t="shared" si="274"/>
        <v>0</v>
      </c>
      <c r="I3148" s="31">
        <f t="shared" si="275"/>
        <v>0</v>
      </c>
      <c r="J3148" s="31">
        <f t="shared" si="276"/>
        <v>0</v>
      </c>
      <c r="M3148" s="33">
        <f t="shared" si="272"/>
        <v>0</v>
      </c>
      <c r="N3148" s="33"/>
    </row>
    <row r="3149" spans="7:14" ht="16.5" customHeight="1">
      <c r="G3149" s="30">
        <f t="shared" si="273"/>
        <v>0</v>
      </c>
      <c r="H3149" s="31">
        <f t="shared" si="274"/>
        <v>0</v>
      </c>
      <c r="I3149" s="31">
        <f t="shared" si="275"/>
        <v>0</v>
      </c>
      <c r="J3149" s="31">
        <f t="shared" si="276"/>
        <v>0</v>
      </c>
      <c r="M3149" s="33">
        <f t="shared" si="272"/>
        <v>0</v>
      </c>
      <c r="N3149" s="33"/>
    </row>
    <row r="3150" spans="7:14" ht="16.5" customHeight="1">
      <c r="G3150" s="30">
        <f t="shared" si="273"/>
        <v>0</v>
      </c>
      <c r="H3150" s="31">
        <f t="shared" si="274"/>
        <v>0</v>
      </c>
      <c r="I3150" s="31">
        <f t="shared" si="275"/>
        <v>0</v>
      </c>
      <c r="J3150" s="31">
        <f t="shared" si="276"/>
        <v>0</v>
      </c>
      <c r="M3150" s="33">
        <f t="shared" si="272"/>
        <v>0</v>
      </c>
      <c r="N3150" s="33"/>
    </row>
    <row r="3151" spans="7:14" ht="16.5" customHeight="1">
      <c r="G3151" s="30">
        <f t="shared" si="273"/>
        <v>0</v>
      </c>
      <c r="H3151" s="31">
        <f t="shared" si="274"/>
        <v>0</v>
      </c>
      <c r="I3151" s="31">
        <f t="shared" si="275"/>
        <v>0</v>
      </c>
      <c r="J3151" s="31">
        <f t="shared" si="276"/>
        <v>0</v>
      </c>
      <c r="M3151" s="33">
        <f t="shared" si="272"/>
        <v>0</v>
      </c>
      <c r="N3151" s="33"/>
    </row>
    <row r="3152" spans="7:14" ht="16.5" customHeight="1">
      <c r="G3152" s="30">
        <f t="shared" si="273"/>
        <v>0</v>
      </c>
      <c r="H3152" s="31">
        <f t="shared" si="274"/>
        <v>0</v>
      </c>
      <c r="I3152" s="31">
        <f t="shared" si="275"/>
        <v>0</v>
      </c>
      <c r="J3152" s="31">
        <f t="shared" si="276"/>
        <v>0</v>
      </c>
      <c r="M3152" s="33">
        <f t="shared" si="272"/>
        <v>0</v>
      </c>
      <c r="N3152" s="33"/>
    </row>
    <row r="3153" spans="7:14" ht="16.5" customHeight="1">
      <c r="G3153" s="30">
        <f t="shared" si="273"/>
        <v>0</v>
      </c>
      <c r="H3153" s="31">
        <f t="shared" si="274"/>
        <v>0</v>
      </c>
      <c r="I3153" s="31">
        <f t="shared" si="275"/>
        <v>0</v>
      </c>
      <c r="J3153" s="31">
        <f t="shared" si="276"/>
        <v>0</v>
      </c>
      <c r="M3153" s="33">
        <f t="shared" si="272"/>
        <v>0</v>
      </c>
      <c r="N3153" s="33"/>
    </row>
    <row r="3154" spans="7:14" ht="16.5" customHeight="1">
      <c r="G3154" s="30">
        <f t="shared" si="273"/>
        <v>0</v>
      </c>
      <c r="H3154" s="31">
        <f t="shared" si="274"/>
        <v>0</v>
      </c>
      <c r="I3154" s="31">
        <f t="shared" si="275"/>
        <v>0</v>
      </c>
      <c r="J3154" s="31">
        <f t="shared" si="276"/>
        <v>0</v>
      </c>
      <c r="M3154" s="33">
        <f t="shared" si="272"/>
        <v>0</v>
      </c>
      <c r="N3154" s="33"/>
    </row>
    <row r="3155" spans="7:14" ht="16.5" customHeight="1">
      <c r="G3155" s="30">
        <f t="shared" si="273"/>
        <v>0</v>
      </c>
      <c r="H3155" s="31">
        <f t="shared" si="274"/>
        <v>0</v>
      </c>
      <c r="I3155" s="31">
        <f t="shared" si="275"/>
        <v>0</v>
      </c>
      <c r="J3155" s="31">
        <f t="shared" si="276"/>
        <v>0</v>
      </c>
      <c r="M3155" s="33">
        <f t="shared" si="272"/>
        <v>0</v>
      </c>
      <c r="N3155" s="33"/>
    </row>
    <row r="3156" spans="7:14" ht="16.5" customHeight="1">
      <c r="G3156" s="30">
        <f t="shared" si="273"/>
        <v>0</v>
      </c>
      <c r="H3156" s="31">
        <f t="shared" si="274"/>
        <v>0</v>
      </c>
      <c r="I3156" s="31">
        <f t="shared" si="275"/>
        <v>0</v>
      </c>
      <c r="J3156" s="31">
        <f t="shared" si="276"/>
        <v>0</v>
      </c>
      <c r="M3156" s="33">
        <f t="shared" si="272"/>
        <v>0</v>
      </c>
      <c r="N3156" s="33"/>
    </row>
    <row r="3157" spans="7:14" ht="16.5" customHeight="1">
      <c r="G3157" s="30">
        <f t="shared" si="273"/>
        <v>0</v>
      </c>
      <c r="H3157" s="31">
        <f t="shared" si="274"/>
        <v>0</v>
      </c>
      <c r="I3157" s="31">
        <f t="shared" si="275"/>
        <v>0</v>
      </c>
      <c r="J3157" s="31">
        <f t="shared" si="276"/>
        <v>0</v>
      </c>
      <c r="M3157" s="33">
        <f t="shared" si="272"/>
        <v>0</v>
      </c>
      <c r="N3157" s="33"/>
    </row>
    <row r="3158" spans="7:14" ht="16.5" customHeight="1">
      <c r="G3158" s="30">
        <f t="shared" si="273"/>
        <v>0</v>
      </c>
      <c r="H3158" s="31">
        <f t="shared" si="274"/>
        <v>0</v>
      </c>
      <c r="I3158" s="31">
        <f t="shared" si="275"/>
        <v>0</v>
      </c>
      <c r="J3158" s="31">
        <f t="shared" si="276"/>
        <v>0</v>
      </c>
      <c r="M3158" s="33">
        <f t="shared" si="272"/>
        <v>0</v>
      </c>
      <c r="N3158" s="33"/>
    </row>
    <row r="3159" spans="7:14" ht="16.5" customHeight="1">
      <c r="G3159" s="30">
        <f t="shared" si="273"/>
        <v>0</v>
      </c>
      <c r="H3159" s="31">
        <f t="shared" si="274"/>
        <v>0</v>
      </c>
      <c r="I3159" s="31">
        <f t="shared" si="275"/>
        <v>0</v>
      </c>
      <c r="J3159" s="31">
        <f t="shared" si="276"/>
        <v>0</v>
      </c>
      <c r="M3159" s="33">
        <f t="shared" si="272"/>
        <v>0</v>
      </c>
      <c r="N3159" s="33"/>
    </row>
    <row r="3160" spans="7:14" ht="16.5" customHeight="1">
      <c r="G3160" s="30">
        <f t="shared" si="273"/>
        <v>0</v>
      </c>
      <c r="H3160" s="31">
        <f t="shared" si="274"/>
        <v>0</v>
      </c>
      <c r="I3160" s="31">
        <f t="shared" si="275"/>
        <v>0</v>
      </c>
      <c r="J3160" s="31">
        <f t="shared" si="276"/>
        <v>0</v>
      </c>
      <c r="M3160" s="33">
        <f t="shared" si="272"/>
        <v>0</v>
      </c>
      <c r="N3160" s="33"/>
    </row>
    <row r="3161" spans="7:14" ht="16.5" customHeight="1">
      <c r="G3161" s="30">
        <f t="shared" si="273"/>
        <v>0</v>
      </c>
      <c r="H3161" s="31">
        <f t="shared" si="274"/>
        <v>0</v>
      </c>
      <c r="I3161" s="31">
        <f t="shared" si="275"/>
        <v>0</v>
      </c>
      <c r="J3161" s="31">
        <f t="shared" si="276"/>
        <v>0</v>
      </c>
      <c r="M3161" s="33">
        <f t="shared" si="272"/>
        <v>0</v>
      </c>
      <c r="N3161" s="33"/>
    </row>
    <row r="3162" spans="7:14" ht="16.5" customHeight="1">
      <c r="G3162" s="30">
        <f t="shared" si="273"/>
        <v>0</v>
      </c>
      <c r="H3162" s="31">
        <f t="shared" si="274"/>
        <v>0</v>
      </c>
      <c r="I3162" s="31">
        <f t="shared" si="275"/>
        <v>0</v>
      </c>
      <c r="J3162" s="31">
        <f t="shared" si="276"/>
        <v>0</v>
      </c>
      <c r="M3162" s="33">
        <f t="shared" si="272"/>
        <v>0</v>
      </c>
      <c r="N3162" s="33"/>
    </row>
    <row r="3163" spans="7:14" ht="16.5" customHeight="1">
      <c r="G3163" s="30">
        <f t="shared" si="273"/>
        <v>0</v>
      </c>
      <c r="H3163" s="31">
        <f t="shared" si="274"/>
        <v>0</v>
      </c>
      <c r="I3163" s="31">
        <f t="shared" si="275"/>
        <v>0</v>
      </c>
      <c r="J3163" s="31">
        <f t="shared" si="276"/>
        <v>0</v>
      </c>
      <c r="M3163" s="33">
        <f t="shared" si="272"/>
        <v>0</v>
      </c>
      <c r="N3163" s="33"/>
    </row>
    <row r="3164" spans="7:14" ht="16.5" customHeight="1">
      <c r="G3164" s="30">
        <f t="shared" si="273"/>
        <v>0</v>
      </c>
      <c r="H3164" s="31">
        <f t="shared" si="274"/>
        <v>0</v>
      </c>
      <c r="I3164" s="31">
        <f t="shared" si="275"/>
        <v>0</v>
      </c>
      <c r="J3164" s="31">
        <f t="shared" si="276"/>
        <v>0</v>
      </c>
      <c r="M3164" s="33">
        <f t="shared" si="272"/>
        <v>0</v>
      </c>
      <c r="N3164" s="33"/>
    </row>
    <row r="3165" spans="7:14" ht="16.5" customHeight="1">
      <c r="G3165" s="30">
        <f t="shared" si="273"/>
        <v>0</v>
      </c>
      <c r="H3165" s="31">
        <f t="shared" si="274"/>
        <v>0</v>
      </c>
      <c r="I3165" s="31">
        <f t="shared" si="275"/>
        <v>0</v>
      </c>
      <c r="J3165" s="31">
        <f t="shared" si="276"/>
        <v>0</v>
      </c>
      <c r="M3165" s="33">
        <f t="shared" si="272"/>
        <v>0</v>
      </c>
      <c r="N3165" s="33"/>
    </row>
    <row r="3166" spans="7:14" ht="16.5" customHeight="1">
      <c r="G3166" s="30">
        <f t="shared" si="273"/>
        <v>0</v>
      </c>
      <c r="H3166" s="31">
        <f t="shared" si="274"/>
        <v>0</v>
      </c>
      <c r="I3166" s="31">
        <f t="shared" si="275"/>
        <v>0</v>
      </c>
      <c r="J3166" s="31">
        <f t="shared" si="276"/>
        <v>0</v>
      </c>
      <c r="M3166" s="33">
        <f t="shared" si="272"/>
        <v>0</v>
      </c>
      <c r="N3166" s="33"/>
    </row>
    <row r="3167" spans="7:14" ht="16.5" customHeight="1">
      <c r="G3167" s="30">
        <f t="shared" si="273"/>
        <v>0</v>
      </c>
      <c r="H3167" s="31">
        <f t="shared" si="274"/>
        <v>0</v>
      </c>
      <c r="I3167" s="31">
        <f t="shared" si="275"/>
        <v>0</v>
      </c>
      <c r="J3167" s="31">
        <f t="shared" si="276"/>
        <v>0</v>
      </c>
      <c r="M3167" s="33">
        <f t="shared" si="272"/>
        <v>0</v>
      </c>
      <c r="N3167" s="33"/>
    </row>
    <row r="3168" spans="7:14" ht="16.5" customHeight="1">
      <c r="G3168" s="30">
        <f t="shared" si="273"/>
        <v>0</v>
      </c>
      <c r="H3168" s="31">
        <f t="shared" si="274"/>
        <v>0</v>
      </c>
      <c r="I3168" s="31">
        <f t="shared" si="275"/>
        <v>0</v>
      </c>
      <c r="J3168" s="31">
        <f t="shared" si="276"/>
        <v>0</v>
      </c>
      <c r="M3168" s="33">
        <f t="shared" si="272"/>
        <v>0</v>
      </c>
      <c r="N3168" s="33"/>
    </row>
    <row r="3169" spans="7:14" ht="16.5" customHeight="1">
      <c r="G3169" s="30">
        <f t="shared" si="273"/>
        <v>0</v>
      </c>
      <c r="H3169" s="31">
        <f t="shared" si="274"/>
        <v>0</v>
      </c>
      <c r="I3169" s="31">
        <f t="shared" si="275"/>
        <v>0</v>
      </c>
      <c r="J3169" s="31">
        <f t="shared" si="276"/>
        <v>0</v>
      </c>
      <c r="M3169" s="33">
        <f t="shared" si="272"/>
        <v>0</v>
      </c>
      <c r="N3169" s="33"/>
    </row>
    <row r="3170" spans="7:14" ht="16.5" customHeight="1">
      <c r="G3170" s="30">
        <f t="shared" si="273"/>
        <v>0</v>
      </c>
      <c r="H3170" s="31">
        <f t="shared" si="274"/>
        <v>0</v>
      </c>
      <c r="I3170" s="31">
        <f t="shared" si="275"/>
        <v>0</v>
      </c>
      <c r="J3170" s="31">
        <f t="shared" si="276"/>
        <v>0</v>
      </c>
      <c r="M3170" s="33">
        <f t="shared" si="272"/>
        <v>0</v>
      </c>
      <c r="N3170" s="33"/>
    </row>
    <row r="3171" spans="7:14" ht="16.5" customHeight="1">
      <c r="G3171" s="30">
        <f t="shared" si="273"/>
        <v>0</v>
      </c>
      <c r="H3171" s="31">
        <f t="shared" si="274"/>
        <v>0</v>
      </c>
      <c r="I3171" s="31">
        <f t="shared" si="275"/>
        <v>0</v>
      </c>
      <c r="J3171" s="31">
        <f t="shared" si="276"/>
        <v>0</v>
      </c>
      <c r="M3171" s="33">
        <f t="shared" si="272"/>
        <v>0</v>
      </c>
      <c r="N3171" s="33"/>
    </row>
    <row r="3172" spans="7:14" ht="16.5" customHeight="1">
      <c r="G3172" s="30">
        <f t="shared" si="273"/>
        <v>0</v>
      </c>
      <c r="H3172" s="31">
        <f t="shared" si="274"/>
        <v>0</v>
      </c>
      <c r="I3172" s="31">
        <f t="shared" si="275"/>
        <v>0</v>
      </c>
      <c r="J3172" s="31">
        <f t="shared" si="276"/>
        <v>0</v>
      </c>
      <c r="M3172" s="33">
        <f t="shared" si="272"/>
        <v>0</v>
      </c>
      <c r="N3172" s="33"/>
    </row>
    <row r="3173" spans="7:14" ht="16.5" customHeight="1">
      <c r="G3173" s="30">
        <f t="shared" si="273"/>
        <v>0</v>
      </c>
      <c r="H3173" s="31">
        <f t="shared" si="274"/>
        <v>0</v>
      </c>
      <c r="I3173" s="31">
        <f t="shared" si="275"/>
        <v>0</v>
      </c>
      <c r="J3173" s="31">
        <f t="shared" si="276"/>
        <v>0</v>
      </c>
      <c r="M3173" s="33">
        <f t="shared" si="272"/>
        <v>0</v>
      </c>
      <c r="N3173" s="33"/>
    </row>
    <row r="3174" spans="7:14" ht="16.5" customHeight="1">
      <c r="G3174" s="30">
        <f t="shared" si="273"/>
        <v>0</v>
      </c>
      <c r="H3174" s="31">
        <f t="shared" si="274"/>
        <v>0</v>
      </c>
      <c r="I3174" s="31">
        <f t="shared" si="275"/>
        <v>0</v>
      </c>
      <c r="J3174" s="31">
        <f t="shared" si="276"/>
        <v>0</v>
      </c>
      <c r="M3174" s="33">
        <f t="shared" si="272"/>
        <v>0</v>
      </c>
      <c r="N3174" s="33"/>
    </row>
    <row r="3175" spans="7:14" ht="16.5" customHeight="1">
      <c r="G3175" s="30">
        <f t="shared" si="273"/>
        <v>0</v>
      </c>
      <c r="H3175" s="31">
        <f t="shared" si="274"/>
        <v>0</v>
      </c>
      <c r="I3175" s="31">
        <f t="shared" si="275"/>
        <v>0</v>
      </c>
      <c r="J3175" s="31">
        <f t="shared" si="276"/>
        <v>0</v>
      </c>
      <c r="M3175" s="33">
        <f t="shared" si="272"/>
        <v>0</v>
      </c>
      <c r="N3175" s="33"/>
    </row>
    <row r="3176" spans="7:14" ht="16.5" customHeight="1">
      <c r="G3176" s="30">
        <f t="shared" si="273"/>
        <v>0</v>
      </c>
      <c r="H3176" s="31">
        <f t="shared" si="274"/>
        <v>0</v>
      </c>
      <c r="I3176" s="31">
        <f t="shared" si="275"/>
        <v>0</v>
      </c>
      <c r="J3176" s="31">
        <f t="shared" si="276"/>
        <v>0</v>
      </c>
      <c r="M3176" s="33">
        <f t="shared" si="272"/>
        <v>0</v>
      </c>
      <c r="N3176" s="33"/>
    </row>
    <row r="3177" spans="7:14" ht="16.5" customHeight="1">
      <c r="G3177" s="30">
        <f t="shared" si="273"/>
        <v>0</v>
      </c>
      <c r="H3177" s="31">
        <f t="shared" si="274"/>
        <v>0</v>
      </c>
      <c r="I3177" s="31">
        <f t="shared" si="275"/>
        <v>0</v>
      </c>
      <c r="J3177" s="31">
        <f t="shared" si="276"/>
        <v>0</v>
      </c>
      <c r="M3177" s="33">
        <f t="shared" si="272"/>
        <v>0</v>
      </c>
      <c r="N3177" s="33"/>
    </row>
    <row r="3178" spans="7:14" ht="16.5" customHeight="1">
      <c r="G3178" s="30">
        <f t="shared" si="273"/>
        <v>0</v>
      </c>
      <c r="H3178" s="31">
        <f t="shared" si="274"/>
        <v>0</v>
      </c>
      <c r="I3178" s="31">
        <f t="shared" si="275"/>
        <v>0</v>
      </c>
      <c r="J3178" s="31">
        <f t="shared" si="276"/>
        <v>0</v>
      </c>
      <c r="M3178" s="33">
        <f t="shared" si="272"/>
        <v>0</v>
      </c>
      <c r="N3178" s="33"/>
    </row>
    <row r="3179" spans="7:14" ht="16.5" customHeight="1">
      <c r="G3179" s="30">
        <f t="shared" si="273"/>
        <v>0</v>
      </c>
      <c r="H3179" s="31">
        <f t="shared" si="274"/>
        <v>0</v>
      </c>
      <c r="I3179" s="31">
        <f t="shared" si="275"/>
        <v>0</v>
      </c>
      <c r="J3179" s="31">
        <f t="shared" si="276"/>
        <v>0</v>
      </c>
      <c r="M3179" s="33">
        <f t="shared" si="272"/>
        <v>0</v>
      </c>
      <c r="N3179" s="33"/>
    </row>
    <row r="3180" spans="7:14" ht="16.5" customHeight="1">
      <c r="G3180" s="30">
        <f t="shared" si="273"/>
        <v>0</v>
      </c>
      <c r="H3180" s="31">
        <f t="shared" si="274"/>
        <v>0</v>
      </c>
      <c r="I3180" s="31">
        <f t="shared" si="275"/>
        <v>0</v>
      </c>
      <c r="J3180" s="31">
        <f t="shared" si="276"/>
        <v>0</v>
      </c>
      <c r="M3180" s="33">
        <f t="shared" si="272"/>
        <v>0</v>
      </c>
      <c r="N3180" s="33"/>
    </row>
    <row r="3181" spans="7:14" ht="16.5" customHeight="1">
      <c r="G3181" s="30">
        <f t="shared" si="273"/>
        <v>0</v>
      </c>
      <c r="H3181" s="31">
        <f t="shared" si="274"/>
        <v>0</v>
      </c>
      <c r="I3181" s="31">
        <f t="shared" si="275"/>
        <v>0</v>
      </c>
      <c r="J3181" s="31">
        <f t="shared" si="276"/>
        <v>0</v>
      </c>
      <c r="M3181" s="33">
        <f t="shared" si="272"/>
        <v>0</v>
      </c>
      <c r="N3181" s="33"/>
    </row>
    <row r="3182" spans="7:14" ht="16.5" customHeight="1">
      <c r="G3182" s="30">
        <f t="shared" si="273"/>
        <v>0</v>
      </c>
      <c r="H3182" s="31">
        <f t="shared" si="274"/>
        <v>0</v>
      </c>
      <c r="I3182" s="31">
        <f t="shared" si="275"/>
        <v>0</v>
      </c>
      <c r="J3182" s="31">
        <f t="shared" si="276"/>
        <v>0</v>
      </c>
      <c r="M3182" s="33">
        <f t="shared" si="272"/>
        <v>0</v>
      </c>
      <c r="N3182" s="33"/>
    </row>
    <row r="3183" spans="7:14" ht="16.5" customHeight="1">
      <c r="G3183" s="30">
        <f t="shared" si="273"/>
        <v>0</v>
      </c>
      <c r="H3183" s="31">
        <f t="shared" si="274"/>
        <v>0</v>
      </c>
      <c r="I3183" s="31">
        <f t="shared" si="275"/>
        <v>0</v>
      </c>
      <c r="J3183" s="31">
        <f t="shared" si="276"/>
        <v>0</v>
      </c>
      <c r="M3183" s="33">
        <f t="shared" si="272"/>
        <v>0</v>
      </c>
      <c r="N3183" s="33"/>
    </row>
    <row r="3184" spans="7:14" ht="16.5" customHeight="1">
      <c r="G3184" s="30">
        <f t="shared" si="273"/>
        <v>0</v>
      </c>
      <c r="H3184" s="31">
        <f t="shared" si="274"/>
        <v>0</v>
      </c>
      <c r="I3184" s="31">
        <f t="shared" si="275"/>
        <v>0</v>
      </c>
      <c r="J3184" s="31">
        <f t="shared" si="276"/>
        <v>0</v>
      </c>
      <c r="M3184" s="33">
        <f t="shared" si="272"/>
        <v>0</v>
      </c>
      <c r="N3184" s="33"/>
    </row>
    <row r="3185" spans="7:14" ht="16.5" customHeight="1">
      <c r="G3185" s="30">
        <f t="shared" si="273"/>
        <v>0</v>
      </c>
      <c r="H3185" s="31">
        <f t="shared" si="274"/>
        <v>0</v>
      </c>
      <c r="I3185" s="31">
        <f t="shared" si="275"/>
        <v>0</v>
      </c>
      <c r="J3185" s="31">
        <f t="shared" si="276"/>
        <v>0</v>
      </c>
      <c r="M3185" s="33">
        <f t="shared" si="272"/>
        <v>0</v>
      </c>
      <c r="N3185" s="33"/>
    </row>
    <row r="3186" spans="7:14" ht="16.5" customHeight="1">
      <c r="G3186" s="30">
        <f t="shared" si="273"/>
        <v>0</v>
      </c>
      <c r="H3186" s="31">
        <f t="shared" si="274"/>
        <v>0</v>
      </c>
      <c r="I3186" s="31">
        <f t="shared" si="275"/>
        <v>0</v>
      </c>
      <c r="J3186" s="31">
        <f t="shared" si="276"/>
        <v>0</v>
      </c>
      <c r="M3186" s="33">
        <f t="shared" si="272"/>
        <v>0</v>
      </c>
      <c r="N3186" s="33"/>
    </row>
    <row r="3187" spans="7:14" ht="16.5" customHeight="1">
      <c r="G3187" s="30">
        <f t="shared" si="273"/>
        <v>0</v>
      </c>
      <c r="H3187" s="31">
        <f t="shared" si="274"/>
        <v>0</v>
      </c>
      <c r="I3187" s="31">
        <f t="shared" si="275"/>
        <v>0</v>
      </c>
      <c r="J3187" s="31">
        <f t="shared" si="276"/>
        <v>0</v>
      </c>
      <c r="M3187" s="33">
        <f t="shared" si="272"/>
        <v>0</v>
      </c>
      <c r="N3187" s="33"/>
    </row>
    <row r="3188" spans="7:14" ht="16.5" customHeight="1">
      <c r="G3188" s="30">
        <f t="shared" si="273"/>
        <v>0</v>
      </c>
      <c r="H3188" s="31">
        <f t="shared" si="274"/>
        <v>0</v>
      </c>
      <c r="I3188" s="31">
        <f t="shared" si="275"/>
        <v>0</v>
      </c>
      <c r="J3188" s="31">
        <f t="shared" si="276"/>
        <v>0</v>
      </c>
      <c r="M3188" s="33">
        <f t="shared" si="272"/>
        <v>0</v>
      </c>
      <c r="N3188" s="33"/>
    </row>
    <row r="3189" spans="7:14" ht="16.5" customHeight="1">
      <c r="G3189" s="30">
        <f t="shared" si="273"/>
        <v>0</v>
      </c>
      <c r="H3189" s="31">
        <f t="shared" si="274"/>
        <v>0</v>
      </c>
      <c r="I3189" s="31">
        <f t="shared" si="275"/>
        <v>0</v>
      </c>
      <c r="J3189" s="31">
        <f t="shared" si="276"/>
        <v>0</v>
      </c>
      <c r="M3189" s="33">
        <f t="shared" si="272"/>
        <v>0</v>
      </c>
      <c r="N3189" s="33"/>
    </row>
    <row r="3190" spans="7:14" ht="16.5" customHeight="1">
      <c r="G3190" s="30">
        <f t="shared" si="273"/>
        <v>0</v>
      </c>
      <c r="H3190" s="31">
        <f t="shared" si="274"/>
        <v>0</v>
      </c>
      <c r="I3190" s="31">
        <f t="shared" si="275"/>
        <v>0</v>
      </c>
      <c r="J3190" s="31">
        <f t="shared" si="276"/>
        <v>0</v>
      </c>
      <c r="M3190" s="33">
        <f t="shared" si="272"/>
        <v>0</v>
      </c>
      <c r="N3190" s="33"/>
    </row>
    <row r="3191" spans="7:14" ht="16.5" customHeight="1">
      <c r="G3191" s="30">
        <f t="shared" si="273"/>
        <v>0</v>
      </c>
      <c r="H3191" s="31">
        <f t="shared" si="274"/>
        <v>0</v>
      </c>
      <c r="I3191" s="31">
        <f t="shared" si="275"/>
        <v>0</v>
      </c>
      <c r="J3191" s="31">
        <f t="shared" si="276"/>
        <v>0</v>
      </c>
      <c r="M3191" s="33">
        <f t="shared" si="272"/>
        <v>0</v>
      </c>
      <c r="N3191" s="33"/>
    </row>
    <row r="3192" spans="7:14" ht="16.5" customHeight="1">
      <c r="G3192" s="30">
        <f t="shared" si="273"/>
        <v>0</v>
      </c>
      <c r="H3192" s="31">
        <f t="shared" si="274"/>
        <v>0</v>
      </c>
      <c r="I3192" s="31">
        <f t="shared" si="275"/>
        <v>0</v>
      </c>
      <c r="J3192" s="31">
        <f t="shared" si="276"/>
        <v>0</v>
      </c>
      <c r="M3192" s="33">
        <f t="shared" si="272"/>
        <v>0</v>
      </c>
      <c r="N3192" s="33"/>
    </row>
    <row r="3193" spans="7:14" ht="16.5" customHeight="1">
      <c r="G3193" s="30">
        <f t="shared" si="273"/>
        <v>0</v>
      </c>
      <c r="H3193" s="31">
        <f t="shared" si="274"/>
        <v>0</v>
      </c>
      <c r="I3193" s="31">
        <f t="shared" si="275"/>
        <v>0</v>
      </c>
      <c r="J3193" s="31">
        <f t="shared" si="276"/>
        <v>0</v>
      </c>
      <c r="M3193" s="33">
        <f t="shared" si="272"/>
        <v>0</v>
      </c>
      <c r="N3193" s="33"/>
    </row>
    <row r="3194" spans="7:14" ht="16.5" customHeight="1">
      <c r="G3194" s="30">
        <f t="shared" si="273"/>
        <v>0</v>
      </c>
      <c r="H3194" s="31">
        <f t="shared" si="274"/>
        <v>0</v>
      </c>
      <c r="I3194" s="31">
        <f t="shared" si="275"/>
        <v>0</v>
      </c>
      <c r="J3194" s="31">
        <f t="shared" si="276"/>
        <v>0</v>
      </c>
      <c r="M3194" s="33">
        <f t="shared" si="272"/>
        <v>0</v>
      </c>
      <c r="N3194" s="33"/>
    </row>
    <row r="3195" spans="7:14" ht="16.5" customHeight="1">
      <c r="G3195" s="30">
        <f t="shared" si="273"/>
        <v>0</v>
      </c>
      <c r="H3195" s="31">
        <f t="shared" si="274"/>
        <v>0</v>
      </c>
      <c r="I3195" s="31">
        <f t="shared" si="275"/>
        <v>0</v>
      </c>
      <c r="J3195" s="31">
        <f t="shared" si="276"/>
        <v>0</v>
      </c>
      <c r="M3195" s="33">
        <f t="shared" si="272"/>
        <v>0</v>
      </c>
      <c r="N3195" s="33"/>
    </row>
    <row r="3196" spans="7:14" ht="16.5" customHeight="1">
      <c r="G3196" s="30">
        <f t="shared" si="273"/>
        <v>0</v>
      </c>
      <c r="H3196" s="31">
        <f t="shared" si="274"/>
        <v>0</v>
      </c>
      <c r="I3196" s="31">
        <f t="shared" si="275"/>
        <v>0</v>
      </c>
      <c r="J3196" s="31">
        <f t="shared" si="276"/>
        <v>0</v>
      </c>
      <c r="M3196" s="33">
        <f t="shared" si="272"/>
        <v>0</v>
      </c>
      <c r="N3196" s="33"/>
    </row>
    <row r="3197" spans="7:14" ht="16.5" customHeight="1">
      <c r="G3197" s="30">
        <f t="shared" si="273"/>
        <v>0</v>
      </c>
      <c r="H3197" s="31">
        <f t="shared" si="274"/>
        <v>0</v>
      </c>
      <c r="I3197" s="31">
        <f t="shared" si="275"/>
        <v>0</v>
      </c>
      <c r="J3197" s="31">
        <f t="shared" si="276"/>
        <v>0</v>
      </c>
      <c r="M3197" s="33">
        <f t="shared" si="272"/>
        <v>0</v>
      </c>
      <c r="N3197" s="33"/>
    </row>
    <row r="3198" spans="7:14" ht="16.5" customHeight="1">
      <c r="G3198" s="30">
        <f t="shared" si="273"/>
        <v>0</v>
      </c>
      <c r="H3198" s="31">
        <f t="shared" si="274"/>
        <v>0</v>
      </c>
      <c r="I3198" s="31">
        <f t="shared" si="275"/>
        <v>0</v>
      </c>
      <c r="J3198" s="31">
        <f t="shared" si="276"/>
        <v>0</v>
      </c>
      <c r="M3198" s="33">
        <f t="shared" ref="M3198:M3261" si="277">IF(P3198="TL tuyệt đối",0, IF(K3198&lt;5,0,IF(K3198&lt;50,K3198*9%,IF(K3198&lt;100,4.5,IF(K3198&lt;200,4.5%*K3198,IF(K3198&lt;300,9,IF(K3198&lt;500,K3198*3%,IF(K3198&lt;1000,15,))))))))</f>
        <v>0</v>
      </c>
      <c r="N3198" s="33"/>
    </row>
    <row r="3199" spans="7:14" ht="16.5" customHeight="1">
      <c r="G3199" s="30">
        <f t="shared" si="273"/>
        <v>0</v>
      </c>
      <c r="H3199" s="31">
        <f t="shared" si="274"/>
        <v>0</v>
      </c>
      <c r="I3199" s="31">
        <f t="shared" si="275"/>
        <v>0</v>
      </c>
      <c r="J3199" s="31">
        <f t="shared" si="276"/>
        <v>0</v>
      </c>
      <c r="M3199" s="33">
        <f t="shared" si="277"/>
        <v>0</v>
      </c>
      <c r="N3199" s="33"/>
    </row>
    <row r="3200" spans="7:14" ht="16.5" customHeight="1">
      <c r="G3200" s="30">
        <f t="shared" ref="G3200:G3263" si="278">IF(P3200="TL tuyệt đối",K3200*103%,K3200+1/3*M3200)</f>
        <v>0</v>
      </c>
      <c r="H3200" s="31">
        <f t="shared" ref="H3200:H3263" si="279">IF(P3200="TL tuyệt đối",K3200*101%,K3200-1/3*M3200)</f>
        <v>0</v>
      </c>
      <c r="I3200" s="31">
        <f t="shared" ref="I3200:I3263" si="280">IF(P3200="TL tuyệt đối", K3200*105%,K3200+M3200)</f>
        <v>0</v>
      </c>
      <c r="J3200" s="31">
        <f t="shared" si="276"/>
        <v>0</v>
      </c>
      <c r="M3200" s="33">
        <f t="shared" si="277"/>
        <v>0</v>
      </c>
      <c r="N3200" s="33"/>
    </row>
    <row r="3201" spans="7:14" ht="16.5" customHeight="1">
      <c r="G3201" s="30">
        <f t="shared" si="278"/>
        <v>0</v>
      </c>
      <c r="H3201" s="31">
        <f t="shared" si="279"/>
        <v>0</v>
      </c>
      <c r="I3201" s="31">
        <f t="shared" si="280"/>
        <v>0</v>
      </c>
      <c r="J3201" s="31">
        <f t="shared" si="276"/>
        <v>0</v>
      </c>
      <c r="M3201" s="33">
        <f t="shared" si="277"/>
        <v>0</v>
      </c>
      <c r="N3201" s="33"/>
    </row>
    <row r="3202" spans="7:14" ht="16.5" customHeight="1">
      <c r="G3202" s="30">
        <f t="shared" si="278"/>
        <v>0</v>
      </c>
      <c r="H3202" s="31">
        <f t="shared" si="279"/>
        <v>0</v>
      </c>
      <c r="I3202" s="31">
        <f t="shared" si="280"/>
        <v>0</v>
      </c>
      <c r="J3202" s="31">
        <f t="shared" si="276"/>
        <v>0</v>
      </c>
      <c r="M3202" s="33">
        <f t="shared" si="277"/>
        <v>0</v>
      </c>
      <c r="N3202" s="33"/>
    </row>
    <row r="3203" spans="7:14" ht="16.5" customHeight="1">
      <c r="G3203" s="30">
        <f t="shared" si="278"/>
        <v>0</v>
      </c>
      <c r="H3203" s="31">
        <f t="shared" si="279"/>
        <v>0</v>
      </c>
      <c r="I3203" s="31">
        <f t="shared" si="280"/>
        <v>0</v>
      </c>
      <c r="J3203" s="31">
        <f t="shared" si="276"/>
        <v>0</v>
      </c>
      <c r="M3203" s="33">
        <f t="shared" si="277"/>
        <v>0</v>
      </c>
      <c r="N3203" s="33"/>
    </row>
    <row r="3204" spans="7:14" ht="16.5" customHeight="1">
      <c r="G3204" s="30">
        <f t="shared" si="278"/>
        <v>0</v>
      </c>
      <c r="H3204" s="31">
        <f t="shared" si="279"/>
        <v>0</v>
      </c>
      <c r="I3204" s="31">
        <f t="shared" si="280"/>
        <v>0</v>
      </c>
      <c r="J3204" s="31">
        <f t="shared" ref="J3204:J3267" si="281">K3204-M3204</f>
        <v>0</v>
      </c>
      <c r="M3204" s="33">
        <f t="shared" si="277"/>
        <v>0</v>
      </c>
      <c r="N3204" s="33"/>
    </row>
    <row r="3205" spans="7:14" ht="16.5" customHeight="1">
      <c r="G3205" s="30">
        <f t="shared" si="278"/>
        <v>0</v>
      </c>
      <c r="H3205" s="31">
        <f t="shared" si="279"/>
        <v>0</v>
      </c>
      <c r="I3205" s="31">
        <f t="shared" si="280"/>
        <v>0</v>
      </c>
      <c r="J3205" s="31">
        <f t="shared" si="281"/>
        <v>0</v>
      </c>
      <c r="M3205" s="33">
        <f t="shared" si="277"/>
        <v>0</v>
      </c>
      <c r="N3205" s="33"/>
    </row>
    <row r="3206" spans="7:14" ht="16.5" customHeight="1">
      <c r="G3206" s="30">
        <f t="shared" si="278"/>
        <v>0</v>
      </c>
      <c r="H3206" s="31">
        <f t="shared" si="279"/>
        <v>0</v>
      </c>
      <c r="I3206" s="31">
        <f t="shared" si="280"/>
        <v>0</v>
      </c>
      <c r="J3206" s="31">
        <f t="shared" si="281"/>
        <v>0</v>
      </c>
      <c r="M3206" s="33">
        <f t="shared" si="277"/>
        <v>0</v>
      </c>
      <c r="N3206" s="33"/>
    </row>
    <row r="3207" spans="7:14" ht="16.5" customHeight="1">
      <c r="G3207" s="30">
        <f t="shared" si="278"/>
        <v>0</v>
      </c>
      <c r="H3207" s="31">
        <f t="shared" si="279"/>
        <v>0</v>
      </c>
      <c r="I3207" s="31">
        <f t="shared" si="280"/>
        <v>0</v>
      </c>
      <c r="J3207" s="31">
        <f t="shared" si="281"/>
        <v>0</v>
      </c>
      <c r="M3207" s="33">
        <f t="shared" si="277"/>
        <v>0</v>
      </c>
      <c r="N3207" s="33"/>
    </row>
    <row r="3208" spans="7:14" ht="16.5" customHeight="1">
      <c r="G3208" s="30">
        <f t="shared" si="278"/>
        <v>0</v>
      </c>
      <c r="H3208" s="31">
        <f t="shared" si="279"/>
        <v>0</v>
      </c>
      <c r="I3208" s="31">
        <f t="shared" si="280"/>
        <v>0</v>
      </c>
      <c r="J3208" s="31">
        <f t="shared" si="281"/>
        <v>0</v>
      </c>
      <c r="M3208" s="33">
        <f t="shared" si="277"/>
        <v>0</v>
      </c>
      <c r="N3208" s="33"/>
    </row>
    <row r="3209" spans="7:14" ht="16.5" customHeight="1">
      <c r="G3209" s="30">
        <f t="shared" si="278"/>
        <v>0</v>
      </c>
      <c r="H3209" s="31">
        <f t="shared" si="279"/>
        <v>0</v>
      </c>
      <c r="I3209" s="31">
        <f t="shared" si="280"/>
        <v>0</v>
      </c>
      <c r="J3209" s="31">
        <f t="shared" si="281"/>
        <v>0</v>
      </c>
      <c r="M3209" s="33">
        <f t="shared" si="277"/>
        <v>0</v>
      </c>
      <c r="N3209" s="33"/>
    </row>
    <row r="3210" spans="7:14" ht="16.5" customHeight="1">
      <c r="G3210" s="30">
        <f t="shared" si="278"/>
        <v>0</v>
      </c>
      <c r="H3210" s="31">
        <f t="shared" si="279"/>
        <v>0</v>
      </c>
      <c r="I3210" s="31">
        <f t="shared" si="280"/>
        <v>0</v>
      </c>
      <c r="J3210" s="31">
        <f t="shared" si="281"/>
        <v>0</v>
      </c>
      <c r="M3210" s="33">
        <f t="shared" si="277"/>
        <v>0</v>
      </c>
      <c r="N3210" s="33"/>
    </row>
    <row r="3211" spans="7:14" ht="16.5" customHeight="1">
      <c r="G3211" s="30">
        <f t="shared" si="278"/>
        <v>0</v>
      </c>
      <c r="H3211" s="31">
        <f t="shared" si="279"/>
        <v>0</v>
      </c>
      <c r="I3211" s="31">
        <f t="shared" si="280"/>
        <v>0</v>
      </c>
      <c r="J3211" s="31">
        <f t="shared" si="281"/>
        <v>0</v>
      </c>
      <c r="M3211" s="33">
        <f t="shared" si="277"/>
        <v>0</v>
      </c>
      <c r="N3211" s="33"/>
    </row>
    <row r="3212" spans="7:14" ht="16.5" customHeight="1">
      <c r="G3212" s="30">
        <f t="shared" si="278"/>
        <v>0</v>
      </c>
      <c r="H3212" s="31">
        <f t="shared" si="279"/>
        <v>0</v>
      </c>
      <c r="I3212" s="31">
        <f t="shared" si="280"/>
        <v>0</v>
      </c>
      <c r="J3212" s="31">
        <f t="shared" si="281"/>
        <v>0</v>
      </c>
      <c r="M3212" s="33">
        <f t="shared" si="277"/>
        <v>0</v>
      </c>
      <c r="N3212" s="33"/>
    </row>
    <row r="3213" spans="7:14" ht="16.5" customHeight="1">
      <c r="G3213" s="30">
        <f t="shared" si="278"/>
        <v>0</v>
      </c>
      <c r="H3213" s="31">
        <f t="shared" si="279"/>
        <v>0</v>
      </c>
      <c r="I3213" s="31">
        <f t="shared" si="280"/>
        <v>0</v>
      </c>
      <c r="J3213" s="31">
        <f t="shared" si="281"/>
        <v>0</v>
      </c>
      <c r="M3213" s="33">
        <f t="shared" si="277"/>
        <v>0</v>
      </c>
      <c r="N3213" s="33"/>
    </row>
    <row r="3214" spans="7:14" ht="16.5" customHeight="1">
      <c r="G3214" s="30">
        <f t="shared" si="278"/>
        <v>0</v>
      </c>
      <c r="H3214" s="31">
        <f t="shared" si="279"/>
        <v>0</v>
      </c>
      <c r="I3214" s="31">
        <f t="shared" si="280"/>
        <v>0</v>
      </c>
      <c r="J3214" s="31">
        <f t="shared" si="281"/>
        <v>0</v>
      </c>
      <c r="M3214" s="33">
        <f t="shared" si="277"/>
        <v>0</v>
      </c>
      <c r="N3214" s="33"/>
    </row>
    <row r="3215" spans="7:14" ht="16.5" customHeight="1">
      <c r="G3215" s="30">
        <f t="shared" si="278"/>
        <v>0</v>
      </c>
      <c r="H3215" s="31">
        <f t="shared" si="279"/>
        <v>0</v>
      </c>
      <c r="I3215" s="31">
        <f t="shared" si="280"/>
        <v>0</v>
      </c>
      <c r="J3215" s="31">
        <f t="shared" si="281"/>
        <v>0</v>
      </c>
      <c r="M3215" s="33">
        <f t="shared" si="277"/>
        <v>0</v>
      </c>
      <c r="N3215" s="33"/>
    </row>
    <row r="3216" spans="7:14" ht="16.5" customHeight="1">
      <c r="G3216" s="30">
        <f t="shared" si="278"/>
        <v>0</v>
      </c>
      <c r="H3216" s="31">
        <f t="shared" si="279"/>
        <v>0</v>
      </c>
      <c r="I3216" s="31">
        <f t="shared" si="280"/>
        <v>0</v>
      </c>
      <c r="J3216" s="31">
        <f t="shared" si="281"/>
        <v>0</v>
      </c>
      <c r="M3216" s="33">
        <f t="shared" si="277"/>
        <v>0</v>
      </c>
      <c r="N3216" s="33"/>
    </row>
    <row r="3217" spans="7:14" ht="16.5" customHeight="1">
      <c r="G3217" s="30">
        <f t="shared" si="278"/>
        <v>0</v>
      </c>
      <c r="H3217" s="31">
        <f t="shared" si="279"/>
        <v>0</v>
      </c>
      <c r="I3217" s="31">
        <f t="shared" si="280"/>
        <v>0</v>
      </c>
      <c r="J3217" s="31">
        <f t="shared" si="281"/>
        <v>0</v>
      </c>
      <c r="M3217" s="33">
        <f t="shared" si="277"/>
        <v>0</v>
      </c>
      <c r="N3217" s="33"/>
    </row>
    <row r="3218" spans="7:14" ht="16.5" customHeight="1">
      <c r="G3218" s="30">
        <f t="shared" si="278"/>
        <v>0</v>
      </c>
      <c r="H3218" s="31">
        <f t="shared" si="279"/>
        <v>0</v>
      </c>
      <c r="I3218" s="31">
        <f t="shared" si="280"/>
        <v>0</v>
      </c>
      <c r="J3218" s="31">
        <f t="shared" si="281"/>
        <v>0</v>
      </c>
      <c r="M3218" s="33">
        <f t="shared" si="277"/>
        <v>0</v>
      </c>
      <c r="N3218" s="33"/>
    </row>
    <row r="3219" spans="7:14" ht="16.5" customHeight="1">
      <c r="G3219" s="30">
        <f t="shared" si="278"/>
        <v>0</v>
      </c>
      <c r="H3219" s="31">
        <f t="shared" si="279"/>
        <v>0</v>
      </c>
      <c r="I3219" s="31">
        <f t="shared" si="280"/>
        <v>0</v>
      </c>
      <c r="J3219" s="31">
        <f t="shared" si="281"/>
        <v>0</v>
      </c>
      <c r="M3219" s="33">
        <f t="shared" si="277"/>
        <v>0</v>
      </c>
      <c r="N3219" s="33"/>
    </row>
    <row r="3220" spans="7:14" ht="16.5" customHeight="1">
      <c r="G3220" s="30">
        <f t="shared" si="278"/>
        <v>0</v>
      </c>
      <c r="H3220" s="31">
        <f t="shared" si="279"/>
        <v>0</v>
      </c>
      <c r="I3220" s="31">
        <f t="shared" si="280"/>
        <v>0</v>
      </c>
      <c r="J3220" s="31">
        <f t="shared" si="281"/>
        <v>0</v>
      </c>
      <c r="M3220" s="33">
        <f t="shared" si="277"/>
        <v>0</v>
      </c>
      <c r="N3220" s="33"/>
    </row>
    <row r="3221" spans="7:14" ht="16.5" customHeight="1">
      <c r="G3221" s="30">
        <f t="shared" si="278"/>
        <v>0</v>
      </c>
      <c r="H3221" s="31">
        <f t="shared" si="279"/>
        <v>0</v>
      </c>
      <c r="I3221" s="31">
        <f t="shared" si="280"/>
        <v>0</v>
      </c>
      <c r="J3221" s="31">
        <f t="shared" si="281"/>
        <v>0</v>
      </c>
      <c r="M3221" s="33">
        <f t="shared" si="277"/>
        <v>0</v>
      </c>
      <c r="N3221" s="33"/>
    </row>
    <row r="3222" spans="7:14" ht="16.5" customHeight="1">
      <c r="G3222" s="30">
        <f t="shared" si="278"/>
        <v>0</v>
      </c>
      <c r="H3222" s="31">
        <f t="shared" si="279"/>
        <v>0</v>
      </c>
      <c r="I3222" s="31">
        <f t="shared" si="280"/>
        <v>0</v>
      </c>
      <c r="J3222" s="31">
        <f t="shared" si="281"/>
        <v>0</v>
      </c>
      <c r="M3222" s="33">
        <f t="shared" si="277"/>
        <v>0</v>
      </c>
      <c r="N3222" s="33"/>
    </row>
    <row r="3223" spans="7:14" ht="16.5" customHeight="1">
      <c r="G3223" s="30">
        <f t="shared" si="278"/>
        <v>0</v>
      </c>
      <c r="H3223" s="31">
        <f t="shared" si="279"/>
        <v>0</v>
      </c>
      <c r="I3223" s="31">
        <f t="shared" si="280"/>
        <v>0</v>
      </c>
      <c r="J3223" s="31">
        <f t="shared" si="281"/>
        <v>0</v>
      </c>
      <c r="M3223" s="33">
        <f t="shared" si="277"/>
        <v>0</v>
      </c>
      <c r="N3223" s="33"/>
    </row>
    <row r="3224" spans="7:14" ht="16.5" customHeight="1">
      <c r="G3224" s="30">
        <f t="shared" si="278"/>
        <v>0</v>
      </c>
      <c r="H3224" s="31">
        <f t="shared" si="279"/>
        <v>0</v>
      </c>
      <c r="I3224" s="31">
        <f t="shared" si="280"/>
        <v>0</v>
      </c>
      <c r="J3224" s="31">
        <f t="shared" si="281"/>
        <v>0</v>
      </c>
      <c r="M3224" s="33">
        <f t="shared" si="277"/>
        <v>0</v>
      </c>
      <c r="N3224" s="33"/>
    </row>
    <row r="3225" spans="7:14" ht="16.5" customHeight="1">
      <c r="G3225" s="30">
        <f t="shared" si="278"/>
        <v>0</v>
      </c>
      <c r="H3225" s="31">
        <f t="shared" si="279"/>
        <v>0</v>
      </c>
      <c r="I3225" s="31">
        <f t="shared" si="280"/>
        <v>0</v>
      </c>
      <c r="J3225" s="31">
        <f t="shared" si="281"/>
        <v>0</v>
      </c>
      <c r="M3225" s="33">
        <f t="shared" si="277"/>
        <v>0</v>
      </c>
      <c r="N3225" s="33"/>
    </row>
    <row r="3226" spans="7:14" ht="16.5" customHeight="1">
      <c r="G3226" s="30">
        <f t="shared" si="278"/>
        <v>0</v>
      </c>
      <c r="H3226" s="31">
        <f t="shared" si="279"/>
        <v>0</v>
      </c>
      <c r="I3226" s="31">
        <f t="shared" si="280"/>
        <v>0</v>
      </c>
      <c r="J3226" s="31">
        <f t="shared" si="281"/>
        <v>0</v>
      </c>
      <c r="M3226" s="33">
        <f t="shared" si="277"/>
        <v>0</v>
      </c>
      <c r="N3226" s="33"/>
    </row>
    <row r="3227" spans="7:14" ht="16.5" customHeight="1">
      <c r="G3227" s="30">
        <f t="shared" si="278"/>
        <v>0</v>
      </c>
      <c r="H3227" s="31">
        <f t="shared" si="279"/>
        <v>0</v>
      </c>
      <c r="I3227" s="31">
        <f t="shared" si="280"/>
        <v>0</v>
      </c>
      <c r="J3227" s="31">
        <f t="shared" si="281"/>
        <v>0</v>
      </c>
      <c r="M3227" s="33">
        <f t="shared" si="277"/>
        <v>0</v>
      </c>
      <c r="N3227" s="33"/>
    </row>
    <row r="3228" spans="7:14" ht="16.5" customHeight="1">
      <c r="G3228" s="30">
        <f t="shared" si="278"/>
        <v>0</v>
      </c>
      <c r="H3228" s="31">
        <f t="shared" si="279"/>
        <v>0</v>
      </c>
      <c r="I3228" s="31">
        <f t="shared" si="280"/>
        <v>0</v>
      </c>
      <c r="J3228" s="31">
        <f t="shared" si="281"/>
        <v>0</v>
      </c>
      <c r="M3228" s="33">
        <f t="shared" si="277"/>
        <v>0</v>
      </c>
      <c r="N3228" s="33"/>
    </row>
    <row r="3229" spans="7:14" ht="16.5" customHeight="1">
      <c r="G3229" s="30">
        <f t="shared" si="278"/>
        <v>0</v>
      </c>
      <c r="H3229" s="31">
        <f t="shared" si="279"/>
        <v>0</v>
      </c>
      <c r="I3229" s="31">
        <f t="shared" si="280"/>
        <v>0</v>
      </c>
      <c r="J3229" s="31">
        <f t="shared" si="281"/>
        <v>0</v>
      </c>
      <c r="M3229" s="33">
        <f t="shared" si="277"/>
        <v>0</v>
      </c>
      <c r="N3229" s="33"/>
    </row>
    <row r="3230" spans="7:14" ht="16.5" customHeight="1">
      <c r="G3230" s="30">
        <f t="shared" si="278"/>
        <v>0</v>
      </c>
      <c r="H3230" s="31">
        <f t="shared" si="279"/>
        <v>0</v>
      </c>
      <c r="I3230" s="31">
        <f t="shared" si="280"/>
        <v>0</v>
      </c>
      <c r="J3230" s="31">
        <f t="shared" si="281"/>
        <v>0</v>
      </c>
      <c r="M3230" s="33">
        <f t="shared" si="277"/>
        <v>0</v>
      </c>
      <c r="N3230" s="33"/>
    </row>
    <row r="3231" spans="7:14" ht="16.5" customHeight="1">
      <c r="G3231" s="30">
        <f t="shared" si="278"/>
        <v>0</v>
      </c>
      <c r="H3231" s="31">
        <f t="shared" si="279"/>
        <v>0</v>
      </c>
      <c r="I3231" s="31">
        <f t="shared" si="280"/>
        <v>0</v>
      </c>
      <c r="J3231" s="31">
        <f t="shared" si="281"/>
        <v>0</v>
      </c>
      <c r="M3231" s="33">
        <f t="shared" si="277"/>
        <v>0</v>
      </c>
      <c r="N3231" s="33"/>
    </row>
    <row r="3232" spans="7:14" ht="16.5" customHeight="1">
      <c r="G3232" s="30">
        <f t="shared" si="278"/>
        <v>0</v>
      </c>
      <c r="H3232" s="31">
        <f t="shared" si="279"/>
        <v>0</v>
      </c>
      <c r="I3232" s="31">
        <f t="shared" si="280"/>
        <v>0</v>
      </c>
      <c r="J3232" s="31">
        <f t="shared" si="281"/>
        <v>0</v>
      </c>
      <c r="M3232" s="33">
        <f t="shared" si="277"/>
        <v>0</v>
      </c>
      <c r="N3232" s="33"/>
    </row>
    <row r="3233" spans="7:14" ht="16.5" customHeight="1">
      <c r="G3233" s="30">
        <f t="shared" si="278"/>
        <v>0</v>
      </c>
      <c r="H3233" s="31">
        <f t="shared" si="279"/>
        <v>0</v>
      </c>
      <c r="I3233" s="31">
        <f t="shared" si="280"/>
        <v>0</v>
      </c>
      <c r="J3233" s="31">
        <f t="shared" si="281"/>
        <v>0</v>
      </c>
      <c r="M3233" s="33">
        <f t="shared" si="277"/>
        <v>0</v>
      </c>
      <c r="N3233" s="33"/>
    </row>
    <row r="3234" spans="7:14" ht="16.5" customHeight="1">
      <c r="G3234" s="30">
        <f t="shared" si="278"/>
        <v>0</v>
      </c>
      <c r="H3234" s="31">
        <f t="shared" si="279"/>
        <v>0</v>
      </c>
      <c r="I3234" s="31">
        <f t="shared" si="280"/>
        <v>0</v>
      </c>
      <c r="J3234" s="31">
        <f t="shared" si="281"/>
        <v>0</v>
      </c>
      <c r="M3234" s="33">
        <f t="shared" si="277"/>
        <v>0</v>
      </c>
      <c r="N3234" s="33"/>
    </row>
    <row r="3235" spans="7:14" ht="16.5" customHeight="1">
      <c r="G3235" s="30">
        <f t="shared" si="278"/>
        <v>0</v>
      </c>
      <c r="H3235" s="31">
        <f t="shared" si="279"/>
        <v>0</v>
      </c>
      <c r="I3235" s="31">
        <f t="shared" si="280"/>
        <v>0</v>
      </c>
      <c r="J3235" s="31">
        <f t="shared" si="281"/>
        <v>0</v>
      </c>
      <c r="M3235" s="33">
        <f t="shared" si="277"/>
        <v>0</v>
      </c>
      <c r="N3235" s="33"/>
    </row>
    <row r="3236" spans="7:14" ht="16.5" customHeight="1">
      <c r="G3236" s="30">
        <f t="shared" si="278"/>
        <v>0</v>
      </c>
      <c r="H3236" s="31">
        <f t="shared" si="279"/>
        <v>0</v>
      </c>
      <c r="I3236" s="31">
        <f t="shared" si="280"/>
        <v>0</v>
      </c>
      <c r="J3236" s="31">
        <f t="shared" si="281"/>
        <v>0</v>
      </c>
      <c r="M3236" s="33">
        <f t="shared" si="277"/>
        <v>0</v>
      </c>
      <c r="N3236" s="33"/>
    </row>
    <row r="3237" spans="7:14" ht="16.5" customHeight="1">
      <c r="G3237" s="30">
        <f t="shared" si="278"/>
        <v>0</v>
      </c>
      <c r="H3237" s="31">
        <f t="shared" si="279"/>
        <v>0</v>
      </c>
      <c r="I3237" s="31">
        <f t="shared" si="280"/>
        <v>0</v>
      </c>
      <c r="J3237" s="31">
        <f t="shared" si="281"/>
        <v>0</v>
      </c>
      <c r="M3237" s="33">
        <f t="shared" si="277"/>
        <v>0</v>
      </c>
      <c r="N3237" s="33"/>
    </row>
    <row r="3238" spans="7:14" ht="16.5" customHeight="1">
      <c r="G3238" s="30">
        <f t="shared" si="278"/>
        <v>0</v>
      </c>
      <c r="H3238" s="31">
        <f t="shared" si="279"/>
        <v>0</v>
      </c>
      <c r="I3238" s="31">
        <f t="shared" si="280"/>
        <v>0</v>
      </c>
      <c r="J3238" s="31">
        <f t="shared" si="281"/>
        <v>0</v>
      </c>
      <c r="M3238" s="33">
        <f t="shared" si="277"/>
        <v>0</v>
      </c>
      <c r="N3238" s="33"/>
    </row>
    <row r="3239" spans="7:14" ht="16.5" customHeight="1">
      <c r="G3239" s="30">
        <f t="shared" si="278"/>
        <v>0</v>
      </c>
      <c r="H3239" s="31">
        <f t="shared" si="279"/>
        <v>0</v>
      </c>
      <c r="I3239" s="31">
        <f t="shared" si="280"/>
        <v>0</v>
      </c>
      <c r="J3239" s="31">
        <f t="shared" si="281"/>
        <v>0</v>
      </c>
      <c r="M3239" s="33">
        <f t="shared" si="277"/>
        <v>0</v>
      </c>
      <c r="N3239" s="33"/>
    </row>
    <row r="3240" spans="7:14" ht="16.5" customHeight="1">
      <c r="G3240" s="30">
        <f t="shared" si="278"/>
        <v>0</v>
      </c>
      <c r="H3240" s="31">
        <f t="shared" si="279"/>
        <v>0</v>
      </c>
      <c r="I3240" s="31">
        <f t="shared" si="280"/>
        <v>0</v>
      </c>
      <c r="J3240" s="31">
        <f t="shared" si="281"/>
        <v>0</v>
      </c>
      <c r="M3240" s="33">
        <f t="shared" si="277"/>
        <v>0</v>
      </c>
      <c r="N3240" s="33"/>
    </row>
    <row r="3241" spans="7:14" ht="16.5" customHeight="1">
      <c r="G3241" s="30">
        <f t="shared" si="278"/>
        <v>0</v>
      </c>
      <c r="H3241" s="31">
        <f t="shared" si="279"/>
        <v>0</v>
      </c>
      <c r="I3241" s="31">
        <f t="shared" si="280"/>
        <v>0</v>
      </c>
      <c r="J3241" s="31">
        <f t="shared" si="281"/>
        <v>0</v>
      </c>
      <c r="M3241" s="33">
        <f t="shared" si="277"/>
        <v>0</v>
      </c>
      <c r="N3241" s="33"/>
    </row>
    <row r="3242" spans="7:14" ht="16.5" customHeight="1">
      <c r="G3242" s="30">
        <f t="shared" si="278"/>
        <v>0</v>
      </c>
      <c r="H3242" s="31">
        <f t="shared" si="279"/>
        <v>0</v>
      </c>
      <c r="I3242" s="31">
        <f t="shared" si="280"/>
        <v>0</v>
      </c>
      <c r="J3242" s="31">
        <f t="shared" si="281"/>
        <v>0</v>
      </c>
      <c r="M3242" s="33">
        <f t="shared" si="277"/>
        <v>0</v>
      </c>
      <c r="N3242" s="33"/>
    </row>
    <row r="3243" spans="7:14" ht="16.5" customHeight="1">
      <c r="G3243" s="30">
        <f t="shared" si="278"/>
        <v>0</v>
      </c>
      <c r="H3243" s="31">
        <f t="shared" si="279"/>
        <v>0</v>
      </c>
      <c r="I3243" s="31">
        <f t="shared" si="280"/>
        <v>0</v>
      </c>
      <c r="J3243" s="31">
        <f t="shared" si="281"/>
        <v>0</v>
      </c>
      <c r="M3243" s="33">
        <f t="shared" si="277"/>
        <v>0</v>
      </c>
      <c r="N3243" s="33"/>
    </row>
    <row r="3244" spans="7:14" ht="16.5" customHeight="1">
      <c r="G3244" s="30">
        <f t="shared" si="278"/>
        <v>0</v>
      </c>
      <c r="H3244" s="31">
        <f t="shared" si="279"/>
        <v>0</v>
      </c>
      <c r="I3244" s="31">
        <f t="shared" si="280"/>
        <v>0</v>
      </c>
      <c r="J3244" s="31">
        <f t="shared" si="281"/>
        <v>0</v>
      </c>
      <c r="M3244" s="33">
        <f t="shared" si="277"/>
        <v>0</v>
      </c>
      <c r="N3244" s="33"/>
    </row>
    <row r="3245" spans="7:14" ht="16.5" customHeight="1">
      <c r="G3245" s="30">
        <f t="shared" si="278"/>
        <v>0</v>
      </c>
      <c r="H3245" s="31">
        <f t="shared" si="279"/>
        <v>0</v>
      </c>
      <c r="I3245" s="31">
        <f t="shared" si="280"/>
        <v>0</v>
      </c>
      <c r="J3245" s="31">
        <f t="shared" si="281"/>
        <v>0</v>
      </c>
      <c r="M3245" s="33">
        <f t="shared" si="277"/>
        <v>0</v>
      </c>
      <c r="N3245" s="33"/>
    </row>
    <row r="3246" spans="7:14" ht="16.5" customHeight="1">
      <c r="G3246" s="30">
        <f t="shared" si="278"/>
        <v>0</v>
      </c>
      <c r="H3246" s="31">
        <f t="shared" si="279"/>
        <v>0</v>
      </c>
      <c r="I3246" s="31">
        <f t="shared" si="280"/>
        <v>0</v>
      </c>
      <c r="J3246" s="31">
        <f t="shared" si="281"/>
        <v>0</v>
      </c>
      <c r="M3246" s="33">
        <f t="shared" si="277"/>
        <v>0</v>
      </c>
      <c r="N3246" s="33"/>
    </row>
    <row r="3247" spans="7:14" ht="16.5" customHeight="1">
      <c r="G3247" s="30">
        <f t="shared" si="278"/>
        <v>0</v>
      </c>
      <c r="H3247" s="31">
        <f t="shared" si="279"/>
        <v>0</v>
      </c>
      <c r="I3247" s="31">
        <f t="shared" si="280"/>
        <v>0</v>
      </c>
      <c r="J3247" s="31">
        <f t="shared" si="281"/>
        <v>0</v>
      </c>
      <c r="M3247" s="33">
        <f t="shared" si="277"/>
        <v>0</v>
      </c>
      <c r="N3247" s="33"/>
    </row>
    <row r="3248" spans="7:14" ht="16.5" customHeight="1">
      <c r="G3248" s="30">
        <f t="shared" si="278"/>
        <v>0</v>
      </c>
      <c r="H3248" s="31">
        <f t="shared" si="279"/>
        <v>0</v>
      </c>
      <c r="I3248" s="31">
        <f t="shared" si="280"/>
        <v>0</v>
      </c>
      <c r="J3248" s="31">
        <f t="shared" si="281"/>
        <v>0</v>
      </c>
      <c r="M3248" s="33">
        <f t="shared" si="277"/>
        <v>0</v>
      </c>
      <c r="N3248" s="33"/>
    </row>
    <row r="3249" spans="7:14" ht="16.5" customHeight="1">
      <c r="G3249" s="30">
        <f t="shared" si="278"/>
        <v>0</v>
      </c>
      <c r="H3249" s="31">
        <f t="shared" si="279"/>
        <v>0</v>
      </c>
      <c r="I3249" s="31">
        <f t="shared" si="280"/>
        <v>0</v>
      </c>
      <c r="J3249" s="31">
        <f t="shared" si="281"/>
        <v>0</v>
      </c>
      <c r="M3249" s="33">
        <f t="shared" si="277"/>
        <v>0</v>
      </c>
      <c r="N3249" s="33"/>
    </row>
    <row r="3250" spans="7:14" ht="16.5" customHeight="1">
      <c r="G3250" s="30">
        <f t="shared" si="278"/>
        <v>0</v>
      </c>
      <c r="H3250" s="31">
        <f t="shared" si="279"/>
        <v>0</v>
      </c>
      <c r="I3250" s="31">
        <f t="shared" si="280"/>
        <v>0</v>
      </c>
      <c r="J3250" s="31">
        <f t="shared" si="281"/>
        <v>0</v>
      </c>
      <c r="M3250" s="33">
        <f t="shared" si="277"/>
        <v>0</v>
      </c>
      <c r="N3250" s="33"/>
    </row>
    <row r="3251" spans="7:14" ht="16.5" customHeight="1">
      <c r="G3251" s="30">
        <f t="shared" si="278"/>
        <v>0</v>
      </c>
      <c r="H3251" s="31">
        <f t="shared" si="279"/>
        <v>0</v>
      </c>
      <c r="I3251" s="31">
        <f t="shared" si="280"/>
        <v>0</v>
      </c>
      <c r="J3251" s="31">
        <f t="shared" si="281"/>
        <v>0</v>
      </c>
      <c r="M3251" s="33">
        <f t="shared" si="277"/>
        <v>0</v>
      </c>
      <c r="N3251" s="33"/>
    </row>
    <row r="3252" spans="7:14" ht="16.5" customHeight="1">
      <c r="G3252" s="30">
        <f t="shared" si="278"/>
        <v>0</v>
      </c>
      <c r="H3252" s="31">
        <f t="shared" si="279"/>
        <v>0</v>
      </c>
      <c r="I3252" s="31">
        <f t="shared" si="280"/>
        <v>0</v>
      </c>
      <c r="J3252" s="31">
        <f t="shared" si="281"/>
        <v>0</v>
      </c>
      <c r="M3252" s="33">
        <f t="shared" si="277"/>
        <v>0</v>
      </c>
      <c r="N3252" s="33"/>
    </row>
    <row r="3253" spans="7:14" ht="16.5" customHeight="1">
      <c r="G3253" s="30">
        <f t="shared" si="278"/>
        <v>0</v>
      </c>
      <c r="H3253" s="31">
        <f t="shared" si="279"/>
        <v>0</v>
      </c>
      <c r="I3253" s="31">
        <f t="shared" si="280"/>
        <v>0</v>
      </c>
      <c r="J3253" s="31">
        <f t="shared" si="281"/>
        <v>0</v>
      </c>
      <c r="M3253" s="33">
        <f t="shared" si="277"/>
        <v>0</v>
      </c>
      <c r="N3253" s="33"/>
    </row>
    <row r="3254" spans="7:14" ht="16.5" customHeight="1">
      <c r="G3254" s="30">
        <f t="shared" si="278"/>
        <v>0</v>
      </c>
      <c r="H3254" s="31">
        <f t="shared" si="279"/>
        <v>0</v>
      </c>
      <c r="I3254" s="31">
        <f t="shared" si="280"/>
        <v>0</v>
      </c>
      <c r="J3254" s="31">
        <f t="shared" si="281"/>
        <v>0</v>
      </c>
      <c r="M3254" s="33">
        <f t="shared" si="277"/>
        <v>0</v>
      </c>
      <c r="N3254" s="33"/>
    </row>
    <row r="3255" spans="7:14" ht="16.5" customHeight="1">
      <c r="G3255" s="30">
        <f t="shared" si="278"/>
        <v>0</v>
      </c>
      <c r="H3255" s="31">
        <f t="shared" si="279"/>
        <v>0</v>
      </c>
      <c r="I3255" s="31">
        <f t="shared" si="280"/>
        <v>0</v>
      </c>
      <c r="J3255" s="31">
        <f t="shared" si="281"/>
        <v>0</v>
      </c>
      <c r="M3255" s="33">
        <f t="shared" si="277"/>
        <v>0</v>
      </c>
      <c r="N3255" s="33"/>
    </row>
    <row r="3256" spans="7:14" ht="16.5" customHeight="1">
      <c r="G3256" s="30">
        <f t="shared" si="278"/>
        <v>0</v>
      </c>
      <c r="H3256" s="31">
        <f t="shared" si="279"/>
        <v>0</v>
      </c>
      <c r="I3256" s="31">
        <f t="shared" si="280"/>
        <v>0</v>
      </c>
      <c r="J3256" s="31">
        <f t="shared" si="281"/>
        <v>0</v>
      </c>
      <c r="M3256" s="33">
        <f t="shared" si="277"/>
        <v>0</v>
      </c>
      <c r="N3256" s="33"/>
    </row>
    <row r="3257" spans="7:14" ht="16.5" customHeight="1">
      <c r="G3257" s="30">
        <f t="shared" si="278"/>
        <v>0</v>
      </c>
      <c r="H3257" s="31">
        <f t="shared" si="279"/>
        <v>0</v>
      </c>
      <c r="I3257" s="31">
        <f t="shared" si="280"/>
        <v>0</v>
      </c>
      <c r="J3257" s="31">
        <f t="shared" si="281"/>
        <v>0</v>
      </c>
      <c r="M3257" s="33">
        <f t="shared" si="277"/>
        <v>0</v>
      </c>
      <c r="N3257" s="33"/>
    </row>
    <row r="3258" spans="7:14" ht="16.5" customHeight="1">
      <c r="G3258" s="30">
        <f t="shared" si="278"/>
        <v>0</v>
      </c>
      <c r="H3258" s="31">
        <f t="shared" si="279"/>
        <v>0</v>
      </c>
      <c r="I3258" s="31">
        <f t="shared" si="280"/>
        <v>0</v>
      </c>
      <c r="J3258" s="31">
        <f t="shared" si="281"/>
        <v>0</v>
      </c>
      <c r="M3258" s="33">
        <f t="shared" si="277"/>
        <v>0</v>
      </c>
      <c r="N3258" s="33"/>
    </row>
    <row r="3259" spans="7:14" ht="16.5" customHeight="1">
      <c r="G3259" s="30">
        <f t="shared" si="278"/>
        <v>0</v>
      </c>
      <c r="H3259" s="31">
        <f t="shared" si="279"/>
        <v>0</v>
      </c>
      <c r="I3259" s="31">
        <f t="shared" si="280"/>
        <v>0</v>
      </c>
      <c r="J3259" s="31">
        <f t="shared" si="281"/>
        <v>0</v>
      </c>
      <c r="M3259" s="33">
        <f t="shared" si="277"/>
        <v>0</v>
      </c>
      <c r="N3259" s="33"/>
    </row>
    <row r="3260" spans="7:14" ht="16.5" customHeight="1">
      <c r="G3260" s="30">
        <f t="shared" si="278"/>
        <v>0</v>
      </c>
      <c r="H3260" s="31">
        <f t="shared" si="279"/>
        <v>0</v>
      </c>
      <c r="I3260" s="31">
        <f t="shared" si="280"/>
        <v>0</v>
      </c>
      <c r="J3260" s="31">
        <f t="shared" si="281"/>
        <v>0</v>
      </c>
      <c r="M3260" s="33">
        <f t="shared" si="277"/>
        <v>0</v>
      </c>
      <c r="N3260" s="33"/>
    </row>
    <row r="3261" spans="7:14" ht="16.5" customHeight="1">
      <c r="G3261" s="30">
        <f t="shared" si="278"/>
        <v>0</v>
      </c>
      <c r="H3261" s="31">
        <f t="shared" si="279"/>
        <v>0</v>
      </c>
      <c r="I3261" s="31">
        <f t="shared" si="280"/>
        <v>0</v>
      </c>
      <c r="J3261" s="31">
        <f t="shared" si="281"/>
        <v>0</v>
      </c>
      <c r="M3261" s="33">
        <f t="shared" si="277"/>
        <v>0</v>
      </c>
      <c r="N3261" s="33"/>
    </row>
    <row r="3262" spans="7:14" ht="16.5" customHeight="1">
      <c r="G3262" s="30">
        <f t="shared" si="278"/>
        <v>0</v>
      </c>
      <c r="H3262" s="31">
        <f t="shared" si="279"/>
        <v>0</v>
      </c>
      <c r="I3262" s="31">
        <f t="shared" si="280"/>
        <v>0</v>
      </c>
      <c r="J3262" s="31">
        <f t="shared" si="281"/>
        <v>0</v>
      </c>
      <c r="M3262" s="33">
        <f t="shared" ref="M3262:M3325" si="282">IF(P3262="TL tuyệt đối",0, IF(K3262&lt;5,0,IF(K3262&lt;50,K3262*9%,IF(K3262&lt;100,4.5,IF(K3262&lt;200,4.5%*K3262,IF(K3262&lt;300,9,IF(K3262&lt;500,K3262*3%,IF(K3262&lt;1000,15,))))))))</f>
        <v>0</v>
      </c>
      <c r="N3262" s="33"/>
    </row>
    <row r="3263" spans="7:14" ht="16.5" customHeight="1">
      <c r="G3263" s="30">
        <f t="shared" si="278"/>
        <v>0</v>
      </c>
      <c r="H3263" s="31">
        <f t="shared" si="279"/>
        <v>0</v>
      </c>
      <c r="I3263" s="31">
        <f t="shared" si="280"/>
        <v>0</v>
      </c>
      <c r="J3263" s="31">
        <f t="shared" si="281"/>
        <v>0</v>
      </c>
      <c r="M3263" s="33">
        <f t="shared" si="282"/>
        <v>0</v>
      </c>
      <c r="N3263" s="33"/>
    </row>
    <row r="3264" spans="7:14" ht="16.5" customHeight="1">
      <c r="G3264" s="30">
        <f t="shared" ref="G3264:G3327" si="283">IF(P3264="TL tuyệt đối",K3264*103%,K3264+1/3*M3264)</f>
        <v>0</v>
      </c>
      <c r="H3264" s="31">
        <f t="shared" ref="H3264:H3327" si="284">IF(P3264="TL tuyệt đối",K3264*101%,K3264-1/3*M3264)</f>
        <v>0</v>
      </c>
      <c r="I3264" s="31">
        <f t="shared" ref="I3264:I3327" si="285">IF(P3264="TL tuyệt đối", K3264*105%,K3264+M3264)</f>
        <v>0</v>
      </c>
      <c r="J3264" s="31">
        <f t="shared" si="281"/>
        <v>0</v>
      </c>
      <c r="M3264" s="33">
        <f t="shared" si="282"/>
        <v>0</v>
      </c>
      <c r="N3264" s="33"/>
    </row>
    <row r="3265" spans="7:14" ht="16.5" customHeight="1">
      <c r="G3265" s="30">
        <f t="shared" si="283"/>
        <v>0</v>
      </c>
      <c r="H3265" s="31">
        <f t="shared" si="284"/>
        <v>0</v>
      </c>
      <c r="I3265" s="31">
        <f t="shared" si="285"/>
        <v>0</v>
      </c>
      <c r="J3265" s="31">
        <f t="shared" si="281"/>
        <v>0</v>
      </c>
      <c r="M3265" s="33">
        <f t="shared" si="282"/>
        <v>0</v>
      </c>
      <c r="N3265" s="33"/>
    </row>
    <row r="3266" spans="7:14" ht="16.5" customHeight="1">
      <c r="G3266" s="30">
        <f t="shared" si="283"/>
        <v>0</v>
      </c>
      <c r="H3266" s="31">
        <f t="shared" si="284"/>
        <v>0</v>
      </c>
      <c r="I3266" s="31">
        <f t="shared" si="285"/>
        <v>0</v>
      </c>
      <c r="J3266" s="31">
        <f t="shared" si="281"/>
        <v>0</v>
      </c>
      <c r="M3266" s="33">
        <f t="shared" si="282"/>
        <v>0</v>
      </c>
      <c r="N3266" s="33"/>
    </row>
    <row r="3267" spans="7:14" ht="16.5" customHeight="1">
      <c r="G3267" s="30">
        <f t="shared" si="283"/>
        <v>0</v>
      </c>
      <c r="H3267" s="31">
        <f t="shared" si="284"/>
        <v>0</v>
      </c>
      <c r="I3267" s="31">
        <f t="shared" si="285"/>
        <v>0</v>
      </c>
      <c r="J3267" s="31">
        <f t="shared" si="281"/>
        <v>0</v>
      </c>
      <c r="M3267" s="33">
        <f t="shared" si="282"/>
        <v>0</v>
      </c>
      <c r="N3267" s="33"/>
    </row>
    <row r="3268" spans="7:14" ht="16.5" customHeight="1">
      <c r="G3268" s="30">
        <f t="shared" si="283"/>
        <v>0</v>
      </c>
      <c r="H3268" s="31">
        <f t="shared" si="284"/>
        <v>0</v>
      </c>
      <c r="I3268" s="31">
        <f t="shared" si="285"/>
        <v>0</v>
      </c>
      <c r="J3268" s="31">
        <f t="shared" ref="J3268:J3331" si="286">K3268-M3268</f>
        <v>0</v>
      </c>
      <c r="M3268" s="33">
        <f t="shared" si="282"/>
        <v>0</v>
      </c>
      <c r="N3268" s="33"/>
    </row>
    <row r="3269" spans="7:14" ht="16.5" customHeight="1">
      <c r="G3269" s="30">
        <f t="shared" si="283"/>
        <v>0</v>
      </c>
      <c r="H3269" s="31">
        <f t="shared" si="284"/>
        <v>0</v>
      </c>
      <c r="I3269" s="31">
        <f t="shared" si="285"/>
        <v>0</v>
      </c>
      <c r="J3269" s="31">
        <f t="shared" si="286"/>
        <v>0</v>
      </c>
      <c r="M3269" s="33">
        <f t="shared" si="282"/>
        <v>0</v>
      </c>
      <c r="N3269" s="33"/>
    </row>
    <row r="3270" spans="7:14" ht="16.5" customHeight="1">
      <c r="G3270" s="30">
        <f t="shared" si="283"/>
        <v>0</v>
      </c>
      <c r="H3270" s="31">
        <f t="shared" si="284"/>
        <v>0</v>
      </c>
      <c r="I3270" s="31">
        <f t="shared" si="285"/>
        <v>0</v>
      </c>
      <c r="J3270" s="31">
        <f t="shared" si="286"/>
        <v>0</v>
      </c>
      <c r="M3270" s="33">
        <f t="shared" si="282"/>
        <v>0</v>
      </c>
      <c r="N3270" s="33"/>
    </row>
    <row r="3271" spans="7:14" ht="16.5" customHeight="1">
      <c r="G3271" s="30">
        <f t="shared" si="283"/>
        <v>0</v>
      </c>
      <c r="H3271" s="31">
        <f t="shared" si="284"/>
        <v>0</v>
      </c>
      <c r="I3271" s="31">
        <f t="shared" si="285"/>
        <v>0</v>
      </c>
      <c r="J3271" s="31">
        <f t="shared" si="286"/>
        <v>0</v>
      </c>
      <c r="M3271" s="33">
        <f t="shared" si="282"/>
        <v>0</v>
      </c>
      <c r="N3271" s="33"/>
    </row>
    <row r="3272" spans="7:14" ht="16.5" customHeight="1">
      <c r="G3272" s="30">
        <f t="shared" si="283"/>
        <v>0</v>
      </c>
      <c r="H3272" s="31">
        <f t="shared" si="284"/>
        <v>0</v>
      </c>
      <c r="I3272" s="31">
        <f t="shared" si="285"/>
        <v>0</v>
      </c>
      <c r="J3272" s="31">
        <f t="shared" si="286"/>
        <v>0</v>
      </c>
      <c r="M3272" s="33">
        <f t="shared" si="282"/>
        <v>0</v>
      </c>
      <c r="N3272" s="33"/>
    </row>
    <row r="3273" spans="7:14" ht="16.5" customHeight="1">
      <c r="G3273" s="30">
        <f t="shared" si="283"/>
        <v>0</v>
      </c>
      <c r="H3273" s="31">
        <f t="shared" si="284"/>
        <v>0</v>
      </c>
      <c r="I3273" s="31">
        <f t="shared" si="285"/>
        <v>0</v>
      </c>
      <c r="J3273" s="31">
        <f t="shared" si="286"/>
        <v>0</v>
      </c>
      <c r="M3273" s="33">
        <f t="shared" si="282"/>
        <v>0</v>
      </c>
      <c r="N3273" s="33"/>
    </row>
    <row r="3274" spans="7:14" ht="16.5" customHeight="1">
      <c r="G3274" s="30">
        <f t="shared" si="283"/>
        <v>0</v>
      </c>
      <c r="H3274" s="31">
        <f t="shared" si="284"/>
        <v>0</v>
      </c>
      <c r="I3274" s="31">
        <f t="shared" si="285"/>
        <v>0</v>
      </c>
      <c r="J3274" s="31">
        <f t="shared" si="286"/>
        <v>0</v>
      </c>
      <c r="M3274" s="33">
        <f t="shared" si="282"/>
        <v>0</v>
      </c>
      <c r="N3274" s="33"/>
    </row>
    <row r="3275" spans="7:14" ht="16.5" customHeight="1">
      <c r="G3275" s="30">
        <f t="shared" si="283"/>
        <v>0</v>
      </c>
      <c r="H3275" s="31">
        <f t="shared" si="284"/>
        <v>0</v>
      </c>
      <c r="I3275" s="31">
        <f t="shared" si="285"/>
        <v>0</v>
      </c>
      <c r="J3275" s="31">
        <f t="shared" si="286"/>
        <v>0</v>
      </c>
      <c r="M3275" s="33">
        <f t="shared" si="282"/>
        <v>0</v>
      </c>
      <c r="N3275" s="33"/>
    </row>
    <row r="3276" spans="7:14" ht="16.5" customHeight="1">
      <c r="G3276" s="30">
        <f t="shared" si="283"/>
        <v>0</v>
      </c>
      <c r="H3276" s="31">
        <f t="shared" si="284"/>
        <v>0</v>
      </c>
      <c r="I3276" s="31">
        <f t="shared" si="285"/>
        <v>0</v>
      </c>
      <c r="J3276" s="31">
        <f t="shared" si="286"/>
        <v>0</v>
      </c>
      <c r="M3276" s="33">
        <f t="shared" si="282"/>
        <v>0</v>
      </c>
      <c r="N3276" s="33"/>
    </row>
    <row r="3277" spans="7:14" ht="16.5" customHeight="1">
      <c r="G3277" s="30">
        <f t="shared" si="283"/>
        <v>0</v>
      </c>
      <c r="H3277" s="31">
        <f t="shared" si="284"/>
        <v>0</v>
      </c>
      <c r="I3277" s="31">
        <f t="shared" si="285"/>
        <v>0</v>
      </c>
      <c r="J3277" s="31">
        <f t="shared" si="286"/>
        <v>0</v>
      </c>
      <c r="M3277" s="33">
        <f t="shared" si="282"/>
        <v>0</v>
      </c>
      <c r="N3277" s="33"/>
    </row>
    <row r="3278" spans="7:14" ht="16.5" customHeight="1">
      <c r="G3278" s="30">
        <f t="shared" si="283"/>
        <v>0</v>
      </c>
      <c r="H3278" s="31">
        <f t="shared" si="284"/>
        <v>0</v>
      </c>
      <c r="I3278" s="31">
        <f t="shared" si="285"/>
        <v>0</v>
      </c>
      <c r="J3278" s="31">
        <f t="shared" si="286"/>
        <v>0</v>
      </c>
      <c r="M3278" s="33">
        <f t="shared" si="282"/>
        <v>0</v>
      </c>
      <c r="N3278" s="33"/>
    </row>
    <row r="3279" spans="7:14" ht="16.5" customHeight="1">
      <c r="G3279" s="30">
        <f t="shared" si="283"/>
        <v>0</v>
      </c>
      <c r="H3279" s="31">
        <f t="shared" si="284"/>
        <v>0</v>
      </c>
      <c r="I3279" s="31">
        <f t="shared" si="285"/>
        <v>0</v>
      </c>
      <c r="J3279" s="31">
        <f t="shared" si="286"/>
        <v>0</v>
      </c>
      <c r="M3279" s="33">
        <f t="shared" si="282"/>
        <v>0</v>
      </c>
      <c r="N3279" s="33"/>
    </row>
    <row r="3280" spans="7:14" ht="16.5" customHeight="1">
      <c r="G3280" s="30">
        <f t="shared" si="283"/>
        <v>0</v>
      </c>
      <c r="H3280" s="31">
        <f t="shared" si="284"/>
        <v>0</v>
      </c>
      <c r="I3280" s="31">
        <f t="shared" si="285"/>
        <v>0</v>
      </c>
      <c r="J3280" s="31">
        <f t="shared" si="286"/>
        <v>0</v>
      </c>
      <c r="M3280" s="33">
        <f t="shared" si="282"/>
        <v>0</v>
      </c>
      <c r="N3280" s="33"/>
    </row>
    <row r="3281" spans="7:14" ht="16.5" customHeight="1">
      <c r="G3281" s="30">
        <f t="shared" si="283"/>
        <v>0</v>
      </c>
      <c r="H3281" s="31">
        <f t="shared" si="284"/>
        <v>0</v>
      </c>
      <c r="I3281" s="31">
        <f t="shared" si="285"/>
        <v>0</v>
      </c>
      <c r="J3281" s="31">
        <f t="shared" si="286"/>
        <v>0</v>
      </c>
      <c r="M3281" s="33">
        <f t="shared" si="282"/>
        <v>0</v>
      </c>
      <c r="N3281" s="33"/>
    </row>
    <row r="3282" spans="7:14" ht="16.5" customHeight="1">
      <c r="G3282" s="30">
        <f t="shared" si="283"/>
        <v>0</v>
      </c>
      <c r="H3282" s="31">
        <f t="shared" si="284"/>
        <v>0</v>
      </c>
      <c r="I3282" s="31">
        <f t="shared" si="285"/>
        <v>0</v>
      </c>
      <c r="J3282" s="31">
        <f t="shared" si="286"/>
        <v>0</v>
      </c>
      <c r="M3282" s="33">
        <f t="shared" si="282"/>
        <v>0</v>
      </c>
      <c r="N3282" s="33"/>
    </row>
    <row r="3283" spans="7:14" ht="16.5" customHeight="1">
      <c r="G3283" s="30">
        <f t="shared" si="283"/>
        <v>0</v>
      </c>
      <c r="H3283" s="31">
        <f t="shared" si="284"/>
        <v>0</v>
      </c>
      <c r="I3283" s="31">
        <f t="shared" si="285"/>
        <v>0</v>
      </c>
      <c r="J3283" s="31">
        <f t="shared" si="286"/>
        <v>0</v>
      </c>
      <c r="M3283" s="33">
        <f t="shared" si="282"/>
        <v>0</v>
      </c>
      <c r="N3283" s="33"/>
    </row>
    <row r="3284" spans="7:14" ht="16.5" customHeight="1">
      <c r="G3284" s="30">
        <f t="shared" si="283"/>
        <v>0</v>
      </c>
      <c r="H3284" s="31">
        <f t="shared" si="284"/>
        <v>0</v>
      </c>
      <c r="I3284" s="31">
        <f t="shared" si="285"/>
        <v>0</v>
      </c>
      <c r="J3284" s="31">
        <f t="shared" si="286"/>
        <v>0</v>
      </c>
      <c r="M3284" s="33">
        <f t="shared" si="282"/>
        <v>0</v>
      </c>
      <c r="N3284" s="33"/>
    </row>
    <row r="3285" spans="7:14" ht="16.5" customHeight="1">
      <c r="G3285" s="30">
        <f t="shared" si="283"/>
        <v>0</v>
      </c>
      <c r="H3285" s="31">
        <f t="shared" si="284"/>
        <v>0</v>
      </c>
      <c r="I3285" s="31">
        <f t="shared" si="285"/>
        <v>0</v>
      </c>
      <c r="J3285" s="31">
        <f t="shared" si="286"/>
        <v>0</v>
      </c>
      <c r="M3285" s="33">
        <f t="shared" si="282"/>
        <v>0</v>
      </c>
      <c r="N3285" s="33"/>
    </row>
    <row r="3286" spans="7:14" ht="16.5" customHeight="1">
      <c r="G3286" s="30">
        <f t="shared" si="283"/>
        <v>0</v>
      </c>
      <c r="H3286" s="31">
        <f t="shared" si="284"/>
        <v>0</v>
      </c>
      <c r="I3286" s="31">
        <f t="shared" si="285"/>
        <v>0</v>
      </c>
      <c r="J3286" s="31">
        <f t="shared" si="286"/>
        <v>0</v>
      </c>
      <c r="M3286" s="33">
        <f t="shared" si="282"/>
        <v>0</v>
      </c>
      <c r="N3286" s="33"/>
    </row>
    <row r="3287" spans="7:14" ht="16.5" customHeight="1">
      <c r="G3287" s="30">
        <f t="shared" si="283"/>
        <v>0</v>
      </c>
      <c r="H3287" s="31">
        <f t="shared" si="284"/>
        <v>0</v>
      </c>
      <c r="I3287" s="31">
        <f t="shared" si="285"/>
        <v>0</v>
      </c>
      <c r="J3287" s="31">
        <f t="shared" si="286"/>
        <v>0</v>
      </c>
      <c r="M3287" s="33">
        <f t="shared" si="282"/>
        <v>0</v>
      </c>
      <c r="N3287" s="33"/>
    </row>
    <row r="3288" spans="7:14" ht="16.5" customHeight="1">
      <c r="G3288" s="30">
        <f t="shared" si="283"/>
        <v>0</v>
      </c>
      <c r="H3288" s="31">
        <f t="shared" si="284"/>
        <v>0</v>
      </c>
      <c r="I3288" s="31">
        <f t="shared" si="285"/>
        <v>0</v>
      </c>
      <c r="J3288" s="31">
        <f t="shared" si="286"/>
        <v>0</v>
      </c>
      <c r="M3288" s="33">
        <f t="shared" si="282"/>
        <v>0</v>
      </c>
      <c r="N3288" s="33"/>
    </row>
    <row r="3289" spans="7:14" ht="16.5" customHeight="1">
      <c r="G3289" s="30">
        <f t="shared" si="283"/>
        <v>0</v>
      </c>
      <c r="H3289" s="31">
        <f t="shared" si="284"/>
        <v>0</v>
      </c>
      <c r="I3289" s="31">
        <f t="shared" si="285"/>
        <v>0</v>
      </c>
      <c r="J3289" s="31">
        <f t="shared" si="286"/>
        <v>0</v>
      </c>
      <c r="M3289" s="33">
        <f t="shared" si="282"/>
        <v>0</v>
      </c>
      <c r="N3289" s="33"/>
    </row>
    <row r="3290" spans="7:14" ht="16.5" customHeight="1">
      <c r="G3290" s="30">
        <f t="shared" si="283"/>
        <v>0</v>
      </c>
      <c r="H3290" s="31">
        <f t="shared" si="284"/>
        <v>0</v>
      </c>
      <c r="I3290" s="31">
        <f t="shared" si="285"/>
        <v>0</v>
      </c>
      <c r="J3290" s="31">
        <f t="shared" si="286"/>
        <v>0</v>
      </c>
      <c r="M3290" s="33">
        <f t="shared" si="282"/>
        <v>0</v>
      </c>
      <c r="N3290" s="33"/>
    </row>
    <row r="3291" spans="7:14" ht="16.5" customHeight="1">
      <c r="G3291" s="30">
        <f t="shared" si="283"/>
        <v>0</v>
      </c>
      <c r="H3291" s="31">
        <f t="shared" si="284"/>
        <v>0</v>
      </c>
      <c r="I3291" s="31">
        <f t="shared" si="285"/>
        <v>0</v>
      </c>
      <c r="J3291" s="31">
        <f t="shared" si="286"/>
        <v>0</v>
      </c>
      <c r="M3291" s="33">
        <f t="shared" si="282"/>
        <v>0</v>
      </c>
      <c r="N3291" s="33"/>
    </row>
    <row r="3292" spans="7:14" ht="16.5" customHeight="1">
      <c r="G3292" s="30">
        <f t="shared" si="283"/>
        <v>0</v>
      </c>
      <c r="H3292" s="31">
        <f t="shared" si="284"/>
        <v>0</v>
      </c>
      <c r="I3292" s="31">
        <f t="shared" si="285"/>
        <v>0</v>
      </c>
      <c r="J3292" s="31">
        <f t="shared" si="286"/>
        <v>0</v>
      </c>
      <c r="M3292" s="33">
        <f t="shared" si="282"/>
        <v>0</v>
      </c>
      <c r="N3292" s="33"/>
    </row>
    <row r="3293" spans="7:14" ht="16.5" customHeight="1">
      <c r="G3293" s="30">
        <f t="shared" si="283"/>
        <v>0</v>
      </c>
      <c r="H3293" s="31">
        <f t="shared" si="284"/>
        <v>0</v>
      </c>
      <c r="I3293" s="31">
        <f t="shared" si="285"/>
        <v>0</v>
      </c>
      <c r="J3293" s="31">
        <f t="shared" si="286"/>
        <v>0</v>
      </c>
      <c r="M3293" s="33">
        <f t="shared" si="282"/>
        <v>0</v>
      </c>
      <c r="N3293" s="33"/>
    </row>
    <row r="3294" spans="7:14" ht="16.5" customHeight="1">
      <c r="G3294" s="30">
        <f t="shared" si="283"/>
        <v>0</v>
      </c>
      <c r="H3294" s="31">
        <f t="shared" si="284"/>
        <v>0</v>
      </c>
      <c r="I3294" s="31">
        <f t="shared" si="285"/>
        <v>0</v>
      </c>
      <c r="J3294" s="31">
        <f t="shared" si="286"/>
        <v>0</v>
      </c>
      <c r="M3294" s="33">
        <f t="shared" si="282"/>
        <v>0</v>
      </c>
      <c r="N3294" s="33"/>
    </row>
    <row r="3295" spans="7:14" ht="16.5" customHeight="1">
      <c r="G3295" s="30">
        <f t="shared" si="283"/>
        <v>0</v>
      </c>
      <c r="H3295" s="31">
        <f t="shared" si="284"/>
        <v>0</v>
      </c>
      <c r="I3295" s="31">
        <f t="shared" si="285"/>
        <v>0</v>
      </c>
      <c r="J3295" s="31">
        <f t="shared" si="286"/>
        <v>0</v>
      </c>
      <c r="M3295" s="33">
        <f t="shared" si="282"/>
        <v>0</v>
      </c>
      <c r="N3295" s="33"/>
    </row>
    <row r="3296" spans="7:14" ht="16.5" customHeight="1">
      <c r="G3296" s="30">
        <f t="shared" si="283"/>
        <v>0</v>
      </c>
      <c r="H3296" s="31">
        <f t="shared" si="284"/>
        <v>0</v>
      </c>
      <c r="I3296" s="31">
        <f t="shared" si="285"/>
        <v>0</v>
      </c>
      <c r="J3296" s="31">
        <f t="shared" si="286"/>
        <v>0</v>
      </c>
      <c r="M3296" s="33">
        <f t="shared" si="282"/>
        <v>0</v>
      </c>
      <c r="N3296" s="33"/>
    </row>
    <row r="3297" spans="7:14" ht="16.5" customHeight="1">
      <c r="G3297" s="30">
        <f t="shared" si="283"/>
        <v>0</v>
      </c>
      <c r="H3297" s="31">
        <f t="shared" si="284"/>
        <v>0</v>
      </c>
      <c r="I3297" s="31">
        <f t="shared" si="285"/>
        <v>0</v>
      </c>
      <c r="J3297" s="31">
        <f t="shared" si="286"/>
        <v>0</v>
      </c>
      <c r="M3297" s="33">
        <f t="shared" si="282"/>
        <v>0</v>
      </c>
      <c r="N3297" s="33"/>
    </row>
    <row r="3298" spans="7:14" ht="16.5" customHeight="1">
      <c r="G3298" s="30">
        <f t="shared" si="283"/>
        <v>0</v>
      </c>
      <c r="H3298" s="31">
        <f t="shared" si="284"/>
        <v>0</v>
      </c>
      <c r="I3298" s="31">
        <f t="shared" si="285"/>
        <v>0</v>
      </c>
      <c r="J3298" s="31">
        <f t="shared" si="286"/>
        <v>0</v>
      </c>
      <c r="M3298" s="33">
        <f t="shared" si="282"/>
        <v>0</v>
      </c>
      <c r="N3298" s="33"/>
    </row>
    <row r="3299" spans="7:14" ht="16.5" customHeight="1">
      <c r="G3299" s="30">
        <f t="shared" si="283"/>
        <v>0</v>
      </c>
      <c r="H3299" s="31">
        <f t="shared" si="284"/>
        <v>0</v>
      </c>
      <c r="I3299" s="31">
        <f t="shared" si="285"/>
        <v>0</v>
      </c>
      <c r="J3299" s="31">
        <f t="shared" si="286"/>
        <v>0</v>
      </c>
      <c r="M3299" s="33">
        <f t="shared" si="282"/>
        <v>0</v>
      </c>
      <c r="N3299" s="33"/>
    </row>
    <row r="3300" spans="7:14" ht="16.5" customHeight="1">
      <c r="G3300" s="30">
        <f t="shared" si="283"/>
        <v>0</v>
      </c>
      <c r="H3300" s="31">
        <f t="shared" si="284"/>
        <v>0</v>
      </c>
      <c r="I3300" s="31">
        <f t="shared" si="285"/>
        <v>0</v>
      </c>
      <c r="J3300" s="31">
        <f t="shared" si="286"/>
        <v>0</v>
      </c>
      <c r="M3300" s="33">
        <f t="shared" si="282"/>
        <v>0</v>
      </c>
      <c r="N3300" s="33"/>
    </row>
    <row r="3301" spans="7:14" ht="16.5" customHeight="1">
      <c r="G3301" s="30">
        <f t="shared" si="283"/>
        <v>0</v>
      </c>
      <c r="H3301" s="31">
        <f t="shared" si="284"/>
        <v>0</v>
      </c>
      <c r="I3301" s="31">
        <f t="shared" si="285"/>
        <v>0</v>
      </c>
      <c r="J3301" s="31">
        <f t="shared" si="286"/>
        <v>0</v>
      </c>
      <c r="M3301" s="33">
        <f t="shared" si="282"/>
        <v>0</v>
      </c>
      <c r="N3301" s="33"/>
    </row>
    <row r="3302" spans="7:14" ht="16.5" customHeight="1">
      <c r="G3302" s="30">
        <f t="shared" si="283"/>
        <v>0</v>
      </c>
      <c r="H3302" s="31">
        <f t="shared" si="284"/>
        <v>0</v>
      </c>
      <c r="I3302" s="31">
        <f t="shared" si="285"/>
        <v>0</v>
      </c>
      <c r="J3302" s="31">
        <f t="shared" si="286"/>
        <v>0</v>
      </c>
      <c r="M3302" s="33">
        <f t="shared" si="282"/>
        <v>0</v>
      </c>
      <c r="N3302" s="33"/>
    </row>
    <row r="3303" spans="7:14" ht="16.5" customHeight="1">
      <c r="G3303" s="30">
        <f t="shared" si="283"/>
        <v>0</v>
      </c>
      <c r="H3303" s="31">
        <f t="shared" si="284"/>
        <v>0</v>
      </c>
      <c r="I3303" s="31">
        <f t="shared" si="285"/>
        <v>0</v>
      </c>
      <c r="J3303" s="31">
        <f t="shared" si="286"/>
        <v>0</v>
      </c>
      <c r="M3303" s="33">
        <f t="shared" si="282"/>
        <v>0</v>
      </c>
      <c r="N3303" s="33"/>
    </row>
    <row r="3304" spans="7:14" ht="16.5" customHeight="1">
      <c r="G3304" s="30">
        <f t="shared" si="283"/>
        <v>0</v>
      </c>
      <c r="H3304" s="31">
        <f t="shared" si="284"/>
        <v>0</v>
      </c>
      <c r="I3304" s="31">
        <f t="shared" si="285"/>
        <v>0</v>
      </c>
      <c r="J3304" s="31">
        <f t="shared" si="286"/>
        <v>0</v>
      </c>
      <c r="M3304" s="33">
        <f t="shared" si="282"/>
        <v>0</v>
      </c>
      <c r="N3304" s="33"/>
    </row>
    <row r="3305" spans="7:14" ht="16.5" customHeight="1">
      <c r="G3305" s="30">
        <f t="shared" si="283"/>
        <v>0</v>
      </c>
      <c r="H3305" s="31">
        <f t="shared" si="284"/>
        <v>0</v>
      </c>
      <c r="I3305" s="31">
        <f t="shared" si="285"/>
        <v>0</v>
      </c>
      <c r="J3305" s="31">
        <f t="shared" si="286"/>
        <v>0</v>
      </c>
      <c r="M3305" s="33">
        <f t="shared" si="282"/>
        <v>0</v>
      </c>
      <c r="N3305" s="33"/>
    </row>
    <row r="3306" spans="7:14" ht="16.5" customHeight="1">
      <c r="G3306" s="30">
        <f t="shared" si="283"/>
        <v>0</v>
      </c>
      <c r="H3306" s="31">
        <f t="shared" si="284"/>
        <v>0</v>
      </c>
      <c r="I3306" s="31">
        <f t="shared" si="285"/>
        <v>0</v>
      </c>
      <c r="J3306" s="31">
        <f t="shared" si="286"/>
        <v>0</v>
      </c>
      <c r="M3306" s="33">
        <f t="shared" si="282"/>
        <v>0</v>
      </c>
      <c r="N3306" s="33"/>
    </row>
    <row r="3307" spans="7:14" ht="16.5" customHeight="1">
      <c r="G3307" s="30">
        <f t="shared" si="283"/>
        <v>0</v>
      </c>
      <c r="H3307" s="31">
        <f t="shared" si="284"/>
        <v>0</v>
      </c>
      <c r="I3307" s="31">
        <f t="shared" si="285"/>
        <v>0</v>
      </c>
      <c r="J3307" s="31">
        <f t="shared" si="286"/>
        <v>0</v>
      </c>
      <c r="M3307" s="33">
        <f t="shared" si="282"/>
        <v>0</v>
      </c>
      <c r="N3307" s="33"/>
    </row>
    <row r="3308" spans="7:14" ht="16.5" customHeight="1">
      <c r="G3308" s="30">
        <f t="shared" si="283"/>
        <v>0</v>
      </c>
      <c r="H3308" s="31">
        <f t="shared" si="284"/>
        <v>0</v>
      </c>
      <c r="I3308" s="31">
        <f t="shared" si="285"/>
        <v>0</v>
      </c>
      <c r="J3308" s="31">
        <f t="shared" si="286"/>
        <v>0</v>
      </c>
      <c r="M3308" s="33">
        <f t="shared" si="282"/>
        <v>0</v>
      </c>
      <c r="N3308" s="33"/>
    </row>
    <row r="3309" spans="7:14" ht="16.5" customHeight="1">
      <c r="G3309" s="30">
        <f t="shared" si="283"/>
        <v>0</v>
      </c>
      <c r="H3309" s="31">
        <f t="shared" si="284"/>
        <v>0</v>
      </c>
      <c r="I3309" s="31">
        <f t="shared" si="285"/>
        <v>0</v>
      </c>
      <c r="J3309" s="31">
        <f t="shared" si="286"/>
        <v>0</v>
      </c>
      <c r="M3309" s="33">
        <f t="shared" si="282"/>
        <v>0</v>
      </c>
      <c r="N3309" s="33"/>
    </row>
    <row r="3310" spans="7:14" ht="16.5" customHeight="1">
      <c r="G3310" s="30">
        <f t="shared" si="283"/>
        <v>0</v>
      </c>
      <c r="H3310" s="31">
        <f t="shared" si="284"/>
        <v>0</v>
      </c>
      <c r="I3310" s="31">
        <f t="shared" si="285"/>
        <v>0</v>
      </c>
      <c r="J3310" s="31">
        <f t="shared" si="286"/>
        <v>0</v>
      </c>
      <c r="M3310" s="33">
        <f t="shared" si="282"/>
        <v>0</v>
      </c>
      <c r="N3310" s="33"/>
    </row>
    <row r="3311" spans="7:14" ht="16.5" customHeight="1">
      <c r="G3311" s="30">
        <f t="shared" si="283"/>
        <v>0</v>
      </c>
      <c r="H3311" s="31">
        <f t="shared" si="284"/>
        <v>0</v>
      </c>
      <c r="I3311" s="31">
        <f t="shared" si="285"/>
        <v>0</v>
      </c>
      <c r="J3311" s="31">
        <f t="shared" si="286"/>
        <v>0</v>
      </c>
      <c r="M3311" s="33">
        <f t="shared" si="282"/>
        <v>0</v>
      </c>
      <c r="N3311" s="33"/>
    </row>
    <row r="3312" spans="7:14" ht="16.5" customHeight="1">
      <c r="G3312" s="30">
        <f t="shared" si="283"/>
        <v>0</v>
      </c>
      <c r="H3312" s="31">
        <f t="shared" si="284"/>
        <v>0</v>
      </c>
      <c r="I3312" s="31">
        <f t="shared" si="285"/>
        <v>0</v>
      </c>
      <c r="J3312" s="31">
        <f t="shared" si="286"/>
        <v>0</v>
      </c>
      <c r="M3312" s="33">
        <f t="shared" si="282"/>
        <v>0</v>
      </c>
      <c r="N3312" s="33"/>
    </row>
    <row r="3313" spans="7:14" ht="16.5" customHeight="1">
      <c r="G3313" s="30">
        <f t="shared" si="283"/>
        <v>0</v>
      </c>
      <c r="H3313" s="31">
        <f t="shared" si="284"/>
        <v>0</v>
      </c>
      <c r="I3313" s="31">
        <f t="shared" si="285"/>
        <v>0</v>
      </c>
      <c r="J3313" s="31">
        <f t="shared" si="286"/>
        <v>0</v>
      </c>
      <c r="M3313" s="33">
        <f t="shared" si="282"/>
        <v>0</v>
      </c>
      <c r="N3313" s="33"/>
    </row>
    <row r="3314" spans="7:14" ht="16.5" customHeight="1">
      <c r="G3314" s="30">
        <f t="shared" si="283"/>
        <v>0</v>
      </c>
      <c r="H3314" s="31">
        <f t="shared" si="284"/>
        <v>0</v>
      </c>
      <c r="I3314" s="31">
        <f t="shared" si="285"/>
        <v>0</v>
      </c>
      <c r="J3314" s="31">
        <f t="shared" si="286"/>
        <v>0</v>
      </c>
      <c r="M3314" s="33">
        <f t="shared" si="282"/>
        <v>0</v>
      </c>
      <c r="N3314" s="33"/>
    </row>
    <row r="3315" spans="7:14" ht="16.5" customHeight="1">
      <c r="G3315" s="30">
        <f t="shared" si="283"/>
        <v>0</v>
      </c>
      <c r="H3315" s="31">
        <f t="shared" si="284"/>
        <v>0</v>
      </c>
      <c r="I3315" s="31">
        <f t="shared" si="285"/>
        <v>0</v>
      </c>
      <c r="J3315" s="31">
        <f t="shared" si="286"/>
        <v>0</v>
      </c>
      <c r="M3315" s="33">
        <f t="shared" si="282"/>
        <v>0</v>
      </c>
      <c r="N3315" s="33"/>
    </row>
    <row r="3316" spans="7:14" ht="16.5" customHeight="1">
      <c r="G3316" s="30">
        <f t="shared" si="283"/>
        <v>0</v>
      </c>
      <c r="H3316" s="31">
        <f t="shared" si="284"/>
        <v>0</v>
      </c>
      <c r="I3316" s="31">
        <f t="shared" si="285"/>
        <v>0</v>
      </c>
      <c r="J3316" s="31">
        <f t="shared" si="286"/>
        <v>0</v>
      </c>
      <c r="M3316" s="33">
        <f t="shared" si="282"/>
        <v>0</v>
      </c>
      <c r="N3316" s="33"/>
    </row>
    <row r="3317" spans="7:14" ht="16.5" customHeight="1">
      <c r="G3317" s="30">
        <f t="shared" si="283"/>
        <v>0</v>
      </c>
      <c r="H3317" s="31">
        <f t="shared" si="284"/>
        <v>0</v>
      </c>
      <c r="I3317" s="31">
        <f t="shared" si="285"/>
        <v>0</v>
      </c>
      <c r="J3317" s="31">
        <f t="shared" si="286"/>
        <v>0</v>
      </c>
      <c r="M3317" s="33">
        <f t="shared" si="282"/>
        <v>0</v>
      </c>
      <c r="N3317" s="33"/>
    </row>
    <row r="3318" spans="7:14" ht="16.5" customHeight="1">
      <c r="G3318" s="30">
        <f t="shared" si="283"/>
        <v>0</v>
      </c>
      <c r="H3318" s="31">
        <f t="shared" si="284"/>
        <v>0</v>
      </c>
      <c r="I3318" s="31">
        <f t="shared" si="285"/>
        <v>0</v>
      </c>
      <c r="J3318" s="31">
        <f t="shared" si="286"/>
        <v>0</v>
      </c>
      <c r="M3318" s="33">
        <f t="shared" si="282"/>
        <v>0</v>
      </c>
      <c r="N3318" s="33"/>
    </row>
    <row r="3319" spans="7:14" ht="16.5" customHeight="1">
      <c r="G3319" s="30">
        <f t="shared" si="283"/>
        <v>0</v>
      </c>
      <c r="H3319" s="31">
        <f t="shared" si="284"/>
        <v>0</v>
      </c>
      <c r="I3319" s="31">
        <f t="shared" si="285"/>
        <v>0</v>
      </c>
      <c r="J3319" s="31">
        <f t="shared" si="286"/>
        <v>0</v>
      </c>
      <c r="M3319" s="33">
        <f t="shared" si="282"/>
        <v>0</v>
      </c>
      <c r="N3319" s="33"/>
    </row>
    <row r="3320" spans="7:14" ht="16.5" customHeight="1">
      <c r="G3320" s="30">
        <f t="shared" si="283"/>
        <v>0</v>
      </c>
      <c r="H3320" s="31">
        <f t="shared" si="284"/>
        <v>0</v>
      </c>
      <c r="I3320" s="31">
        <f t="shared" si="285"/>
        <v>0</v>
      </c>
      <c r="J3320" s="31">
        <f t="shared" si="286"/>
        <v>0</v>
      </c>
      <c r="M3320" s="33">
        <f t="shared" si="282"/>
        <v>0</v>
      </c>
      <c r="N3320" s="33"/>
    </row>
    <row r="3321" spans="7:14" ht="16.5" customHeight="1">
      <c r="G3321" s="30">
        <f t="shared" si="283"/>
        <v>0</v>
      </c>
      <c r="H3321" s="31">
        <f t="shared" si="284"/>
        <v>0</v>
      </c>
      <c r="I3321" s="31">
        <f t="shared" si="285"/>
        <v>0</v>
      </c>
      <c r="J3321" s="31">
        <f t="shared" si="286"/>
        <v>0</v>
      </c>
      <c r="M3321" s="33">
        <f t="shared" si="282"/>
        <v>0</v>
      </c>
      <c r="N3321" s="33"/>
    </row>
    <row r="3322" spans="7:14" ht="16.5" customHeight="1">
      <c r="G3322" s="30">
        <f t="shared" si="283"/>
        <v>0</v>
      </c>
      <c r="H3322" s="31">
        <f t="shared" si="284"/>
        <v>0</v>
      </c>
      <c r="I3322" s="31">
        <f t="shared" si="285"/>
        <v>0</v>
      </c>
      <c r="J3322" s="31">
        <f t="shared" si="286"/>
        <v>0</v>
      </c>
      <c r="M3322" s="33">
        <f t="shared" si="282"/>
        <v>0</v>
      </c>
      <c r="N3322" s="33"/>
    </row>
    <row r="3323" spans="7:14" ht="16.5" customHeight="1">
      <c r="G3323" s="30">
        <f t="shared" si="283"/>
        <v>0</v>
      </c>
      <c r="H3323" s="31">
        <f t="shared" si="284"/>
        <v>0</v>
      </c>
      <c r="I3323" s="31">
        <f t="shared" si="285"/>
        <v>0</v>
      </c>
      <c r="J3323" s="31">
        <f t="shared" si="286"/>
        <v>0</v>
      </c>
      <c r="M3323" s="33">
        <f t="shared" si="282"/>
        <v>0</v>
      </c>
      <c r="N3323" s="33"/>
    </row>
    <row r="3324" spans="7:14" ht="16.5" customHeight="1">
      <c r="G3324" s="30">
        <f t="shared" si="283"/>
        <v>0</v>
      </c>
      <c r="H3324" s="31">
        <f t="shared" si="284"/>
        <v>0</v>
      </c>
      <c r="I3324" s="31">
        <f t="shared" si="285"/>
        <v>0</v>
      </c>
      <c r="J3324" s="31">
        <f t="shared" si="286"/>
        <v>0</v>
      </c>
      <c r="M3324" s="33">
        <f t="shared" si="282"/>
        <v>0</v>
      </c>
      <c r="N3324" s="33"/>
    </row>
    <row r="3325" spans="7:14" ht="16.5" customHeight="1">
      <c r="G3325" s="30">
        <f t="shared" si="283"/>
        <v>0</v>
      </c>
      <c r="H3325" s="31">
        <f t="shared" si="284"/>
        <v>0</v>
      </c>
      <c r="I3325" s="31">
        <f t="shared" si="285"/>
        <v>0</v>
      </c>
      <c r="J3325" s="31">
        <f t="shared" si="286"/>
        <v>0</v>
      </c>
      <c r="M3325" s="33">
        <f t="shared" si="282"/>
        <v>0</v>
      </c>
      <c r="N3325" s="33"/>
    </row>
    <row r="3326" spans="7:14" ht="16.5" customHeight="1">
      <c r="G3326" s="30">
        <f t="shared" si="283"/>
        <v>0</v>
      </c>
      <c r="H3326" s="31">
        <f t="shared" si="284"/>
        <v>0</v>
      </c>
      <c r="I3326" s="31">
        <f t="shared" si="285"/>
        <v>0</v>
      </c>
      <c r="J3326" s="31">
        <f t="shared" si="286"/>
        <v>0</v>
      </c>
      <c r="M3326" s="33">
        <f t="shared" ref="M3326:M3389" si="287">IF(P3326="TL tuyệt đối",0, IF(K3326&lt;5,0,IF(K3326&lt;50,K3326*9%,IF(K3326&lt;100,4.5,IF(K3326&lt;200,4.5%*K3326,IF(K3326&lt;300,9,IF(K3326&lt;500,K3326*3%,IF(K3326&lt;1000,15,))))))))</f>
        <v>0</v>
      </c>
      <c r="N3326" s="33"/>
    </row>
    <row r="3327" spans="7:14" ht="16.5" customHeight="1">
      <c r="G3327" s="30">
        <f t="shared" si="283"/>
        <v>0</v>
      </c>
      <c r="H3327" s="31">
        <f t="shared" si="284"/>
        <v>0</v>
      </c>
      <c r="I3327" s="31">
        <f t="shared" si="285"/>
        <v>0</v>
      </c>
      <c r="J3327" s="31">
        <f t="shared" si="286"/>
        <v>0</v>
      </c>
      <c r="M3327" s="33">
        <f t="shared" si="287"/>
        <v>0</v>
      </c>
      <c r="N3327" s="33"/>
    </row>
    <row r="3328" spans="7:14" ht="16.5" customHeight="1">
      <c r="G3328" s="30">
        <f t="shared" ref="G3328:G3391" si="288">IF(P3328="TL tuyệt đối",K3328*103%,K3328+1/3*M3328)</f>
        <v>0</v>
      </c>
      <c r="H3328" s="31">
        <f t="shared" ref="H3328:H3391" si="289">IF(P3328="TL tuyệt đối",K3328*101%,K3328-1/3*M3328)</f>
        <v>0</v>
      </c>
      <c r="I3328" s="31">
        <f t="shared" ref="I3328:I3391" si="290">IF(P3328="TL tuyệt đối", K3328*105%,K3328+M3328)</f>
        <v>0</v>
      </c>
      <c r="J3328" s="31">
        <f t="shared" si="286"/>
        <v>0</v>
      </c>
      <c r="M3328" s="33">
        <f t="shared" si="287"/>
        <v>0</v>
      </c>
      <c r="N3328" s="33"/>
    </row>
    <row r="3329" spans="7:14" ht="16.5" customHeight="1">
      <c r="G3329" s="30">
        <f t="shared" si="288"/>
        <v>0</v>
      </c>
      <c r="H3329" s="31">
        <f t="shared" si="289"/>
        <v>0</v>
      </c>
      <c r="I3329" s="31">
        <f t="shared" si="290"/>
        <v>0</v>
      </c>
      <c r="J3329" s="31">
        <f t="shared" si="286"/>
        <v>0</v>
      </c>
      <c r="M3329" s="33">
        <f t="shared" si="287"/>
        <v>0</v>
      </c>
      <c r="N3329" s="33"/>
    </row>
    <row r="3330" spans="7:14" ht="16.5" customHeight="1">
      <c r="G3330" s="30">
        <f t="shared" si="288"/>
        <v>0</v>
      </c>
      <c r="H3330" s="31">
        <f t="shared" si="289"/>
        <v>0</v>
      </c>
      <c r="I3330" s="31">
        <f t="shared" si="290"/>
        <v>0</v>
      </c>
      <c r="J3330" s="31">
        <f t="shared" si="286"/>
        <v>0</v>
      </c>
      <c r="M3330" s="33">
        <f t="shared" si="287"/>
        <v>0</v>
      </c>
      <c r="N3330" s="33"/>
    </row>
    <row r="3331" spans="7:14" ht="16.5" customHeight="1">
      <c r="G3331" s="30">
        <f t="shared" si="288"/>
        <v>0</v>
      </c>
      <c r="H3331" s="31">
        <f t="shared" si="289"/>
        <v>0</v>
      </c>
      <c r="I3331" s="31">
        <f t="shared" si="290"/>
        <v>0</v>
      </c>
      <c r="J3331" s="31">
        <f t="shared" si="286"/>
        <v>0</v>
      </c>
      <c r="M3331" s="33">
        <f t="shared" si="287"/>
        <v>0</v>
      </c>
      <c r="N3331" s="33"/>
    </row>
    <row r="3332" spans="7:14" ht="16.5" customHeight="1">
      <c r="G3332" s="30">
        <f t="shared" si="288"/>
        <v>0</v>
      </c>
      <c r="H3332" s="31">
        <f t="shared" si="289"/>
        <v>0</v>
      </c>
      <c r="I3332" s="31">
        <f t="shared" si="290"/>
        <v>0</v>
      </c>
      <c r="J3332" s="31">
        <f t="shared" ref="J3332:J3395" si="291">K3332-M3332</f>
        <v>0</v>
      </c>
      <c r="M3332" s="33">
        <f t="shared" si="287"/>
        <v>0</v>
      </c>
      <c r="N3332" s="33"/>
    </row>
    <row r="3333" spans="7:14" ht="16.5" customHeight="1">
      <c r="G3333" s="30">
        <f t="shared" si="288"/>
        <v>0</v>
      </c>
      <c r="H3333" s="31">
        <f t="shared" si="289"/>
        <v>0</v>
      </c>
      <c r="I3333" s="31">
        <f t="shared" si="290"/>
        <v>0</v>
      </c>
      <c r="J3333" s="31">
        <f t="shared" si="291"/>
        <v>0</v>
      </c>
      <c r="M3333" s="33">
        <f t="shared" si="287"/>
        <v>0</v>
      </c>
      <c r="N3333" s="33"/>
    </row>
    <row r="3334" spans="7:14" ht="16.5" customHeight="1">
      <c r="G3334" s="30">
        <f t="shared" si="288"/>
        <v>0</v>
      </c>
      <c r="H3334" s="31">
        <f t="shared" si="289"/>
        <v>0</v>
      </c>
      <c r="I3334" s="31">
        <f t="shared" si="290"/>
        <v>0</v>
      </c>
      <c r="J3334" s="31">
        <f t="shared" si="291"/>
        <v>0</v>
      </c>
      <c r="M3334" s="33">
        <f t="shared" si="287"/>
        <v>0</v>
      </c>
      <c r="N3334" s="33"/>
    </row>
    <row r="3335" spans="7:14" ht="16.5" customHeight="1">
      <c r="G3335" s="30">
        <f t="shared" si="288"/>
        <v>0</v>
      </c>
      <c r="H3335" s="31">
        <f t="shared" si="289"/>
        <v>0</v>
      </c>
      <c r="I3335" s="31">
        <f t="shared" si="290"/>
        <v>0</v>
      </c>
      <c r="J3335" s="31">
        <f t="shared" si="291"/>
        <v>0</v>
      </c>
      <c r="M3335" s="33">
        <f t="shared" si="287"/>
        <v>0</v>
      </c>
      <c r="N3335" s="33"/>
    </row>
    <row r="3336" spans="7:14" ht="16.5" customHeight="1">
      <c r="G3336" s="30">
        <f t="shared" si="288"/>
        <v>0</v>
      </c>
      <c r="H3336" s="31">
        <f t="shared" si="289"/>
        <v>0</v>
      </c>
      <c r="I3336" s="31">
        <f t="shared" si="290"/>
        <v>0</v>
      </c>
      <c r="J3336" s="31">
        <f t="shared" si="291"/>
        <v>0</v>
      </c>
      <c r="M3336" s="33">
        <f t="shared" si="287"/>
        <v>0</v>
      </c>
      <c r="N3336" s="33"/>
    </row>
    <row r="3337" spans="7:14" ht="16.5" customHeight="1">
      <c r="G3337" s="30">
        <f t="shared" si="288"/>
        <v>0</v>
      </c>
      <c r="H3337" s="31">
        <f t="shared" si="289"/>
        <v>0</v>
      </c>
      <c r="I3337" s="31">
        <f t="shared" si="290"/>
        <v>0</v>
      </c>
      <c r="J3337" s="31">
        <f t="shared" si="291"/>
        <v>0</v>
      </c>
      <c r="M3337" s="33">
        <f t="shared" si="287"/>
        <v>0</v>
      </c>
      <c r="N3337" s="33"/>
    </row>
    <row r="3338" spans="7:14" ht="16.5" customHeight="1">
      <c r="G3338" s="30">
        <f t="shared" si="288"/>
        <v>0</v>
      </c>
      <c r="H3338" s="31">
        <f t="shared" si="289"/>
        <v>0</v>
      </c>
      <c r="I3338" s="31">
        <f t="shared" si="290"/>
        <v>0</v>
      </c>
      <c r="J3338" s="31">
        <f t="shared" si="291"/>
        <v>0</v>
      </c>
      <c r="M3338" s="33">
        <f t="shared" si="287"/>
        <v>0</v>
      </c>
      <c r="N3338" s="33"/>
    </row>
    <row r="3339" spans="7:14" ht="16.5" customHeight="1">
      <c r="G3339" s="30">
        <f t="shared" si="288"/>
        <v>0</v>
      </c>
      <c r="H3339" s="31">
        <f t="shared" si="289"/>
        <v>0</v>
      </c>
      <c r="I3339" s="31">
        <f t="shared" si="290"/>
        <v>0</v>
      </c>
      <c r="J3339" s="31">
        <f t="shared" si="291"/>
        <v>0</v>
      </c>
      <c r="M3339" s="33">
        <f t="shared" si="287"/>
        <v>0</v>
      </c>
      <c r="N3339" s="33"/>
    </row>
    <row r="3340" spans="7:14" ht="16.5" customHeight="1">
      <c r="G3340" s="30">
        <f t="shared" si="288"/>
        <v>0</v>
      </c>
      <c r="H3340" s="31">
        <f t="shared" si="289"/>
        <v>0</v>
      </c>
      <c r="I3340" s="31">
        <f t="shared" si="290"/>
        <v>0</v>
      </c>
      <c r="J3340" s="31">
        <f t="shared" si="291"/>
        <v>0</v>
      </c>
      <c r="M3340" s="33">
        <f t="shared" si="287"/>
        <v>0</v>
      </c>
      <c r="N3340" s="33"/>
    </row>
    <row r="3341" spans="7:14" ht="16.5" customHeight="1">
      <c r="G3341" s="30">
        <f t="shared" si="288"/>
        <v>0</v>
      </c>
      <c r="H3341" s="31">
        <f t="shared" si="289"/>
        <v>0</v>
      </c>
      <c r="I3341" s="31">
        <f t="shared" si="290"/>
        <v>0</v>
      </c>
      <c r="J3341" s="31">
        <f t="shared" si="291"/>
        <v>0</v>
      </c>
      <c r="M3341" s="33">
        <f t="shared" si="287"/>
        <v>0</v>
      </c>
      <c r="N3341" s="33"/>
    </row>
    <row r="3342" spans="7:14" ht="16.5" customHeight="1">
      <c r="G3342" s="30">
        <f t="shared" si="288"/>
        <v>0</v>
      </c>
      <c r="H3342" s="31">
        <f t="shared" si="289"/>
        <v>0</v>
      </c>
      <c r="I3342" s="31">
        <f t="shared" si="290"/>
        <v>0</v>
      </c>
      <c r="J3342" s="31">
        <f t="shared" si="291"/>
        <v>0</v>
      </c>
      <c r="M3342" s="33">
        <f t="shared" si="287"/>
        <v>0</v>
      </c>
      <c r="N3342" s="33"/>
    </row>
    <row r="3343" spans="7:14" ht="16.5" customHeight="1">
      <c r="G3343" s="30">
        <f t="shared" si="288"/>
        <v>0</v>
      </c>
      <c r="H3343" s="31">
        <f t="shared" si="289"/>
        <v>0</v>
      </c>
      <c r="I3343" s="31">
        <f t="shared" si="290"/>
        <v>0</v>
      </c>
      <c r="J3343" s="31">
        <f t="shared" si="291"/>
        <v>0</v>
      </c>
      <c r="M3343" s="33">
        <f t="shared" si="287"/>
        <v>0</v>
      </c>
      <c r="N3343" s="33"/>
    </row>
    <row r="3344" spans="7:14" ht="16.5" customHeight="1">
      <c r="G3344" s="30">
        <f t="shared" si="288"/>
        <v>0</v>
      </c>
      <c r="H3344" s="31">
        <f t="shared" si="289"/>
        <v>0</v>
      </c>
      <c r="I3344" s="31">
        <f t="shared" si="290"/>
        <v>0</v>
      </c>
      <c r="J3344" s="31">
        <f t="shared" si="291"/>
        <v>0</v>
      </c>
      <c r="M3344" s="33">
        <f t="shared" si="287"/>
        <v>0</v>
      </c>
      <c r="N3344" s="33"/>
    </row>
    <row r="3345" spans="7:14" ht="16.5" customHeight="1">
      <c r="G3345" s="30">
        <f t="shared" si="288"/>
        <v>0</v>
      </c>
      <c r="H3345" s="31">
        <f t="shared" si="289"/>
        <v>0</v>
      </c>
      <c r="I3345" s="31">
        <f t="shared" si="290"/>
        <v>0</v>
      </c>
      <c r="J3345" s="31">
        <f t="shared" si="291"/>
        <v>0</v>
      </c>
      <c r="M3345" s="33">
        <f t="shared" si="287"/>
        <v>0</v>
      </c>
      <c r="N3345" s="33"/>
    </row>
    <row r="3346" spans="7:14" ht="16.5" customHeight="1">
      <c r="G3346" s="30">
        <f t="shared" si="288"/>
        <v>0</v>
      </c>
      <c r="H3346" s="31">
        <f t="shared" si="289"/>
        <v>0</v>
      </c>
      <c r="I3346" s="31">
        <f t="shared" si="290"/>
        <v>0</v>
      </c>
      <c r="J3346" s="31">
        <f t="shared" si="291"/>
        <v>0</v>
      </c>
      <c r="M3346" s="33">
        <f t="shared" si="287"/>
        <v>0</v>
      </c>
      <c r="N3346" s="33"/>
    </row>
    <row r="3347" spans="7:14" ht="16.5" customHeight="1">
      <c r="G3347" s="30">
        <f t="shared" si="288"/>
        <v>0</v>
      </c>
      <c r="H3347" s="31">
        <f t="shared" si="289"/>
        <v>0</v>
      </c>
      <c r="I3347" s="31">
        <f t="shared" si="290"/>
        <v>0</v>
      </c>
      <c r="J3347" s="31">
        <f t="shared" si="291"/>
        <v>0</v>
      </c>
      <c r="M3347" s="33">
        <f t="shared" si="287"/>
        <v>0</v>
      </c>
      <c r="N3347" s="33"/>
    </row>
    <row r="3348" spans="7:14" ht="16.5" customHeight="1">
      <c r="G3348" s="30">
        <f t="shared" si="288"/>
        <v>0</v>
      </c>
      <c r="H3348" s="31">
        <f t="shared" si="289"/>
        <v>0</v>
      </c>
      <c r="I3348" s="31">
        <f t="shared" si="290"/>
        <v>0</v>
      </c>
      <c r="J3348" s="31">
        <f t="shared" si="291"/>
        <v>0</v>
      </c>
      <c r="M3348" s="33">
        <f t="shared" si="287"/>
        <v>0</v>
      </c>
      <c r="N3348" s="33"/>
    </row>
    <row r="3349" spans="7:14" ht="16.5" customHeight="1">
      <c r="G3349" s="30">
        <f t="shared" si="288"/>
        <v>0</v>
      </c>
      <c r="H3349" s="31">
        <f t="shared" si="289"/>
        <v>0</v>
      </c>
      <c r="I3349" s="31">
        <f t="shared" si="290"/>
        <v>0</v>
      </c>
      <c r="J3349" s="31">
        <f t="shared" si="291"/>
        <v>0</v>
      </c>
      <c r="M3349" s="33">
        <f t="shared" si="287"/>
        <v>0</v>
      </c>
      <c r="N3349" s="33"/>
    </row>
    <row r="3350" spans="7:14" ht="16.5" customHeight="1">
      <c r="G3350" s="30">
        <f t="shared" si="288"/>
        <v>0</v>
      </c>
      <c r="H3350" s="31">
        <f t="shared" si="289"/>
        <v>0</v>
      </c>
      <c r="I3350" s="31">
        <f t="shared" si="290"/>
        <v>0</v>
      </c>
      <c r="J3350" s="31">
        <f t="shared" si="291"/>
        <v>0</v>
      </c>
      <c r="M3350" s="33">
        <f t="shared" si="287"/>
        <v>0</v>
      </c>
      <c r="N3350" s="33"/>
    </row>
    <row r="3351" spans="7:14" ht="16.5" customHeight="1">
      <c r="G3351" s="30">
        <f t="shared" si="288"/>
        <v>0</v>
      </c>
      <c r="H3351" s="31">
        <f t="shared" si="289"/>
        <v>0</v>
      </c>
      <c r="I3351" s="31">
        <f t="shared" si="290"/>
        <v>0</v>
      </c>
      <c r="J3351" s="31">
        <f t="shared" si="291"/>
        <v>0</v>
      </c>
      <c r="M3351" s="33">
        <f t="shared" si="287"/>
        <v>0</v>
      </c>
      <c r="N3351" s="33"/>
    </row>
    <row r="3352" spans="7:14" ht="16.5" customHeight="1">
      <c r="G3352" s="30">
        <f t="shared" si="288"/>
        <v>0</v>
      </c>
      <c r="H3352" s="31">
        <f t="shared" si="289"/>
        <v>0</v>
      </c>
      <c r="I3352" s="31">
        <f t="shared" si="290"/>
        <v>0</v>
      </c>
      <c r="J3352" s="31">
        <f t="shared" si="291"/>
        <v>0</v>
      </c>
      <c r="M3352" s="33">
        <f t="shared" si="287"/>
        <v>0</v>
      </c>
      <c r="N3352" s="33"/>
    </row>
    <row r="3353" spans="7:14" ht="16.5" customHeight="1">
      <c r="G3353" s="30">
        <f t="shared" si="288"/>
        <v>0</v>
      </c>
      <c r="H3353" s="31">
        <f t="shared" si="289"/>
        <v>0</v>
      </c>
      <c r="I3353" s="31">
        <f t="shared" si="290"/>
        <v>0</v>
      </c>
      <c r="J3353" s="31">
        <f t="shared" si="291"/>
        <v>0</v>
      </c>
      <c r="M3353" s="33">
        <f t="shared" si="287"/>
        <v>0</v>
      </c>
      <c r="N3353" s="33"/>
    </row>
    <row r="3354" spans="7:14" ht="16.5" customHeight="1">
      <c r="G3354" s="30">
        <f t="shared" si="288"/>
        <v>0</v>
      </c>
      <c r="H3354" s="31">
        <f t="shared" si="289"/>
        <v>0</v>
      </c>
      <c r="I3354" s="31">
        <f t="shared" si="290"/>
        <v>0</v>
      </c>
      <c r="J3354" s="31">
        <f t="shared" si="291"/>
        <v>0</v>
      </c>
      <c r="M3354" s="33">
        <f t="shared" si="287"/>
        <v>0</v>
      </c>
      <c r="N3354" s="33"/>
    </row>
    <row r="3355" spans="7:14" ht="16.5" customHeight="1">
      <c r="G3355" s="30">
        <f t="shared" si="288"/>
        <v>0</v>
      </c>
      <c r="H3355" s="31">
        <f t="shared" si="289"/>
        <v>0</v>
      </c>
      <c r="I3355" s="31">
        <f t="shared" si="290"/>
        <v>0</v>
      </c>
      <c r="J3355" s="31">
        <f t="shared" si="291"/>
        <v>0</v>
      </c>
      <c r="M3355" s="33">
        <f t="shared" si="287"/>
        <v>0</v>
      </c>
      <c r="N3355" s="33"/>
    </row>
    <row r="3356" spans="7:14" ht="16.5" customHeight="1">
      <c r="G3356" s="30">
        <f t="shared" si="288"/>
        <v>0</v>
      </c>
      <c r="H3356" s="31">
        <f t="shared" si="289"/>
        <v>0</v>
      </c>
      <c r="I3356" s="31">
        <f t="shared" si="290"/>
        <v>0</v>
      </c>
      <c r="J3356" s="31">
        <f t="shared" si="291"/>
        <v>0</v>
      </c>
      <c r="M3356" s="33">
        <f t="shared" si="287"/>
        <v>0</v>
      </c>
      <c r="N3356" s="33"/>
    </row>
    <row r="3357" spans="7:14" ht="16.5" customHeight="1">
      <c r="G3357" s="30">
        <f t="shared" si="288"/>
        <v>0</v>
      </c>
      <c r="H3357" s="31">
        <f t="shared" si="289"/>
        <v>0</v>
      </c>
      <c r="I3357" s="31">
        <f t="shared" si="290"/>
        <v>0</v>
      </c>
      <c r="J3357" s="31">
        <f t="shared" si="291"/>
        <v>0</v>
      </c>
      <c r="M3357" s="33">
        <f t="shared" si="287"/>
        <v>0</v>
      </c>
      <c r="N3357" s="33"/>
    </row>
    <row r="3358" spans="7:14" ht="16.5" customHeight="1">
      <c r="G3358" s="30">
        <f t="shared" si="288"/>
        <v>0</v>
      </c>
      <c r="H3358" s="31">
        <f t="shared" si="289"/>
        <v>0</v>
      </c>
      <c r="I3358" s="31">
        <f t="shared" si="290"/>
        <v>0</v>
      </c>
      <c r="J3358" s="31">
        <f t="shared" si="291"/>
        <v>0</v>
      </c>
      <c r="M3358" s="33">
        <f t="shared" si="287"/>
        <v>0</v>
      </c>
      <c r="N3358" s="33"/>
    </row>
    <row r="3359" spans="7:14" ht="16.5" customHeight="1">
      <c r="G3359" s="30">
        <f t="shared" si="288"/>
        <v>0</v>
      </c>
      <c r="H3359" s="31">
        <f t="shared" si="289"/>
        <v>0</v>
      </c>
      <c r="I3359" s="31">
        <f t="shared" si="290"/>
        <v>0</v>
      </c>
      <c r="J3359" s="31">
        <f t="shared" si="291"/>
        <v>0</v>
      </c>
      <c r="M3359" s="33">
        <f t="shared" si="287"/>
        <v>0</v>
      </c>
      <c r="N3359" s="33"/>
    </row>
    <row r="3360" spans="7:14" ht="16.5" customHeight="1">
      <c r="G3360" s="30">
        <f t="shared" si="288"/>
        <v>0</v>
      </c>
      <c r="H3360" s="31">
        <f t="shared" si="289"/>
        <v>0</v>
      </c>
      <c r="I3360" s="31">
        <f t="shared" si="290"/>
        <v>0</v>
      </c>
      <c r="J3360" s="31">
        <f t="shared" si="291"/>
        <v>0</v>
      </c>
      <c r="M3360" s="33">
        <f t="shared" si="287"/>
        <v>0</v>
      </c>
      <c r="N3360" s="33"/>
    </row>
    <row r="3361" spans="7:14" ht="16.5" customHeight="1">
      <c r="G3361" s="30">
        <f t="shared" si="288"/>
        <v>0</v>
      </c>
      <c r="H3361" s="31">
        <f t="shared" si="289"/>
        <v>0</v>
      </c>
      <c r="I3361" s="31">
        <f t="shared" si="290"/>
        <v>0</v>
      </c>
      <c r="J3361" s="31">
        <f t="shared" si="291"/>
        <v>0</v>
      </c>
      <c r="M3361" s="33">
        <f t="shared" si="287"/>
        <v>0</v>
      </c>
      <c r="N3361" s="33"/>
    </row>
    <row r="3362" spans="7:14" ht="16.5" customHeight="1">
      <c r="G3362" s="30">
        <f t="shared" si="288"/>
        <v>0</v>
      </c>
      <c r="H3362" s="31">
        <f t="shared" si="289"/>
        <v>0</v>
      </c>
      <c r="I3362" s="31">
        <f t="shared" si="290"/>
        <v>0</v>
      </c>
      <c r="J3362" s="31">
        <f t="shared" si="291"/>
        <v>0</v>
      </c>
      <c r="M3362" s="33">
        <f t="shared" si="287"/>
        <v>0</v>
      </c>
      <c r="N3362" s="33"/>
    </row>
    <row r="3363" spans="7:14" ht="16.5" customHeight="1">
      <c r="G3363" s="30">
        <f t="shared" si="288"/>
        <v>0</v>
      </c>
      <c r="H3363" s="31">
        <f t="shared" si="289"/>
        <v>0</v>
      </c>
      <c r="I3363" s="31">
        <f t="shared" si="290"/>
        <v>0</v>
      </c>
      <c r="J3363" s="31">
        <f t="shared" si="291"/>
        <v>0</v>
      </c>
      <c r="M3363" s="33">
        <f t="shared" si="287"/>
        <v>0</v>
      </c>
      <c r="N3363" s="33"/>
    </row>
    <row r="3364" spans="7:14" ht="16.5" customHeight="1">
      <c r="G3364" s="30">
        <f t="shared" si="288"/>
        <v>0</v>
      </c>
      <c r="H3364" s="31">
        <f t="shared" si="289"/>
        <v>0</v>
      </c>
      <c r="I3364" s="31">
        <f t="shared" si="290"/>
        <v>0</v>
      </c>
      <c r="J3364" s="31">
        <f t="shared" si="291"/>
        <v>0</v>
      </c>
      <c r="M3364" s="33">
        <f t="shared" si="287"/>
        <v>0</v>
      </c>
      <c r="N3364" s="33"/>
    </row>
    <row r="3365" spans="7:14" ht="16.5" customHeight="1">
      <c r="G3365" s="30">
        <f t="shared" si="288"/>
        <v>0</v>
      </c>
      <c r="H3365" s="31">
        <f t="shared" si="289"/>
        <v>0</v>
      </c>
      <c r="I3365" s="31">
        <f t="shared" si="290"/>
        <v>0</v>
      </c>
      <c r="J3365" s="31">
        <f t="shared" si="291"/>
        <v>0</v>
      </c>
      <c r="M3365" s="33">
        <f t="shared" si="287"/>
        <v>0</v>
      </c>
      <c r="N3365" s="33"/>
    </row>
    <row r="3366" spans="7:14" ht="16.5" customHeight="1">
      <c r="G3366" s="30">
        <f t="shared" si="288"/>
        <v>0</v>
      </c>
      <c r="H3366" s="31">
        <f t="shared" si="289"/>
        <v>0</v>
      </c>
      <c r="I3366" s="31">
        <f t="shared" si="290"/>
        <v>0</v>
      </c>
      <c r="J3366" s="31">
        <f t="shared" si="291"/>
        <v>0</v>
      </c>
      <c r="M3366" s="33">
        <f t="shared" si="287"/>
        <v>0</v>
      </c>
      <c r="N3366" s="33"/>
    </row>
    <row r="3367" spans="7:14" ht="16.5" customHeight="1">
      <c r="G3367" s="30">
        <f t="shared" si="288"/>
        <v>0</v>
      </c>
      <c r="H3367" s="31">
        <f t="shared" si="289"/>
        <v>0</v>
      </c>
      <c r="I3367" s="31">
        <f t="shared" si="290"/>
        <v>0</v>
      </c>
      <c r="J3367" s="31">
        <f t="shared" si="291"/>
        <v>0</v>
      </c>
      <c r="M3367" s="33">
        <f t="shared" si="287"/>
        <v>0</v>
      </c>
      <c r="N3367" s="33"/>
    </row>
    <row r="3368" spans="7:14" ht="16.5" customHeight="1">
      <c r="G3368" s="30">
        <f t="shared" si="288"/>
        <v>0</v>
      </c>
      <c r="H3368" s="31">
        <f t="shared" si="289"/>
        <v>0</v>
      </c>
      <c r="I3368" s="31">
        <f t="shared" si="290"/>
        <v>0</v>
      </c>
      <c r="J3368" s="31">
        <f t="shared" si="291"/>
        <v>0</v>
      </c>
      <c r="M3368" s="33">
        <f t="shared" si="287"/>
        <v>0</v>
      </c>
      <c r="N3368" s="33"/>
    </row>
    <row r="3369" spans="7:14" ht="16.5" customHeight="1">
      <c r="G3369" s="30">
        <f t="shared" si="288"/>
        <v>0</v>
      </c>
      <c r="H3369" s="31">
        <f t="shared" si="289"/>
        <v>0</v>
      </c>
      <c r="I3369" s="31">
        <f t="shared" si="290"/>
        <v>0</v>
      </c>
      <c r="J3369" s="31">
        <f t="shared" si="291"/>
        <v>0</v>
      </c>
      <c r="M3369" s="33">
        <f t="shared" si="287"/>
        <v>0</v>
      </c>
      <c r="N3369" s="33"/>
    </row>
    <row r="3370" spans="7:14" ht="16.5" customHeight="1">
      <c r="G3370" s="30">
        <f t="shared" si="288"/>
        <v>0</v>
      </c>
      <c r="H3370" s="31">
        <f t="shared" si="289"/>
        <v>0</v>
      </c>
      <c r="I3370" s="31">
        <f t="shared" si="290"/>
        <v>0</v>
      </c>
      <c r="J3370" s="31">
        <f t="shared" si="291"/>
        <v>0</v>
      </c>
      <c r="M3370" s="33">
        <f t="shared" si="287"/>
        <v>0</v>
      </c>
      <c r="N3370" s="33"/>
    </row>
    <row r="3371" spans="7:14" ht="16.5" customHeight="1">
      <c r="G3371" s="30">
        <f t="shared" si="288"/>
        <v>0</v>
      </c>
      <c r="H3371" s="31">
        <f t="shared" si="289"/>
        <v>0</v>
      </c>
      <c r="I3371" s="31">
        <f t="shared" si="290"/>
        <v>0</v>
      </c>
      <c r="J3371" s="31">
        <f t="shared" si="291"/>
        <v>0</v>
      </c>
      <c r="M3371" s="33">
        <f t="shared" si="287"/>
        <v>0</v>
      </c>
      <c r="N3371" s="33"/>
    </row>
    <row r="3372" spans="7:14" ht="16.5" customHeight="1">
      <c r="G3372" s="30">
        <f t="shared" si="288"/>
        <v>0</v>
      </c>
      <c r="H3372" s="31">
        <f t="shared" si="289"/>
        <v>0</v>
      </c>
      <c r="I3372" s="31">
        <f t="shared" si="290"/>
        <v>0</v>
      </c>
      <c r="J3372" s="31">
        <f t="shared" si="291"/>
        <v>0</v>
      </c>
      <c r="M3372" s="33">
        <f t="shared" si="287"/>
        <v>0</v>
      </c>
      <c r="N3372" s="33"/>
    </row>
    <row r="3373" spans="7:14" ht="16.5" customHeight="1">
      <c r="G3373" s="30">
        <f t="shared" si="288"/>
        <v>0</v>
      </c>
      <c r="H3373" s="31">
        <f t="shared" si="289"/>
        <v>0</v>
      </c>
      <c r="I3373" s="31">
        <f t="shared" si="290"/>
        <v>0</v>
      </c>
      <c r="J3373" s="31">
        <f t="shared" si="291"/>
        <v>0</v>
      </c>
      <c r="M3373" s="33">
        <f t="shared" si="287"/>
        <v>0</v>
      </c>
      <c r="N3373" s="33"/>
    </row>
    <row r="3374" spans="7:14" ht="16.5" customHeight="1">
      <c r="G3374" s="30">
        <f t="shared" si="288"/>
        <v>0</v>
      </c>
      <c r="H3374" s="31">
        <f t="shared" si="289"/>
        <v>0</v>
      </c>
      <c r="I3374" s="31">
        <f t="shared" si="290"/>
        <v>0</v>
      </c>
      <c r="J3374" s="31">
        <f t="shared" si="291"/>
        <v>0</v>
      </c>
      <c r="M3374" s="33">
        <f t="shared" si="287"/>
        <v>0</v>
      </c>
      <c r="N3374" s="33"/>
    </row>
    <row r="3375" spans="7:14" ht="16.5" customHeight="1">
      <c r="G3375" s="30">
        <f t="shared" si="288"/>
        <v>0</v>
      </c>
      <c r="H3375" s="31">
        <f t="shared" si="289"/>
        <v>0</v>
      </c>
      <c r="I3375" s="31">
        <f t="shared" si="290"/>
        <v>0</v>
      </c>
      <c r="J3375" s="31">
        <f t="shared" si="291"/>
        <v>0</v>
      </c>
      <c r="M3375" s="33">
        <f t="shared" si="287"/>
        <v>0</v>
      </c>
      <c r="N3375" s="33"/>
    </row>
    <row r="3376" spans="7:14" ht="16.5" customHeight="1">
      <c r="G3376" s="30">
        <f t="shared" si="288"/>
        <v>0</v>
      </c>
      <c r="H3376" s="31">
        <f t="shared" si="289"/>
        <v>0</v>
      </c>
      <c r="I3376" s="31">
        <f t="shared" si="290"/>
        <v>0</v>
      </c>
      <c r="J3376" s="31">
        <f t="shared" si="291"/>
        <v>0</v>
      </c>
      <c r="M3376" s="33">
        <f t="shared" si="287"/>
        <v>0</v>
      </c>
      <c r="N3376" s="33"/>
    </row>
    <row r="3377" spans="7:14" ht="16.5" customHeight="1">
      <c r="G3377" s="30">
        <f t="shared" si="288"/>
        <v>0</v>
      </c>
      <c r="H3377" s="31">
        <f t="shared" si="289"/>
        <v>0</v>
      </c>
      <c r="I3377" s="31">
        <f t="shared" si="290"/>
        <v>0</v>
      </c>
      <c r="J3377" s="31">
        <f t="shared" si="291"/>
        <v>0</v>
      </c>
      <c r="M3377" s="33">
        <f t="shared" si="287"/>
        <v>0</v>
      </c>
      <c r="N3377" s="33"/>
    </row>
    <row r="3378" spans="7:14" ht="16.5" customHeight="1">
      <c r="G3378" s="30">
        <f t="shared" si="288"/>
        <v>0</v>
      </c>
      <c r="H3378" s="31">
        <f t="shared" si="289"/>
        <v>0</v>
      </c>
      <c r="I3378" s="31">
        <f t="shared" si="290"/>
        <v>0</v>
      </c>
      <c r="J3378" s="31">
        <f t="shared" si="291"/>
        <v>0</v>
      </c>
      <c r="M3378" s="33">
        <f t="shared" si="287"/>
        <v>0</v>
      </c>
      <c r="N3378" s="33"/>
    </row>
    <row r="3379" spans="7:14" ht="16.5" customHeight="1">
      <c r="G3379" s="30">
        <f t="shared" si="288"/>
        <v>0</v>
      </c>
      <c r="H3379" s="31">
        <f t="shared" si="289"/>
        <v>0</v>
      </c>
      <c r="I3379" s="31">
        <f t="shared" si="290"/>
        <v>0</v>
      </c>
      <c r="J3379" s="31">
        <f t="shared" si="291"/>
        <v>0</v>
      </c>
      <c r="M3379" s="33">
        <f t="shared" si="287"/>
        <v>0</v>
      </c>
      <c r="N3379" s="33"/>
    </row>
    <row r="3380" spans="7:14" ht="16.5" customHeight="1">
      <c r="G3380" s="30">
        <f t="shared" si="288"/>
        <v>0</v>
      </c>
      <c r="H3380" s="31">
        <f t="shared" si="289"/>
        <v>0</v>
      </c>
      <c r="I3380" s="31">
        <f t="shared" si="290"/>
        <v>0</v>
      </c>
      <c r="J3380" s="31">
        <f t="shared" si="291"/>
        <v>0</v>
      </c>
      <c r="M3380" s="33">
        <f t="shared" si="287"/>
        <v>0</v>
      </c>
      <c r="N3380" s="33"/>
    </row>
    <row r="3381" spans="7:14" ht="16.5" customHeight="1">
      <c r="G3381" s="30">
        <f t="shared" si="288"/>
        <v>0</v>
      </c>
      <c r="H3381" s="31">
        <f t="shared" si="289"/>
        <v>0</v>
      </c>
      <c r="I3381" s="31">
        <f t="shared" si="290"/>
        <v>0</v>
      </c>
      <c r="J3381" s="31">
        <f t="shared" si="291"/>
        <v>0</v>
      </c>
      <c r="M3381" s="33">
        <f t="shared" si="287"/>
        <v>0</v>
      </c>
      <c r="N3381" s="33"/>
    </row>
    <row r="3382" spans="7:14" ht="16.5" customHeight="1">
      <c r="G3382" s="30">
        <f t="shared" si="288"/>
        <v>0</v>
      </c>
      <c r="H3382" s="31">
        <f t="shared" si="289"/>
        <v>0</v>
      </c>
      <c r="I3382" s="31">
        <f t="shared" si="290"/>
        <v>0</v>
      </c>
      <c r="J3382" s="31">
        <f t="shared" si="291"/>
        <v>0</v>
      </c>
      <c r="M3382" s="33">
        <f t="shared" si="287"/>
        <v>0</v>
      </c>
      <c r="N3382" s="33"/>
    </row>
    <row r="3383" spans="7:14" ht="16.5" customHeight="1">
      <c r="G3383" s="30">
        <f t="shared" si="288"/>
        <v>0</v>
      </c>
      <c r="H3383" s="31">
        <f t="shared" si="289"/>
        <v>0</v>
      </c>
      <c r="I3383" s="31">
        <f t="shared" si="290"/>
        <v>0</v>
      </c>
      <c r="J3383" s="31">
        <f t="shared" si="291"/>
        <v>0</v>
      </c>
      <c r="M3383" s="33">
        <f t="shared" si="287"/>
        <v>0</v>
      </c>
      <c r="N3383" s="33"/>
    </row>
    <row r="3384" spans="7:14" ht="16.5" customHeight="1">
      <c r="G3384" s="30">
        <f t="shared" si="288"/>
        <v>0</v>
      </c>
      <c r="H3384" s="31">
        <f t="shared" si="289"/>
        <v>0</v>
      </c>
      <c r="I3384" s="31">
        <f t="shared" si="290"/>
        <v>0</v>
      </c>
      <c r="J3384" s="31">
        <f t="shared" si="291"/>
        <v>0</v>
      </c>
      <c r="M3384" s="33">
        <f t="shared" si="287"/>
        <v>0</v>
      </c>
      <c r="N3384" s="33"/>
    </row>
    <row r="3385" spans="7:14" ht="16.5" customHeight="1">
      <c r="G3385" s="30">
        <f t="shared" si="288"/>
        <v>0</v>
      </c>
      <c r="H3385" s="31">
        <f t="shared" si="289"/>
        <v>0</v>
      </c>
      <c r="I3385" s="31">
        <f t="shared" si="290"/>
        <v>0</v>
      </c>
      <c r="J3385" s="31">
        <f t="shared" si="291"/>
        <v>0</v>
      </c>
      <c r="M3385" s="33">
        <f t="shared" si="287"/>
        <v>0</v>
      </c>
      <c r="N3385" s="33"/>
    </row>
    <row r="3386" spans="7:14" ht="16.5" customHeight="1">
      <c r="G3386" s="30">
        <f t="shared" si="288"/>
        <v>0</v>
      </c>
      <c r="H3386" s="31">
        <f t="shared" si="289"/>
        <v>0</v>
      </c>
      <c r="I3386" s="31">
        <f t="shared" si="290"/>
        <v>0</v>
      </c>
      <c r="J3386" s="31">
        <f t="shared" si="291"/>
        <v>0</v>
      </c>
      <c r="M3386" s="33">
        <f t="shared" si="287"/>
        <v>0</v>
      </c>
      <c r="N3386" s="33"/>
    </row>
    <row r="3387" spans="7:14" ht="16.5" customHeight="1">
      <c r="G3387" s="30">
        <f t="shared" si="288"/>
        <v>0</v>
      </c>
      <c r="H3387" s="31">
        <f t="shared" si="289"/>
        <v>0</v>
      </c>
      <c r="I3387" s="31">
        <f t="shared" si="290"/>
        <v>0</v>
      </c>
      <c r="J3387" s="31">
        <f t="shared" si="291"/>
        <v>0</v>
      </c>
      <c r="M3387" s="33">
        <f t="shared" si="287"/>
        <v>0</v>
      </c>
      <c r="N3387" s="33"/>
    </row>
    <row r="3388" spans="7:14" ht="16.5" customHeight="1">
      <c r="G3388" s="30">
        <f t="shared" si="288"/>
        <v>0</v>
      </c>
      <c r="H3388" s="31">
        <f t="shared" si="289"/>
        <v>0</v>
      </c>
      <c r="I3388" s="31">
        <f t="shared" si="290"/>
        <v>0</v>
      </c>
      <c r="J3388" s="31">
        <f t="shared" si="291"/>
        <v>0</v>
      </c>
      <c r="M3388" s="33">
        <f t="shared" si="287"/>
        <v>0</v>
      </c>
      <c r="N3388" s="33"/>
    </row>
    <row r="3389" spans="7:14" ht="16.5" customHeight="1">
      <c r="G3389" s="30">
        <f t="shared" si="288"/>
        <v>0</v>
      </c>
      <c r="H3389" s="31">
        <f t="shared" si="289"/>
        <v>0</v>
      </c>
      <c r="I3389" s="31">
        <f t="shared" si="290"/>
        <v>0</v>
      </c>
      <c r="J3389" s="31">
        <f t="shared" si="291"/>
        <v>0</v>
      </c>
      <c r="M3389" s="33">
        <f t="shared" si="287"/>
        <v>0</v>
      </c>
      <c r="N3389" s="33"/>
    </row>
    <row r="3390" spans="7:14" ht="16.5" customHeight="1">
      <c r="G3390" s="30">
        <f t="shared" si="288"/>
        <v>0</v>
      </c>
      <c r="H3390" s="31">
        <f t="shared" si="289"/>
        <v>0</v>
      </c>
      <c r="I3390" s="31">
        <f t="shared" si="290"/>
        <v>0</v>
      </c>
      <c r="J3390" s="31">
        <f t="shared" si="291"/>
        <v>0</v>
      </c>
      <c r="M3390" s="33">
        <f t="shared" ref="M3390:M3453" si="292">IF(P3390="TL tuyệt đối",0, IF(K3390&lt;5,0,IF(K3390&lt;50,K3390*9%,IF(K3390&lt;100,4.5,IF(K3390&lt;200,4.5%*K3390,IF(K3390&lt;300,9,IF(K3390&lt;500,K3390*3%,IF(K3390&lt;1000,15,))))))))</f>
        <v>0</v>
      </c>
      <c r="N3390" s="33"/>
    </row>
    <row r="3391" spans="7:14" ht="16.5" customHeight="1">
      <c r="G3391" s="30">
        <f t="shared" si="288"/>
        <v>0</v>
      </c>
      <c r="H3391" s="31">
        <f t="shared" si="289"/>
        <v>0</v>
      </c>
      <c r="I3391" s="31">
        <f t="shared" si="290"/>
        <v>0</v>
      </c>
      <c r="J3391" s="31">
        <f t="shared" si="291"/>
        <v>0</v>
      </c>
      <c r="M3391" s="33">
        <f t="shared" si="292"/>
        <v>0</v>
      </c>
      <c r="N3391" s="33"/>
    </row>
    <row r="3392" spans="7:14" ht="16.5" customHeight="1">
      <c r="G3392" s="30">
        <f t="shared" ref="G3392:G3455" si="293">IF(P3392="TL tuyệt đối",K3392*103%,K3392+1/3*M3392)</f>
        <v>0</v>
      </c>
      <c r="H3392" s="31">
        <f t="shared" ref="H3392:H3455" si="294">IF(P3392="TL tuyệt đối",K3392*101%,K3392-1/3*M3392)</f>
        <v>0</v>
      </c>
      <c r="I3392" s="31">
        <f t="shared" ref="I3392:I3455" si="295">IF(P3392="TL tuyệt đối", K3392*105%,K3392+M3392)</f>
        <v>0</v>
      </c>
      <c r="J3392" s="31">
        <f t="shared" si="291"/>
        <v>0</v>
      </c>
      <c r="M3392" s="33">
        <f t="shared" si="292"/>
        <v>0</v>
      </c>
      <c r="N3392" s="33"/>
    </row>
    <row r="3393" spans="7:14" ht="16.5" customHeight="1">
      <c r="G3393" s="30">
        <f t="shared" si="293"/>
        <v>0</v>
      </c>
      <c r="H3393" s="31">
        <f t="shared" si="294"/>
        <v>0</v>
      </c>
      <c r="I3393" s="31">
        <f t="shared" si="295"/>
        <v>0</v>
      </c>
      <c r="J3393" s="31">
        <f t="shared" si="291"/>
        <v>0</v>
      </c>
      <c r="M3393" s="33">
        <f t="shared" si="292"/>
        <v>0</v>
      </c>
      <c r="N3393" s="33"/>
    </row>
    <row r="3394" spans="7:14" ht="16.5" customHeight="1">
      <c r="G3394" s="30">
        <f t="shared" si="293"/>
        <v>0</v>
      </c>
      <c r="H3394" s="31">
        <f t="shared" si="294"/>
        <v>0</v>
      </c>
      <c r="I3394" s="31">
        <f t="shared" si="295"/>
        <v>0</v>
      </c>
      <c r="J3394" s="31">
        <f t="shared" si="291"/>
        <v>0</v>
      </c>
      <c r="M3394" s="33">
        <f t="shared" si="292"/>
        <v>0</v>
      </c>
      <c r="N3394" s="33"/>
    </row>
    <row r="3395" spans="7:14" ht="16.5" customHeight="1">
      <c r="G3395" s="30">
        <f t="shared" si="293"/>
        <v>0</v>
      </c>
      <c r="H3395" s="31">
        <f t="shared" si="294"/>
        <v>0</v>
      </c>
      <c r="I3395" s="31">
        <f t="shared" si="295"/>
        <v>0</v>
      </c>
      <c r="J3395" s="31">
        <f t="shared" si="291"/>
        <v>0</v>
      </c>
      <c r="M3395" s="33">
        <f t="shared" si="292"/>
        <v>0</v>
      </c>
      <c r="N3395" s="33"/>
    </row>
    <row r="3396" spans="7:14" ht="16.5" customHeight="1">
      <c r="G3396" s="30">
        <f t="shared" si="293"/>
        <v>0</v>
      </c>
      <c r="H3396" s="31">
        <f t="shared" si="294"/>
        <v>0</v>
      </c>
      <c r="I3396" s="31">
        <f t="shared" si="295"/>
        <v>0</v>
      </c>
      <c r="J3396" s="31">
        <f t="shared" ref="J3396:J3459" si="296">K3396-M3396</f>
        <v>0</v>
      </c>
      <c r="M3396" s="33">
        <f t="shared" si="292"/>
        <v>0</v>
      </c>
      <c r="N3396" s="33"/>
    </row>
    <row r="3397" spans="7:14" ht="16.5" customHeight="1">
      <c r="G3397" s="30">
        <f t="shared" si="293"/>
        <v>0</v>
      </c>
      <c r="H3397" s="31">
        <f t="shared" si="294"/>
        <v>0</v>
      </c>
      <c r="I3397" s="31">
        <f t="shared" si="295"/>
        <v>0</v>
      </c>
      <c r="J3397" s="31">
        <f t="shared" si="296"/>
        <v>0</v>
      </c>
      <c r="M3397" s="33">
        <f t="shared" si="292"/>
        <v>0</v>
      </c>
      <c r="N3397" s="33"/>
    </row>
    <row r="3398" spans="7:14" ht="16.5" customHeight="1">
      <c r="G3398" s="30">
        <f t="shared" si="293"/>
        <v>0</v>
      </c>
      <c r="H3398" s="31">
        <f t="shared" si="294"/>
        <v>0</v>
      </c>
      <c r="I3398" s="31">
        <f t="shared" si="295"/>
        <v>0</v>
      </c>
      <c r="J3398" s="31">
        <f t="shared" si="296"/>
        <v>0</v>
      </c>
      <c r="M3398" s="33">
        <f t="shared" si="292"/>
        <v>0</v>
      </c>
      <c r="N3398" s="33"/>
    </row>
    <row r="3399" spans="7:14" ht="16.5" customHeight="1">
      <c r="G3399" s="30">
        <f t="shared" si="293"/>
        <v>0</v>
      </c>
      <c r="H3399" s="31">
        <f t="shared" si="294"/>
        <v>0</v>
      </c>
      <c r="I3399" s="31">
        <f t="shared" si="295"/>
        <v>0</v>
      </c>
      <c r="J3399" s="31">
        <f t="shared" si="296"/>
        <v>0</v>
      </c>
      <c r="M3399" s="33">
        <f t="shared" si="292"/>
        <v>0</v>
      </c>
      <c r="N3399" s="33"/>
    </row>
    <row r="3400" spans="7:14" ht="16.5" customHeight="1">
      <c r="G3400" s="30">
        <f t="shared" si="293"/>
        <v>0</v>
      </c>
      <c r="H3400" s="31">
        <f t="shared" si="294"/>
        <v>0</v>
      </c>
      <c r="I3400" s="31">
        <f t="shared" si="295"/>
        <v>0</v>
      </c>
      <c r="J3400" s="31">
        <f t="shared" si="296"/>
        <v>0</v>
      </c>
      <c r="M3400" s="33">
        <f t="shared" si="292"/>
        <v>0</v>
      </c>
      <c r="N3400" s="33"/>
    </row>
    <row r="3401" spans="7:14" ht="16.5" customHeight="1">
      <c r="G3401" s="30">
        <f t="shared" si="293"/>
        <v>0</v>
      </c>
      <c r="H3401" s="31">
        <f t="shared" si="294"/>
        <v>0</v>
      </c>
      <c r="I3401" s="31">
        <f t="shared" si="295"/>
        <v>0</v>
      </c>
      <c r="J3401" s="31">
        <f t="shared" si="296"/>
        <v>0</v>
      </c>
      <c r="M3401" s="33">
        <f t="shared" si="292"/>
        <v>0</v>
      </c>
      <c r="N3401" s="33"/>
    </row>
    <row r="3402" spans="7:14" ht="16.5" customHeight="1">
      <c r="G3402" s="30">
        <f t="shared" si="293"/>
        <v>0</v>
      </c>
      <c r="H3402" s="31">
        <f t="shared" si="294"/>
        <v>0</v>
      </c>
      <c r="I3402" s="31">
        <f t="shared" si="295"/>
        <v>0</v>
      </c>
      <c r="J3402" s="31">
        <f t="shared" si="296"/>
        <v>0</v>
      </c>
      <c r="M3402" s="33">
        <f t="shared" si="292"/>
        <v>0</v>
      </c>
      <c r="N3402" s="33"/>
    </row>
    <row r="3403" spans="7:14" ht="16.5" customHeight="1">
      <c r="G3403" s="30">
        <f t="shared" si="293"/>
        <v>0</v>
      </c>
      <c r="H3403" s="31">
        <f t="shared" si="294"/>
        <v>0</v>
      </c>
      <c r="I3403" s="31">
        <f t="shared" si="295"/>
        <v>0</v>
      </c>
      <c r="J3403" s="31">
        <f t="shared" si="296"/>
        <v>0</v>
      </c>
      <c r="M3403" s="33">
        <f t="shared" si="292"/>
        <v>0</v>
      </c>
      <c r="N3403" s="33"/>
    </row>
    <row r="3404" spans="7:14" ht="16.5" customHeight="1">
      <c r="G3404" s="30">
        <f t="shared" si="293"/>
        <v>0</v>
      </c>
      <c r="H3404" s="31">
        <f t="shared" si="294"/>
        <v>0</v>
      </c>
      <c r="I3404" s="31">
        <f t="shared" si="295"/>
        <v>0</v>
      </c>
      <c r="J3404" s="31">
        <f t="shared" si="296"/>
        <v>0</v>
      </c>
      <c r="M3404" s="33">
        <f t="shared" si="292"/>
        <v>0</v>
      </c>
      <c r="N3404" s="33"/>
    </row>
    <row r="3405" spans="7:14" ht="16.5" customHeight="1">
      <c r="G3405" s="30">
        <f t="shared" si="293"/>
        <v>0</v>
      </c>
      <c r="H3405" s="31">
        <f t="shared" si="294"/>
        <v>0</v>
      </c>
      <c r="I3405" s="31">
        <f t="shared" si="295"/>
        <v>0</v>
      </c>
      <c r="J3405" s="31">
        <f t="shared" si="296"/>
        <v>0</v>
      </c>
      <c r="M3405" s="33">
        <f t="shared" si="292"/>
        <v>0</v>
      </c>
      <c r="N3405" s="33"/>
    </row>
    <row r="3406" spans="7:14" ht="16.5" customHeight="1">
      <c r="G3406" s="30">
        <f t="shared" si="293"/>
        <v>0</v>
      </c>
      <c r="H3406" s="31">
        <f t="shared" si="294"/>
        <v>0</v>
      </c>
      <c r="I3406" s="31">
        <f t="shared" si="295"/>
        <v>0</v>
      </c>
      <c r="J3406" s="31">
        <f t="shared" si="296"/>
        <v>0</v>
      </c>
      <c r="M3406" s="33">
        <f t="shared" si="292"/>
        <v>0</v>
      </c>
      <c r="N3406" s="33"/>
    </row>
    <row r="3407" spans="7:14" ht="16.5" customHeight="1">
      <c r="G3407" s="30">
        <f t="shared" si="293"/>
        <v>0</v>
      </c>
      <c r="H3407" s="31">
        <f t="shared" si="294"/>
        <v>0</v>
      </c>
      <c r="I3407" s="31">
        <f t="shared" si="295"/>
        <v>0</v>
      </c>
      <c r="J3407" s="31">
        <f t="shared" si="296"/>
        <v>0</v>
      </c>
      <c r="M3407" s="33">
        <f t="shared" si="292"/>
        <v>0</v>
      </c>
      <c r="N3407" s="33"/>
    </row>
    <row r="3408" spans="7:14" ht="16.5" customHeight="1">
      <c r="G3408" s="30">
        <f t="shared" si="293"/>
        <v>0</v>
      </c>
      <c r="H3408" s="31">
        <f t="shared" si="294"/>
        <v>0</v>
      </c>
      <c r="I3408" s="31">
        <f t="shared" si="295"/>
        <v>0</v>
      </c>
      <c r="J3408" s="31">
        <f t="shared" si="296"/>
        <v>0</v>
      </c>
      <c r="M3408" s="33">
        <f t="shared" si="292"/>
        <v>0</v>
      </c>
      <c r="N3408" s="33"/>
    </row>
    <row r="3409" spans="7:14" ht="16.5" customHeight="1">
      <c r="G3409" s="30">
        <f t="shared" si="293"/>
        <v>0</v>
      </c>
      <c r="H3409" s="31">
        <f t="shared" si="294"/>
        <v>0</v>
      </c>
      <c r="I3409" s="31">
        <f t="shared" si="295"/>
        <v>0</v>
      </c>
      <c r="J3409" s="31">
        <f t="shared" si="296"/>
        <v>0</v>
      </c>
      <c r="M3409" s="33">
        <f t="shared" si="292"/>
        <v>0</v>
      </c>
      <c r="N3409" s="33"/>
    </row>
    <row r="3410" spans="7:14" ht="16.5" customHeight="1">
      <c r="G3410" s="30">
        <f t="shared" si="293"/>
        <v>0</v>
      </c>
      <c r="H3410" s="31">
        <f t="shared" si="294"/>
        <v>0</v>
      </c>
      <c r="I3410" s="31">
        <f t="shared" si="295"/>
        <v>0</v>
      </c>
      <c r="J3410" s="31">
        <f t="shared" si="296"/>
        <v>0</v>
      </c>
      <c r="M3410" s="33">
        <f t="shared" si="292"/>
        <v>0</v>
      </c>
      <c r="N3410" s="33"/>
    </row>
    <row r="3411" spans="7:14" ht="16.5" customHeight="1">
      <c r="G3411" s="30">
        <f t="shared" si="293"/>
        <v>0</v>
      </c>
      <c r="H3411" s="31">
        <f t="shared" si="294"/>
        <v>0</v>
      </c>
      <c r="I3411" s="31">
        <f t="shared" si="295"/>
        <v>0</v>
      </c>
      <c r="J3411" s="31">
        <f t="shared" si="296"/>
        <v>0</v>
      </c>
      <c r="M3411" s="33">
        <f t="shared" si="292"/>
        <v>0</v>
      </c>
      <c r="N3411" s="33"/>
    </row>
    <row r="3412" spans="7:14" ht="16.5" customHeight="1">
      <c r="G3412" s="30">
        <f t="shared" si="293"/>
        <v>0</v>
      </c>
      <c r="H3412" s="31">
        <f t="shared" si="294"/>
        <v>0</v>
      </c>
      <c r="I3412" s="31">
        <f t="shared" si="295"/>
        <v>0</v>
      </c>
      <c r="J3412" s="31">
        <f t="shared" si="296"/>
        <v>0</v>
      </c>
      <c r="M3412" s="33">
        <f t="shared" si="292"/>
        <v>0</v>
      </c>
      <c r="N3412" s="33"/>
    </row>
    <row r="3413" spans="7:14" ht="16.5" customHeight="1">
      <c r="G3413" s="30">
        <f t="shared" si="293"/>
        <v>0</v>
      </c>
      <c r="H3413" s="31">
        <f t="shared" si="294"/>
        <v>0</v>
      </c>
      <c r="I3413" s="31">
        <f t="shared" si="295"/>
        <v>0</v>
      </c>
      <c r="J3413" s="31">
        <f t="shared" si="296"/>
        <v>0</v>
      </c>
      <c r="M3413" s="33">
        <f t="shared" si="292"/>
        <v>0</v>
      </c>
      <c r="N3413" s="33"/>
    </row>
    <row r="3414" spans="7:14" ht="16.5" customHeight="1">
      <c r="G3414" s="30">
        <f t="shared" si="293"/>
        <v>0</v>
      </c>
      <c r="H3414" s="31">
        <f t="shared" si="294"/>
        <v>0</v>
      </c>
      <c r="I3414" s="31">
        <f t="shared" si="295"/>
        <v>0</v>
      </c>
      <c r="J3414" s="31">
        <f t="shared" si="296"/>
        <v>0</v>
      </c>
      <c r="M3414" s="33">
        <f t="shared" si="292"/>
        <v>0</v>
      </c>
      <c r="N3414" s="33"/>
    </row>
    <row r="3415" spans="7:14" ht="16.5" customHeight="1">
      <c r="G3415" s="30">
        <f t="shared" si="293"/>
        <v>0</v>
      </c>
      <c r="H3415" s="31">
        <f t="shared" si="294"/>
        <v>0</v>
      </c>
      <c r="I3415" s="31">
        <f t="shared" si="295"/>
        <v>0</v>
      </c>
      <c r="J3415" s="31">
        <f t="shared" si="296"/>
        <v>0</v>
      </c>
      <c r="M3415" s="33">
        <f t="shared" si="292"/>
        <v>0</v>
      </c>
      <c r="N3415" s="33"/>
    </row>
    <row r="3416" spans="7:14" ht="16.5" customHeight="1">
      <c r="G3416" s="30">
        <f t="shared" si="293"/>
        <v>0</v>
      </c>
      <c r="H3416" s="31">
        <f t="shared" si="294"/>
        <v>0</v>
      </c>
      <c r="I3416" s="31">
        <f t="shared" si="295"/>
        <v>0</v>
      </c>
      <c r="J3416" s="31">
        <f t="shared" si="296"/>
        <v>0</v>
      </c>
      <c r="M3416" s="33">
        <f t="shared" si="292"/>
        <v>0</v>
      </c>
      <c r="N3416" s="33"/>
    </row>
    <row r="3417" spans="7:14" ht="16.5" customHeight="1">
      <c r="G3417" s="30">
        <f t="shared" si="293"/>
        <v>0</v>
      </c>
      <c r="H3417" s="31">
        <f t="shared" si="294"/>
        <v>0</v>
      </c>
      <c r="I3417" s="31">
        <f t="shared" si="295"/>
        <v>0</v>
      </c>
      <c r="J3417" s="31">
        <f t="shared" si="296"/>
        <v>0</v>
      </c>
      <c r="M3417" s="33">
        <f t="shared" si="292"/>
        <v>0</v>
      </c>
      <c r="N3417" s="33"/>
    </row>
    <row r="3418" spans="7:14" ht="16.5" customHeight="1">
      <c r="G3418" s="30">
        <f t="shared" si="293"/>
        <v>0</v>
      </c>
      <c r="H3418" s="31">
        <f t="shared" si="294"/>
        <v>0</v>
      </c>
      <c r="I3418" s="31">
        <f t="shared" si="295"/>
        <v>0</v>
      </c>
      <c r="J3418" s="31">
        <f t="shared" si="296"/>
        <v>0</v>
      </c>
      <c r="M3418" s="33">
        <f t="shared" si="292"/>
        <v>0</v>
      </c>
      <c r="N3418" s="33"/>
    </row>
    <row r="3419" spans="7:14" ht="16.5" customHeight="1">
      <c r="G3419" s="30">
        <f t="shared" si="293"/>
        <v>0</v>
      </c>
      <c r="H3419" s="31">
        <f t="shared" si="294"/>
        <v>0</v>
      </c>
      <c r="I3419" s="31">
        <f t="shared" si="295"/>
        <v>0</v>
      </c>
      <c r="J3419" s="31">
        <f t="shared" si="296"/>
        <v>0</v>
      </c>
      <c r="M3419" s="33">
        <f t="shared" si="292"/>
        <v>0</v>
      </c>
      <c r="N3419" s="33"/>
    </row>
    <row r="3420" spans="7:14" ht="16.5" customHeight="1">
      <c r="G3420" s="30">
        <f t="shared" si="293"/>
        <v>0</v>
      </c>
      <c r="H3420" s="31">
        <f t="shared" si="294"/>
        <v>0</v>
      </c>
      <c r="I3420" s="31">
        <f t="shared" si="295"/>
        <v>0</v>
      </c>
      <c r="J3420" s="31">
        <f t="shared" si="296"/>
        <v>0</v>
      </c>
      <c r="M3420" s="33">
        <f t="shared" si="292"/>
        <v>0</v>
      </c>
      <c r="N3420" s="33"/>
    </row>
    <row r="3421" spans="7:14" ht="16.5" customHeight="1">
      <c r="G3421" s="30">
        <f t="shared" si="293"/>
        <v>0</v>
      </c>
      <c r="H3421" s="31">
        <f t="shared" si="294"/>
        <v>0</v>
      </c>
      <c r="I3421" s="31">
        <f t="shared" si="295"/>
        <v>0</v>
      </c>
      <c r="J3421" s="31">
        <f t="shared" si="296"/>
        <v>0</v>
      </c>
      <c r="M3421" s="33">
        <f t="shared" si="292"/>
        <v>0</v>
      </c>
      <c r="N3421" s="33"/>
    </row>
    <row r="3422" spans="7:14" ht="16.5" customHeight="1">
      <c r="G3422" s="30">
        <f t="shared" si="293"/>
        <v>0</v>
      </c>
      <c r="H3422" s="31">
        <f t="shared" si="294"/>
        <v>0</v>
      </c>
      <c r="I3422" s="31">
        <f t="shared" si="295"/>
        <v>0</v>
      </c>
      <c r="J3422" s="31">
        <f t="shared" si="296"/>
        <v>0</v>
      </c>
      <c r="M3422" s="33">
        <f t="shared" si="292"/>
        <v>0</v>
      </c>
      <c r="N3422" s="33"/>
    </row>
    <row r="3423" spans="7:14" ht="16.5" customHeight="1">
      <c r="G3423" s="30">
        <f t="shared" si="293"/>
        <v>0</v>
      </c>
      <c r="H3423" s="31">
        <f t="shared" si="294"/>
        <v>0</v>
      </c>
      <c r="I3423" s="31">
        <f t="shared" si="295"/>
        <v>0</v>
      </c>
      <c r="J3423" s="31">
        <f t="shared" si="296"/>
        <v>0</v>
      </c>
      <c r="M3423" s="33">
        <f t="shared" si="292"/>
        <v>0</v>
      </c>
      <c r="N3423" s="33"/>
    </row>
    <row r="3424" spans="7:14" ht="16.5" customHeight="1">
      <c r="G3424" s="30">
        <f t="shared" si="293"/>
        <v>0</v>
      </c>
      <c r="H3424" s="31">
        <f t="shared" si="294"/>
        <v>0</v>
      </c>
      <c r="I3424" s="31">
        <f t="shared" si="295"/>
        <v>0</v>
      </c>
      <c r="J3424" s="31">
        <f t="shared" si="296"/>
        <v>0</v>
      </c>
      <c r="M3424" s="33">
        <f t="shared" si="292"/>
        <v>0</v>
      </c>
      <c r="N3424" s="33"/>
    </row>
    <row r="3425" spans="7:14" ht="16.5" customHeight="1">
      <c r="G3425" s="30">
        <f t="shared" si="293"/>
        <v>0</v>
      </c>
      <c r="H3425" s="31">
        <f t="shared" si="294"/>
        <v>0</v>
      </c>
      <c r="I3425" s="31">
        <f t="shared" si="295"/>
        <v>0</v>
      </c>
      <c r="J3425" s="31">
        <f t="shared" si="296"/>
        <v>0</v>
      </c>
      <c r="M3425" s="33">
        <f t="shared" si="292"/>
        <v>0</v>
      </c>
      <c r="N3425" s="33"/>
    </row>
    <row r="3426" spans="7:14" ht="16.5" customHeight="1">
      <c r="G3426" s="30">
        <f t="shared" si="293"/>
        <v>0</v>
      </c>
      <c r="H3426" s="31">
        <f t="shared" si="294"/>
        <v>0</v>
      </c>
      <c r="I3426" s="31">
        <f t="shared" si="295"/>
        <v>0</v>
      </c>
      <c r="J3426" s="31">
        <f t="shared" si="296"/>
        <v>0</v>
      </c>
      <c r="M3426" s="33">
        <f t="shared" si="292"/>
        <v>0</v>
      </c>
      <c r="N3426" s="33"/>
    </row>
    <row r="3427" spans="7:14" ht="16.5" customHeight="1">
      <c r="G3427" s="30">
        <f t="shared" si="293"/>
        <v>0</v>
      </c>
      <c r="H3427" s="31">
        <f t="shared" si="294"/>
        <v>0</v>
      </c>
      <c r="I3427" s="31">
        <f t="shared" si="295"/>
        <v>0</v>
      </c>
      <c r="J3427" s="31">
        <f t="shared" si="296"/>
        <v>0</v>
      </c>
      <c r="M3427" s="33">
        <f t="shared" si="292"/>
        <v>0</v>
      </c>
      <c r="N3427" s="33"/>
    </row>
    <row r="3428" spans="7:14" ht="16.5" customHeight="1">
      <c r="G3428" s="30">
        <f t="shared" si="293"/>
        <v>0</v>
      </c>
      <c r="H3428" s="31">
        <f t="shared" si="294"/>
        <v>0</v>
      </c>
      <c r="I3428" s="31">
        <f t="shared" si="295"/>
        <v>0</v>
      </c>
      <c r="J3428" s="31">
        <f t="shared" si="296"/>
        <v>0</v>
      </c>
      <c r="M3428" s="33">
        <f t="shared" si="292"/>
        <v>0</v>
      </c>
      <c r="N3428" s="33"/>
    </row>
    <row r="3429" spans="7:14" ht="16.5" customHeight="1">
      <c r="G3429" s="30">
        <f t="shared" si="293"/>
        <v>0</v>
      </c>
      <c r="H3429" s="31">
        <f t="shared" si="294"/>
        <v>0</v>
      </c>
      <c r="I3429" s="31">
        <f t="shared" si="295"/>
        <v>0</v>
      </c>
      <c r="J3429" s="31">
        <f t="shared" si="296"/>
        <v>0</v>
      </c>
      <c r="M3429" s="33">
        <f t="shared" si="292"/>
        <v>0</v>
      </c>
      <c r="N3429" s="33"/>
    </row>
    <row r="3430" spans="7:14" ht="16.5" customHeight="1">
      <c r="G3430" s="30">
        <f t="shared" si="293"/>
        <v>0</v>
      </c>
      <c r="H3430" s="31">
        <f t="shared" si="294"/>
        <v>0</v>
      </c>
      <c r="I3430" s="31">
        <f t="shared" si="295"/>
        <v>0</v>
      </c>
      <c r="J3430" s="31">
        <f t="shared" si="296"/>
        <v>0</v>
      </c>
      <c r="M3430" s="33">
        <f t="shared" si="292"/>
        <v>0</v>
      </c>
      <c r="N3430" s="33"/>
    </row>
    <row r="3431" spans="7:14" ht="16.5" customHeight="1">
      <c r="G3431" s="30">
        <f t="shared" si="293"/>
        <v>0</v>
      </c>
      <c r="H3431" s="31">
        <f t="shared" si="294"/>
        <v>0</v>
      </c>
      <c r="I3431" s="31">
        <f t="shared" si="295"/>
        <v>0</v>
      </c>
      <c r="J3431" s="31">
        <f t="shared" si="296"/>
        <v>0</v>
      </c>
      <c r="M3431" s="33">
        <f t="shared" si="292"/>
        <v>0</v>
      </c>
      <c r="N3431" s="33"/>
    </row>
    <row r="3432" spans="7:14" ht="16.5" customHeight="1">
      <c r="G3432" s="30">
        <f t="shared" si="293"/>
        <v>0</v>
      </c>
      <c r="H3432" s="31">
        <f t="shared" si="294"/>
        <v>0</v>
      </c>
      <c r="I3432" s="31">
        <f t="shared" si="295"/>
        <v>0</v>
      </c>
      <c r="J3432" s="31">
        <f t="shared" si="296"/>
        <v>0</v>
      </c>
      <c r="M3432" s="33">
        <f t="shared" si="292"/>
        <v>0</v>
      </c>
      <c r="N3432" s="33"/>
    </row>
    <row r="3433" spans="7:14" ht="16.5" customHeight="1">
      <c r="G3433" s="30">
        <f t="shared" si="293"/>
        <v>0</v>
      </c>
      <c r="H3433" s="31">
        <f t="shared" si="294"/>
        <v>0</v>
      </c>
      <c r="I3433" s="31">
        <f t="shared" si="295"/>
        <v>0</v>
      </c>
      <c r="J3433" s="31">
        <f t="shared" si="296"/>
        <v>0</v>
      </c>
      <c r="M3433" s="33">
        <f t="shared" si="292"/>
        <v>0</v>
      </c>
      <c r="N3433" s="33"/>
    </row>
    <row r="3434" spans="7:14" ht="16.5" customHeight="1">
      <c r="G3434" s="30">
        <f t="shared" si="293"/>
        <v>0</v>
      </c>
      <c r="H3434" s="31">
        <f t="shared" si="294"/>
        <v>0</v>
      </c>
      <c r="I3434" s="31">
        <f t="shared" si="295"/>
        <v>0</v>
      </c>
      <c r="J3434" s="31">
        <f t="shared" si="296"/>
        <v>0</v>
      </c>
      <c r="M3434" s="33">
        <f t="shared" si="292"/>
        <v>0</v>
      </c>
      <c r="N3434" s="33"/>
    </row>
    <row r="3435" spans="7:14" ht="16.5" customHeight="1">
      <c r="G3435" s="30">
        <f t="shared" si="293"/>
        <v>0</v>
      </c>
      <c r="H3435" s="31">
        <f t="shared" si="294"/>
        <v>0</v>
      </c>
      <c r="I3435" s="31">
        <f t="shared" si="295"/>
        <v>0</v>
      </c>
      <c r="J3435" s="31">
        <f t="shared" si="296"/>
        <v>0</v>
      </c>
      <c r="M3435" s="33">
        <f t="shared" si="292"/>
        <v>0</v>
      </c>
      <c r="N3435" s="33"/>
    </row>
    <row r="3436" spans="7:14" ht="16.5" customHeight="1">
      <c r="G3436" s="30">
        <f t="shared" si="293"/>
        <v>0</v>
      </c>
      <c r="H3436" s="31">
        <f t="shared" si="294"/>
        <v>0</v>
      </c>
      <c r="I3436" s="31">
        <f t="shared" si="295"/>
        <v>0</v>
      </c>
      <c r="J3436" s="31">
        <f t="shared" si="296"/>
        <v>0</v>
      </c>
      <c r="M3436" s="33">
        <f t="shared" si="292"/>
        <v>0</v>
      </c>
      <c r="N3436" s="33"/>
    </row>
    <row r="3437" spans="7:14" ht="16.5" customHeight="1">
      <c r="G3437" s="30">
        <f t="shared" si="293"/>
        <v>0</v>
      </c>
      <c r="H3437" s="31">
        <f t="shared" si="294"/>
        <v>0</v>
      </c>
      <c r="I3437" s="31">
        <f t="shared" si="295"/>
        <v>0</v>
      </c>
      <c r="J3437" s="31">
        <f t="shared" si="296"/>
        <v>0</v>
      </c>
      <c r="M3437" s="33">
        <f t="shared" si="292"/>
        <v>0</v>
      </c>
      <c r="N3437" s="33"/>
    </row>
    <row r="3438" spans="7:14" ht="16.5" customHeight="1">
      <c r="G3438" s="30">
        <f t="shared" si="293"/>
        <v>0</v>
      </c>
      <c r="H3438" s="31">
        <f t="shared" si="294"/>
        <v>0</v>
      </c>
      <c r="I3438" s="31">
        <f t="shared" si="295"/>
        <v>0</v>
      </c>
      <c r="J3438" s="31">
        <f t="shared" si="296"/>
        <v>0</v>
      </c>
      <c r="M3438" s="33">
        <f t="shared" si="292"/>
        <v>0</v>
      </c>
      <c r="N3438" s="33"/>
    </row>
    <row r="3439" spans="7:14" ht="16.5" customHeight="1">
      <c r="G3439" s="30">
        <f t="shared" si="293"/>
        <v>0</v>
      </c>
      <c r="H3439" s="31">
        <f t="shared" si="294"/>
        <v>0</v>
      </c>
      <c r="I3439" s="31">
        <f t="shared" si="295"/>
        <v>0</v>
      </c>
      <c r="J3439" s="31">
        <f t="shared" si="296"/>
        <v>0</v>
      </c>
      <c r="M3439" s="33">
        <f t="shared" si="292"/>
        <v>0</v>
      </c>
      <c r="N3439" s="33"/>
    </row>
    <row r="3440" spans="7:14" ht="16.5" customHeight="1">
      <c r="G3440" s="30">
        <f t="shared" si="293"/>
        <v>0</v>
      </c>
      <c r="H3440" s="31">
        <f t="shared" si="294"/>
        <v>0</v>
      </c>
      <c r="I3440" s="31">
        <f t="shared" si="295"/>
        <v>0</v>
      </c>
      <c r="J3440" s="31">
        <f t="shared" si="296"/>
        <v>0</v>
      </c>
      <c r="M3440" s="33">
        <f t="shared" si="292"/>
        <v>0</v>
      </c>
      <c r="N3440" s="33"/>
    </row>
    <row r="3441" spans="7:14" ht="16.5" customHeight="1">
      <c r="G3441" s="30">
        <f t="shared" si="293"/>
        <v>0</v>
      </c>
      <c r="H3441" s="31">
        <f t="shared" si="294"/>
        <v>0</v>
      </c>
      <c r="I3441" s="31">
        <f t="shared" si="295"/>
        <v>0</v>
      </c>
      <c r="J3441" s="31">
        <f t="shared" si="296"/>
        <v>0</v>
      </c>
      <c r="M3441" s="33">
        <f t="shared" si="292"/>
        <v>0</v>
      </c>
      <c r="N3441" s="33"/>
    </row>
    <row r="3442" spans="7:14" ht="16.5" customHeight="1">
      <c r="G3442" s="30">
        <f t="shared" si="293"/>
        <v>0</v>
      </c>
      <c r="H3442" s="31">
        <f t="shared" si="294"/>
        <v>0</v>
      </c>
      <c r="I3442" s="31">
        <f t="shared" si="295"/>
        <v>0</v>
      </c>
      <c r="J3442" s="31">
        <f t="shared" si="296"/>
        <v>0</v>
      </c>
      <c r="M3442" s="33">
        <f t="shared" si="292"/>
        <v>0</v>
      </c>
      <c r="N3442" s="33"/>
    </row>
    <row r="3443" spans="7:14" ht="16.5" customHeight="1">
      <c r="G3443" s="30">
        <f t="shared" si="293"/>
        <v>0</v>
      </c>
      <c r="H3443" s="31">
        <f t="shared" si="294"/>
        <v>0</v>
      </c>
      <c r="I3443" s="31">
        <f t="shared" si="295"/>
        <v>0</v>
      </c>
      <c r="J3443" s="31">
        <f t="shared" si="296"/>
        <v>0</v>
      </c>
      <c r="M3443" s="33">
        <f t="shared" si="292"/>
        <v>0</v>
      </c>
      <c r="N3443" s="33"/>
    </row>
    <row r="3444" spans="7:14" ht="16.5" customHeight="1">
      <c r="G3444" s="30">
        <f t="shared" si="293"/>
        <v>0</v>
      </c>
      <c r="H3444" s="31">
        <f t="shared" si="294"/>
        <v>0</v>
      </c>
      <c r="I3444" s="31">
        <f t="shared" si="295"/>
        <v>0</v>
      </c>
      <c r="J3444" s="31">
        <f t="shared" si="296"/>
        <v>0</v>
      </c>
      <c r="M3444" s="33">
        <f t="shared" si="292"/>
        <v>0</v>
      </c>
      <c r="N3444" s="33"/>
    </row>
    <row r="3445" spans="7:14" ht="16.5" customHeight="1">
      <c r="G3445" s="30">
        <f t="shared" si="293"/>
        <v>0</v>
      </c>
      <c r="H3445" s="31">
        <f t="shared" si="294"/>
        <v>0</v>
      </c>
      <c r="I3445" s="31">
        <f t="shared" si="295"/>
        <v>0</v>
      </c>
      <c r="J3445" s="31">
        <f t="shared" si="296"/>
        <v>0</v>
      </c>
      <c r="M3445" s="33">
        <f t="shared" si="292"/>
        <v>0</v>
      </c>
      <c r="N3445" s="33"/>
    </row>
    <row r="3446" spans="7:14" ht="16.5" customHeight="1">
      <c r="G3446" s="30">
        <f t="shared" si="293"/>
        <v>0</v>
      </c>
      <c r="H3446" s="31">
        <f t="shared" si="294"/>
        <v>0</v>
      </c>
      <c r="I3446" s="31">
        <f t="shared" si="295"/>
        <v>0</v>
      </c>
      <c r="J3446" s="31">
        <f t="shared" si="296"/>
        <v>0</v>
      </c>
      <c r="M3446" s="33">
        <f t="shared" si="292"/>
        <v>0</v>
      </c>
      <c r="N3446" s="33"/>
    </row>
    <row r="3447" spans="7:14" ht="16.5" customHeight="1">
      <c r="G3447" s="30">
        <f t="shared" si="293"/>
        <v>0</v>
      </c>
      <c r="H3447" s="31">
        <f t="shared" si="294"/>
        <v>0</v>
      </c>
      <c r="I3447" s="31">
        <f t="shared" si="295"/>
        <v>0</v>
      </c>
      <c r="J3447" s="31">
        <f t="shared" si="296"/>
        <v>0</v>
      </c>
      <c r="M3447" s="33">
        <f t="shared" si="292"/>
        <v>0</v>
      </c>
      <c r="N3447" s="33"/>
    </row>
    <row r="3448" spans="7:14" ht="16.5" customHeight="1">
      <c r="G3448" s="30">
        <f t="shared" si="293"/>
        <v>0</v>
      </c>
      <c r="H3448" s="31">
        <f t="shared" si="294"/>
        <v>0</v>
      </c>
      <c r="I3448" s="31">
        <f t="shared" si="295"/>
        <v>0</v>
      </c>
      <c r="J3448" s="31">
        <f t="shared" si="296"/>
        <v>0</v>
      </c>
      <c r="M3448" s="33">
        <f t="shared" si="292"/>
        <v>0</v>
      </c>
      <c r="N3448" s="33"/>
    </row>
    <row r="3449" spans="7:14" ht="16.5" customHeight="1">
      <c r="G3449" s="30">
        <f t="shared" si="293"/>
        <v>0</v>
      </c>
      <c r="H3449" s="31">
        <f t="shared" si="294"/>
        <v>0</v>
      </c>
      <c r="I3449" s="31">
        <f t="shared" si="295"/>
        <v>0</v>
      </c>
      <c r="J3449" s="31">
        <f t="shared" si="296"/>
        <v>0</v>
      </c>
      <c r="M3449" s="33">
        <f t="shared" si="292"/>
        <v>0</v>
      </c>
      <c r="N3449" s="33"/>
    </row>
    <row r="3450" spans="7:14" ht="16.5" customHeight="1">
      <c r="G3450" s="30">
        <f t="shared" si="293"/>
        <v>0</v>
      </c>
      <c r="H3450" s="31">
        <f t="shared" si="294"/>
        <v>0</v>
      </c>
      <c r="I3450" s="31">
        <f t="shared" si="295"/>
        <v>0</v>
      </c>
      <c r="J3450" s="31">
        <f t="shared" si="296"/>
        <v>0</v>
      </c>
      <c r="M3450" s="33">
        <f t="shared" si="292"/>
        <v>0</v>
      </c>
      <c r="N3450" s="33"/>
    </row>
    <row r="3451" spans="7:14" ht="16.5" customHeight="1">
      <c r="G3451" s="30">
        <f t="shared" si="293"/>
        <v>0</v>
      </c>
      <c r="H3451" s="31">
        <f t="shared" si="294"/>
        <v>0</v>
      </c>
      <c r="I3451" s="31">
        <f t="shared" si="295"/>
        <v>0</v>
      </c>
      <c r="J3451" s="31">
        <f t="shared" si="296"/>
        <v>0</v>
      </c>
      <c r="M3451" s="33">
        <f t="shared" si="292"/>
        <v>0</v>
      </c>
      <c r="N3451" s="33"/>
    </row>
    <row r="3452" spans="7:14" ht="16.5" customHeight="1">
      <c r="G3452" s="30">
        <f t="shared" si="293"/>
        <v>0</v>
      </c>
      <c r="H3452" s="31">
        <f t="shared" si="294"/>
        <v>0</v>
      </c>
      <c r="I3452" s="31">
        <f t="shared" si="295"/>
        <v>0</v>
      </c>
      <c r="J3452" s="31">
        <f t="shared" si="296"/>
        <v>0</v>
      </c>
      <c r="M3452" s="33">
        <f t="shared" si="292"/>
        <v>0</v>
      </c>
      <c r="N3452" s="33"/>
    </row>
    <row r="3453" spans="7:14" ht="16.5" customHeight="1">
      <c r="G3453" s="30">
        <f t="shared" si="293"/>
        <v>0</v>
      </c>
      <c r="H3453" s="31">
        <f t="shared" si="294"/>
        <v>0</v>
      </c>
      <c r="I3453" s="31">
        <f t="shared" si="295"/>
        <v>0</v>
      </c>
      <c r="J3453" s="31">
        <f t="shared" si="296"/>
        <v>0</v>
      </c>
      <c r="M3453" s="33">
        <f t="shared" si="292"/>
        <v>0</v>
      </c>
      <c r="N3453" s="33"/>
    </row>
    <row r="3454" spans="7:14" ht="16.5" customHeight="1">
      <c r="G3454" s="30">
        <f t="shared" si="293"/>
        <v>0</v>
      </c>
      <c r="H3454" s="31">
        <f t="shared" si="294"/>
        <v>0</v>
      </c>
      <c r="I3454" s="31">
        <f t="shared" si="295"/>
        <v>0</v>
      </c>
      <c r="J3454" s="31">
        <f t="shared" si="296"/>
        <v>0</v>
      </c>
      <c r="M3454" s="33">
        <f t="shared" ref="M3454:M3503" si="297">IF(P3454="TL tuyệt đối",0, IF(K3454&lt;5,0,IF(K3454&lt;50,K3454*9%,IF(K3454&lt;100,4.5,IF(K3454&lt;200,4.5%*K3454,IF(K3454&lt;300,9,IF(K3454&lt;500,K3454*3%,IF(K3454&lt;1000,15,))))))))</f>
        <v>0</v>
      </c>
      <c r="N3454" s="33"/>
    </row>
    <row r="3455" spans="7:14" ht="16.5" customHeight="1">
      <c r="G3455" s="30">
        <f t="shared" si="293"/>
        <v>0</v>
      </c>
      <c r="H3455" s="31">
        <f t="shared" si="294"/>
        <v>0</v>
      </c>
      <c r="I3455" s="31">
        <f t="shared" si="295"/>
        <v>0</v>
      </c>
      <c r="J3455" s="31">
        <f t="shared" si="296"/>
        <v>0</v>
      </c>
      <c r="M3455" s="33">
        <f t="shared" si="297"/>
        <v>0</v>
      </c>
      <c r="N3455" s="33"/>
    </row>
    <row r="3456" spans="7:14" ht="16.5" customHeight="1">
      <c r="G3456" s="30">
        <f t="shared" ref="G3456:G3505" si="298">IF(P3456="TL tuyệt đối",K3456*103%,K3456+1/3*M3456)</f>
        <v>0</v>
      </c>
      <c r="H3456" s="31">
        <f t="shared" ref="H3456:H3505" si="299">IF(P3456="TL tuyệt đối",K3456*101%,K3456-1/3*M3456)</f>
        <v>0</v>
      </c>
      <c r="I3456" s="31">
        <f t="shared" ref="I3456:I3505" si="300">IF(P3456="TL tuyệt đối", K3456*105%,K3456+M3456)</f>
        <v>0</v>
      </c>
      <c r="J3456" s="31">
        <f t="shared" si="296"/>
        <v>0</v>
      </c>
      <c r="M3456" s="33">
        <f t="shared" si="297"/>
        <v>0</v>
      </c>
      <c r="N3456" s="33"/>
    </row>
    <row r="3457" spans="7:14" ht="16.5" customHeight="1">
      <c r="G3457" s="30">
        <f t="shared" si="298"/>
        <v>0</v>
      </c>
      <c r="H3457" s="31">
        <f t="shared" si="299"/>
        <v>0</v>
      </c>
      <c r="I3457" s="31">
        <f t="shared" si="300"/>
        <v>0</v>
      </c>
      <c r="J3457" s="31">
        <f t="shared" si="296"/>
        <v>0</v>
      </c>
      <c r="M3457" s="33">
        <f t="shared" si="297"/>
        <v>0</v>
      </c>
      <c r="N3457" s="33"/>
    </row>
    <row r="3458" spans="7:14" ht="16.5" customHeight="1">
      <c r="G3458" s="30">
        <f t="shared" si="298"/>
        <v>0</v>
      </c>
      <c r="H3458" s="31">
        <f t="shared" si="299"/>
        <v>0</v>
      </c>
      <c r="I3458" s="31">
        <f t="shared" si="300"/>
        <v>0</v>
      </c>
      <c r="J3458" s="31">
        <f t="shared" si="296"/>
        <v>0</v>
      </c>
      <c r="M3458" s="33">
        <f t="shared" si="297"/>
        <v>0</v>
      </c>
      <c r="N3458" s="33"/>
    </row>
    <row r="3459" spans="7:14" ht="16.5" customHeight="1">
      <c r="G3459" s="30">
        <f t="shared" si="298"/>
        <v>0</v>
      </c>
      <c r="H3459" s="31">
        <f t="shared" si="299"/>
        <v>0</v>
      </c>
      <c r="I3459" s="31">
        <f t="shared" si="300"/>
        <v>0</v>
      </c>
      <c r="J3459" s="31">
        <f t="shared" si="296"/>
        <v>0</v>
      </c>
      <c r="M3459" s="33">
        <f t="shared" si="297"/>
        <v>0</v>
      </c>
      <c r="N3459" s="33"/>
    </row>
    <row r="3460" spans="7:14" ht="16.5" customHeight="1">
      <c r="G3460" s="30">
        <f t="shared" si="298"/>
        <v>0</v>
      </c>
      <c r="H3460" s="31">
        <f t="shared" si="299"/>
        <v>0</v>
      </c>
      <c r="I3460" s="31">
        <f t="shared" si="300"/>
        <v>0</v>
      </c>
      <c r="J3460" s="31">
        <f t="shared" ref="J3460:J3508" si="301">K3460-M3460</f>
        <v>0</v>
      </c>
      <c r="M3460" s="33">
        <f t="shared" si="297"/>
        <v>0</v>
      </c>
      <c r="N3460" s="33"/>
    </row>
    <row r="3461" spans="7:14" ht="16.5" customHeight="1">
      <c r="G3461" s="30">
        <f t="shared" si="298"/>
        <v>0</v>
      </c>
      <c r="H3461" s="31">
        <f t="shared" si="299"/>
        <v>0</v>
      </c>
      <c r="I3461" s="31">
        <f t="shared" si="300"/>
        <v>0</v>
      </c>
      <c r="J3461" s="31">
        <f t="shared" si="301"/>
        <v>0</v>
      </c>
      <c r="M3461" s="33">
        <f t="shared" si="297"/>
        <v>0</v>
      </c>
      <c r="N3461" s="33"/>
    </row>
    <row r="3462" spans="7:14" ht="16.5" customHeight="1">
      <c r="G3462" s="30">
        <f t="shared" si="298"/>
        <v>0</v>
      </c>
      <c r="H3462" s="31">
        <f t="shared" si="299"/>
        <v>0</v>
      </c>
      <c r="I3462" s="31">
        <f t="shared" si="300"/>
        <v>0</v>
      </c>
      <c r="J3462" s="31">
        <f t="shared" si="301"/>
        <v>0</v>
      </c>
      <c r="M3462" s="33">
        <f t="shared" si="297"/>
        <v>0</v>
      </c>
      <c r="N3462" s="33"/>
    </row>
    <row r="3463" spans="7:14" ht="16.5" customHeight="1">
      <c r="G3463" s="30">
        <f t="shared" si="298"/>
        <v>0</v>
      </c>
      <c r="H3463" s="31">
        <f t="shared" si="299"/>
        <v>0</v>
      </c>
      <c r="I3463" s="31">
        <f t="shared" si="300"/>
        <v>0</v>
      </c>
      <c r="J3463" s="31">
        <f t="shared" si="301"/>
        <v>0</v>
      </c>
      <c r="M3463" s="33">
        <f t="shared" si="297"/>
        <v>0</v>
      </c>
      <c r="N3463" s="33"/>
    </row>
    <row r="3464" spans="7:14" ht="16.5" customHeight="1">
      <c r="G3464" s="30">
        <f t="shared" si="298"/>
        <v>0</v>
      </c>
      <c r="H3464" s="31">
        <f t="shared" si="299"/>
        <v>0</v>
      </c>
      <c r="I3464" s="31">
        <f t="shared" si="300"/>
        <v>0</v>
      </c>
      <c r="J3464" s="31">
        <f t="shared" si="301"/>
        <v>0</v>
      </c>
      <c r="M3464" s="33">
        <f t="shared" si="297"/>
        <v>0</v>
      </c>
      <c r="N3464" s="33"/>
    </row>
    <row r="3465" spans="7:14" ht="16.5" customHeight="1">
      <c r="G3465" s="30">
        <f t="shared" si="298"/>
        <v>0</v>
      </c>
      <c r="H3465" s="31">
        <f t="shared" si="299"/>
        <v>0</v>
      </c>
      <c r="I3465" s="31">
        <f t="shared" si="300"/>
        <v>0</v>
      </c>
      <c r="J3465" s="31">
        <f t="shared" si="301"/>
        <v>0</v>
      </c>
      <c r="M3465" s="33">
        <f t="shared" si="297"/>
        <v>0</v>
      </c>
      <c r="N3465" s="33"/>
    </row>
    <row r="3466" spans="7:14" ht="16.5" customHeight="1">
      <c r="G3466" s="30">
        <f t="shared" si="298"/>
        <v>0</v>
      </c>
      <c r="H3466" s="31">
        <f t="shared" si="299"/>
        <v>0</v>
      </c>
      <c r="I3466" s="31">
        <f t="shared" si="300"/>
        <v>0</v>
      </c>
      <c r="J3466" s="31">
        <f t="shared" si="301"/>
        <v>0</v>
      </c>
      <c r="M3466" s="33">
        <f t="shared" si="297"/>
        <v>0</v>
      </c>
      <c r="N3466" s="33"/>
    </row>
    <row r="3467" spans="7:14" ht="16.5" customHeight="1">
      <c r="G3467" s="30">
        <f t="shared" si="298"/>
        <v>0</v>
      </c>
      <c r="H3467" s="31">
        <f t="shared" si="299"/>
        <v>0</v>
      </c>
      <c r="I3467" s="31">
        <f t="shared" si="300"/>
        <v>0</v>
      </c>
      <c r="J3467" s="31">
        <f t="shared" si="301"/>
        <v>0</v>
      </c>
      <c r="M3467" s="33">
        <f t="shared" si="297"/>
        <v>0</v>
      </c>
      <c r="N3467" s="33"/>
    </row>
    <row r="3468" spans="7:14" ht="16.5" customHeight="1">
      <c r="G3468" s="30">
        <f t="shared" si="298"/>
        <v>0</v>
      </c>
      <c r="H3468" s="31">
        <f t="shared" si="299"/>
        <v>0</v>
      </c>
      <c r="I3468" s="31">
        <f t="shared" si="300"/>
        <v>0</v>
      </c>
      <c r="J3468" s="31">
        <f t="shared" si="301"/>
        <v>0</v>
      </c>
      <c r="M3468" s="33">
        <f t="shared" si="297"/>
        <v>0</v>
      </c>
      <c r="N3468" s="33"/>
    </row>
    <row r="3469" spans="7:14" ht="16.5" customHeight="1">
      <c r="G3469" s="30">
        <f t="shared" si="298"/>
        <v>0</v>
      </c>
      <c r="H3469" s="31">
        <f t="shared" si="299"/>
        <v>0</v>
      </c>
      <c r="I3469" s="31">
        <f t="shared" si="300"/>
        <v>0</v>
      </c>
      <c r="J3469" s="31">
        <f t="shared" si="301"/>
        <v>0</v>
      </c>
      <c r="M3469" s="33">
        <f t="shared" si="297"/>
        <v>0</v>
      </c>
      <c r="N3469" s="33"/>
    </row>
    <row r="3470" spans="7:14" ht="16.5" customHeight="1">
      <c r="G3470" s="30">
        <f t="shared" si="298"/>
        <v>0</v>
      </c>
      <c r="H3470" s="31">
        <f t="shared" si="299"/>
        <v>0</v>
      </c>
      <c r="I3470" s="31">
        <f t="shared" si="300"/>
        <v>0</v>
      </c>
      <c r="J3470" s="31">
        <f t="shared" si="301"/>
        <v>0</v>
      </c>
      <c r="M3470" s="33">
        <f t="shared" si="297"/>
        <v>0</v>
      </c>
      <c r="N3470" s="33"/>
    </row>
    <row r="3471" spans="7:14" ht="16.5" customHeight="1">
      <c r="G3471" s="30">
        <f t="shared" si="298"/>
        <v>0</v>
      </c>
      <c r="H3471" s="31">
        <f t="shared" si="299"/>
        <v>0</v>
      </c>
      <c r="I3471" s="31">
        <f t="shared" si="300"/>
        <v>0</v>
      </c>
      <c r="J3471" s="31">
        <f t="shared" si="301"/>
        <v>0</v>
      </c>
      <c r="M3471" s="33">
        <f t="shared" si="297"/>
        <v>0</v>
      </c>
      <c r="N3471" s="33"/>
    </row>
    <row r="3472" spans="7:14" ht="16.5" customHeight="1">
      <c r="G3472" s="30">
        <f t="shared" si="298"/>
        <v>0</v>
      </c>
      <c r="H3472" s="31">
        <f t="shared" si="299"/>
        <v>0</v>
      </c>
      <c r="I3472" s="31">
        <f t="shared" si="300"/>
        <v>0</v>
      </c>
      <c r="J3472" s="31">
        <f t="shared" si="301"/>
        <v>0</v>
      </c>
      <c r="M3472" s="33">
        <f t="shared" si="297"/>
        <v>0</v>
      </c>
      <c r="N3472" s="33"/>
    </row>
    <row r="3473" spans="7:14" ht="16.5" customHeight="1">
      <c r="G3473" s="30">
        <f t="shared" si="298"/>
        <v>0</v>
      </c>
      <c r="H3473" s="31">
        <f t="shared" si="299"/>
        <v>0</v>
      </c>
      <c r="I3473" s="31">
        <f t="shared" si="300"/>
        <v>0</v>
      </c>
      <c r="J3473" s="31">
        <f t="shared" si="301"/>
        <v>0</v>
      </c>
      <c r="M3473" s="33">
        <f t="shared" si="297"/>
        <v>0</v>
      </c>
      <c r="N3473" s="33"/>
    </row>
    <row r="3474" spans="7:14" ht="16.5" customHeight="1">
      <c r="G3474" s="30">
        <f t="shared" si="298"/>
        <v>0</v>
      </c>
      <c r="H3474" s="31">
        <f t="shared" si="299"/>
        <v>0</v>
      </c>
      <c r="I3474" s="31">
        <f t="shared" si="300"/>
        <v>0</v>
      </c>
      <c r="J3474" s="31">
        <f t="shared" si="301"/>
        <v>0</v>
      </c>
      <c r="M3474" s="33">
        <f t="shared" si="297"/>
        <v>0</v>
      </c>
      <c r="N3474" s="33"/>
    </row>
    <row r="3475" spans="7:14" ht="16.5" customHeight="1">
      <c r="G3475" s="30">
        <f t="shared" si="298"/>
        <v>0</v>
      </c>
      <c r="H3475" s="31">
        <f t="shared" si="299"/>
        <v>0</v>
      </c>
      <c r="I3475" s="31">
        <f t="shared" si="300"/>
        <v>0</v>
      </c>
      <c r="J3475" s="31">
        <f t="shared" si="301"/>
        <v>0</v>
      </c>
      <c r="M3475" s="33">
        <f t="shared" si="297"/>
        <v>0</v>
      </c>
      <c r="N3475" s="33"/>
    </row>
    <row r="3476" spans="7:14" ht="16.5" customHeight="1">
      <c r="G3476" s="30">
        <f t="shared" si="298"/>
        <v>0</v>
      </c>
      <c r="H3476" s="31">
        <f t="shared" si="299"/>
        <v>0</v>
      </c>
      <c r="I3476" s="31">
        <f t="shared" si="300"/>
        <v>0</v>
      </c>
      <c r="J3476" s="31">
        <f t="shared" si="301"/>
        <v>0</v>
      </c>
      <c r="M3476" s="33">
        <f t="shared" si="297"/>
        <v>0</v>
      </c>
      <c r="N3476" s="33"/>
    </row>
    <row r="3477" spans="7:14" ht="16.5" customHeight="1">
      <c r="G3477" s="30">
        <f t="shared" si="298"/>
        <v>0</v>
      </c>
      <c r="H3477" s="31">
        <f t="shared" si="299"/>
        <v>0</v>
      </c>
      <c r="I3477" s="31">
        <f t="shared" si="300"/>
        <v>0</v>
      </c>
      <c r="J3477" s="31">
        <f t="shared" si="301"/>
        <v>0</v>
      </c>
      <c r="M3477" s="33">
        <f t="shared" si="297"/>
        <v>0</v>
      </c>
      <c r="N3477" s="33"/>
    </row>
    <row r="3478" spans="7:14" ht="16.5" customHeight="1">
      <c r="G3478" s="30">
        <f t="shared" si="298"/>
        <v>0</v>
      </c>
      <c r="H3478" s="31">
        <f t="shared" si="299"/>
        <v>0</v>
      </c>
      <c r="I3478" s="31">
        <f t="shared" si="300"/>
        <v>0</v>
      </c>
      <c r="J3478" s="31">
        <f t="shared" si="301"/>
        <v>0</v>
      </c>
      <c r="M3478" s="33">
        <f t="shared" si="297"/>
        <v>0</v>
      </c>
      <c r="N3478" s="33"/>
    </row>
    <row r="3479" spans="7:14" ht="16.5" customHeight="1">
      <c r="G3479" s="30">
        <f t="shared" si="298"/>
        <v>0</v>
      </c>
      <c r="H3479" s="31">
        <f t="shared" si="299"/>
        <v>0</v>
      </c>
      <c r="I3479" s="31">
        <f t="shared" si="300"/>
        <v>0</v>
      </c>
      <c r="J3479" s="31">
        <f t="shared" si="301"/>
        <v>0</v>
      </c>
      <c r="M3479" s="33">
        <f t="shared" si="297"/>
        <v>0</v>
      </c>
      <c r="N3479" s="33"/>
    </row>
    <row r="3480" spans="7:14" ht="16.5" customHeight="1">
      <c r="G3480" s="30">
        <f t="shared" si="298"/>
        <v>0</v>
      </c>
      <c r="H3480" s="31">
        <f t="shared" si="299"/>
        <v>0</v>
      </c>
      <c r="I3480" s="31">
        <f t="shared" si="300"/>
        <v>0</v>
      </c>
      <c r="J3480" s="31">
        <f t="shared" si="301"/>
        <v>0</v>
      </c>
      <c r="M3480" s="33">
        <f t="shared" si="297"/>
        <v>0</v>
      </c>
      <c r="N3480" s="33"/>
    </row>
    <row r="3481" spans="7:14" ht="16.5" customHeight="1">
      <c r="G3481" s="30">
        <f t="shared" si="298"/>
        <v>0</v>
      </c>
      <c r="H3481" s="31">
        <f t="shared" si="299"/>
        <v>0</v>
      </c>
      <c r="I3481" s="31">
        <f t="shared" si="300"/>
        <v>0</v>
      </c>
      <c r="J3481" s="31">
        <f t="shared" si="301"/>
        <v>0</v>
      </c>
      <c r="M3481" s="33">
        <f t="shared" si="297"/>
        <v>0</v>
      </c>
      <c r="N3481" s="33"/>
    </row>
    <row r="3482" spans="7:14" ht="16.5" customHeight="1">
      <c r="G3482" s="30">
        <f t="shared" si="298"/>
        <v>0</v>
      </c>
      <c r="H3482" s="31">
        <f t="shared" si="299"/>
        <v>0</v>
      </c>
      <c r="I3482" s="31">
        <f t="shared" si="300"/>
        <v>0</v>
      </c>
      <c r="J3482" s="31">
        <f t="shared" si="301"/>
        <v>0</v>
      </c>
      <c r="M3482" s="33">
        <f t="shared" si="297"/>
        <v>0</v>
      </c>
      <c r="N3482" s="33"/>
    </row>
    <row r="3483" spans="7:14" ht="16.5" customHeight="1">
      <c r="G3483" s="30">
        <f t="shared" si="298"/>
        <v>0</v>
      </c>
      <c r="H3483" s="31">
        <f t="shared" si="299"/>
        <v>0</v>
      </c>
      <c r="I3483" s="31">
        <f t="shared" si="300"/>
        <v>0</v>
      </c>
      <c r="J3483" s="31">
        <f t="shared" si="301"/>
        <v>0</v>
      </c>
      <c r="M3483" s="33">
        <f t="shared" si="297"/>
        <v>0</v>
      </c>
      <c r="N3483" s="33"/>
    </row>
    <row r="3484" spans="7:14" ht="16.5" customHeight="1">
      <c r="G3484" s="30">
        <f t="shared" si="298"/>
        <v>0</v>
      </c>
      <c r="H3484" s="31">
        <f t="shared" si="299"/>
        <v>0</v>
      </c>
      <c r="I3484" s="31">
        <f t="shared" si="300"/>
        <v>0</v>
      </c>
      <c r="J3484" s="31">
        <f t="shared" si="301"/>
        <v>0</v>
      </c>
      <c r="M3484" s="33">
        <f t="shared" si="297"/>
        <v>0</v>
      </c>
      <c r="N3484" s="33"/>
    </row>
    <row r="3485" spans="7:14" ht="16.5" customHeight="1">
      <c r="G3485" s="30">
        <f t="shared" si="298"/>
        <v>0</v>
      </c>
      <c r="H3485" s="31">
        <f t="shared" si="299"/>
        <v>0</v>
      </c>
      <c r="I3485" s="31">
        <f t="shared" si="300"/>
        <v>0</v>
      </c>
      <c r="J3485" s="31">
        <f t="shared" si="301"/>
        <v>0</v>
      </c>
      <c r="M3485" s="33">
        <f t="shared" si="297"/>
        <v>0</v>
      </c>
      <c r="N3485" s="33"/>
    </row>
    <row r="3486" spans="7:14" ht="16.5" customHeight="1">
      <c r="G3486" s="30">
        <f t="shared" si="298"/>
        <v>0</v>
      </c>
      <c r="H3486" s="31">
        <f t="shared" si="299"/>
        <v>0</v>
      </c>
      <c r="I3486" s="31">
        <f t="shared" si="300"/>
        <v>0</v>
      </c>
      <c r="J3486" s="31">
        <f t="shared" si="301"/>
        <v>0</v>
      </c>
      <c r="M3486" s="33">
        <f t="shared" si="297"/>
        <v>0</v>
      </c>
      <c r="N3486" s="33"/>
    </row>
    <row r="3487" spans="7:14" ht="16.5" customHeight="1">
      <c r="G3487" s="30">
        <f t="shared" si="298"/>
        <v>0</v>
      </c>
      <c r="H3487" s="31">
        <f t="shared" si="299"/>
        <v>0</v>
      </c>
      <c r="I3487" s="31">
        <f t="shared" si="300"/>
        <v>0</v>
      </c>
      <c r="J3487" s="31">
        <f t="shared" si="301"/>
        <v>0</v>
      </c>
      <c r="M3487" s="33">
        <f t="shared" si="297"/>
        <v>0</v>
      </c>
      <c r="N3487" s="33"/>
    </row>
    <row r="3488" spans="7:14" ht="16.5" customHeight="1">
      <c r="G3488" s="30">
        <f t="shared" si="298"/>
        <v>0</v>
      </c>
      <c r="H3488" s="31">
        <f t="shared" si="299"/>
        <v>0</v>
      </c>
      <c r="I3488" s="31">
        <f t="shared" si="300"/>
        <v>0</v>
      </c>
      <c r="J3488" s="31">
        <f t="shared" si="301"/>
        <v>0</v>
      </c>
      <c r="M3488" s="33">
        <f t="shared" si="297"/>
        <v>0</v>
      </c>
      <c r="N3488" s="33"/>
    </row>
    <row r="3489" spans="2:16" ht="16.5" customHeight="1">
      <c r="G3489" s="30">
        <f t="shared" si="298"/>
        <v>0</v>
      </c>
      <c r="H3489" s="31">
        <f t="shared" si="299"/>
        <v>0</v>
      </c>
      <c r="I3489" s="31">
        <f t="shared" si="300"/>
        <v>0</v>
      </c>
      <c r="J3489" s="31">
        <f t="shared" si="301"/>
        <v>0</v>
      </c>
      <c r="M3489" s="33">
        <f t="shared" si="297"/>
        <v>0</v>
      </c>
      <c r="N3489" s="33"/>
    </row>
    <row r="3490" spans="2:16" ht="16.5" customHeight="1">
      <c r="G3490" s="30">
        <f t="shared" si="298"/>
        <v>0</v>
      </c>
      <c r="H3490" s="31">
        <f t="shared" si="299"/>
        <v>0</v>
      </c>
      <c r="I3490" s="31">
        <f t="shared" si="300"/>
        <v>0</v>
      </c>
      <c r="J3490" s="31">
        <f t="shared" si="301"/>
        <v>0</v>
      </c>
      <c r="M3490" s="33">
        <f t="shared" si="297"/>
        <v>0</v>
      </c>
      <c r="N3490" s="33"/>
    </row>
    <row r="3491" spans="2:16" ht="16.5" customHeight="1">
      <c r="G3491" s="30">
        <f t="shared" si="298"/>
        <v>0</v>
      </c>
      <c r="H3491" s="31">
        <f t="shared" si="299"/>
        <v>0</v>
      </c>
      <c r="I3491" s="31">
        <f t="shared" si="300"/>
        <v>0</v>
      </c>
      <c r="J3491" s="31">
        <f t="shared" si="301"/>
        <v>0</v>
      </c>
      <c r="M3491" s="33">
        <f t="shared" si="297"/>
        <v>0</v>
      </c>
      <c r="N3491" s="33"/>
    </row>
    <row r="3492" spans="2:16" ht="16.5" customHeight="1">
      <c r="G3492" s="30">
        <f t="shared" si="298"/>
        <v>0</v>
      </c>
      <c r="H3492" s="31">
        <f t="shared" si="299"/>
        <v>0</v>
      </c>
      <c r="I3492" s="31">
        <f t="shared" si="300"/>
        <v>0</v>
      </c>
      <c r="J3492" s="31">
        <f t="shared" si="301"/>
        <v>0</v>
      </c>
      <c r="M3492" s="33">
        <f t="shared" si="297"/>
        <v>0</v>
      </c>
      <c r="N3492" s="33"/>
    </row>
    <row r="3493" spans="2:16" ht="16.5" customHeight="1">
      <c r="G3493" s="30">
        <f t="shared" si="298"/>
        <v>0</v>
      </c>
      <c r="H3493" s="31">
        <f t="shared" si="299"/>
        <v>0</v>
      </c>
      <c r="I3493" s="31">
        <f t="shared" si="300"/>
        <v>0</v>
      </c>
      <c r="J3493" s="31">
        <f t="shared" si="301"/>
        <v>0</v>
      </c>
      <c r="M3493" s="33">
        <f t="shared" si="297"/>
        <v>0</v>
      </c>
      <c r="N3493" s="33"/>
    </row>
    <row r="3494" spans="2:16" ht="16.5" customHeight="1">
      <c r="G3494" s="30">
        <f t="shared" si="298"/>
        <v>0</v>
      </c>
      <c r="H3494" s="31">
        <f t="shared" si="299"/>
        <v>0</v>
      </c>
      <c r="I3494" s="31">
        <f t="shared" si="300"/>
        <v>0</v>
      </c>
      <c r="J3494" s="31">
        <f t="shared" si="301"/>
        <v>0</v>
      </c>
      <c r="M3494" s="33">
        <f t="shared" si="297"/>
        <v>0</v>
      </c>
      <c r="N3494" s="33"/>
    </row>
    <row r="3495" spans="2:16" ht="16.5" customHeight="1">
      <c r="G3495" s="30">
        <f t="shared" si="298"/>
        <v>0</v>
      </c>
      <c r="H3495" s="31">
        <f t="shared" si="299"/>
        <v>0</v>
      </c>
      <c r="I3495" s="31">
        <f t="shared" si="300"/>
        <v>0</v>
      </c>
      <c r="J3495" s="31">
        <f t="shared" si="301"/>
        <v>0</v>
      </c>
      <c r="M3495" s="33">
        <f t="shared" si="297"/>
        <v>0</v>
      </c>
      <c r="N3495" s="33"/>
    </row>
    <row r="3496" spans="2:16" ht="16.5" customHeight="1">
      <c r="G3496" s="30">
        <f t="shared" si="298"/>
        <v>0</v>
      </c>
      <c r="H3496" s="31">
        <f t="shared" si="299"/>
        <v>0</v>
      </c>
      <c r="I3496" s="31">
        <f t="shared" si="300"/>
        <v>0</v>
      </c>
      <c r="J3496" s="31">
        <f t="shared" si="301"/>
        <v>0</v>
      </c>
      <c r="M3496" s="33">
        <f t="shared" si="297"/>
        <v>0</v>
      </c>
      <c r="N3496" s="33"/>
    </row>
    <row r="3497" spans="2:16" ht="16.5" customHeight="1">
      <c r="B3497" s="30">
        <v>67133949</v>
      </c>
      <c r="C3497" s="54" t="s">
        <v>564</v>
      </c>
      <c r="D3497" s="13"/>
    </row>
    <row r="3498" spans="2:16" ht="16.5" customHeight="1">
      <c r="B3498" s="30">
        <v>68737006</v>
      </c>
      <c r="C3498" s="54" t="s">
        <v>799</v>
      </c>
      <c r="D3498" s="36" t="s">
        <v>76</v>
      </c>
      <c r="E3498" s="30">
        <v>180</v>
      </c>
      <c r="F3498" s="30" t="s">
        <v>73</v>
      </c>
      <c r="G3498" s="30">
        <f>IF(P3498="TL tuyệt đối",K3498*103%,K3498+1/3*M3498)</f>
        <v>182.7</v>
      </c>
      <c r="H3498" s="31">
        <f>IF(P3498="TL tuyệt đối",K3498*101%,K3498-1/3*M3498)</f>
        <v>177.3</v>
      </c>
      <c r="I3498" s="31">
        <f>IF(P3498="TL tuyệt đối", K3498*105%,K3498+M3498)</f>
        <v>188.1</v>
      </c>
      <c r="J3498" s="31">
        <f>K3498-M3498</f>
        <v>171.9</v>
      </c>
      <c r="K3498" s="57">
        <v>180</v>
      </c>
      <c r="M3498" s="33">
        <f>IF(P3498="TL tuyệt đối",0, IF(K3498&lt;5,0,IF(K3498&lt;50,K3498*9%,IF(K3498&lt;100,4.5,IF(K3498&lt;200,4.5%*K3498,IF(K3498&lt;300,9,IF(K3498&lt;500,K3498*3%,IF(K3498&lt;1000,15,))))))))</f>
        <v>8.1</v>
      </c>
      <c r="N3498" s="33">
        <v>7.4</v>
      </c>
    </row>
    <row r="3500" spans="2:16" ht="16.5" customHeight="1">
      <c r="B3500" s="30">
        <v>62694360</v>
      </c>
      <c r="C3500" s="54" t="s">
        <v>878</v>
      </c>
      <c r="D3500" s="36" t="s">
        <v>76</v>
      </c>
      <c r="E3500" s="30">
        <v>180</v>
      </c>
      <c r="F3500" s="30" t="s">
        <v>73</v>
      </c>
      <c r="G3500" s="30">
        <f>IF(P3500="TL tuyệt đối",K3500*103%,K3500+1/3*M3500)</f>
        <v>182.7</v>
      </c>
      <c r="H3500" s="31">
        <f>IF(P3500="TL tuyệt đối",K3500*101%,K3500-1/3*M3500)</f>
        <v>177.3</v>
      </c>
      <c r="I3500" s="31">
        <f>IF(P3500="TL tuyệt đối", K3500*105%,K3500+M3500)</f>
        <v>188.1</v>
      </c>
      <c r="J3500" s="31">
        <f>K3500-M3500</f>
        <v>171.9</v>
      </c>
      <c r="K3500" s="32">
        <f>IF(F3500="ml",E3500*L3500,E3500)</f>
        <v>180</v>
      </c>
      <c r="M3500" s="33">
        <f>IF(P3500="TL tuyệt đối",0, IF(K3500&lt;5,0,IF(K3500&lt;50,K3500*9%,IF(K3500&lt;100,4.5,IF(K3500&lt;200,4.5%*K3500,IF(K3500&lt;300,9,IF(K3500&lt;500,K3500*3%,IF(K3500&lt;1000,15,))))))))</f>
        <v>8.1</v>
      </c>
      <c r="N3500" s="33">
        <v>7.4</v>
      </c>
      <c r="P3500" s="32"/>
    </row>
  </sheetData>
  <autoFilter ref="A2:P3500" xr:uid="{00000000-0009-0000-0000-000003000000}"/>
  <conditionalFormatting sqref="B735:C738">
    <cfRule type="duplicateValues" dxfId="11" priority="11"/>
    <cfRule type="duplicateValues" dxfId="10" priority="12"/>
  </conditionalFormatting>
  <conditionalFormatting sqref="B740:C740">
    <cfRule type="duplicateValues" dxfId="9" priority="9"/>
    <cfRule type="duplicateValues" dxfId="8" priority="10"/>
  </conditionalFormatting>
  <conditionalFormatting sqref="B741:C742">
    <cfRule type="duplicateValues" dxfId="7" priority="7"/>
    <cfRule type="duplicateValues" dxfId="6" priority="8"/>
  </conditionalFormatting>
  <conditionalFormatting sqref="B743:C748">
    <cfRule type="duplicateValues" dxfId="5" priority="5"/>
    <cfRule type="duplicateValues" dxfId="4" priority="6"/>
  </conditionalFormatting>
  <conditionalFormatting sqref="B754:C754">
    <cfRule type="duplicateValues" dxfId="3" priority="3"/>
    <cfRule type="duplicateValues" dxfId="2" priority="4"/>
  </conditionalFormatting>
  <conditionalFormatting sqref="B764:C764">
    <cfRule type="duplicateValues" dxfId="1" priority="1"/>
    <cfRule type="duplicateValues" dxfId="0" priority="2"/>
  </conditionalFormatting>
  <dataValidations count="1">
    <dataValidation type="list" allowBlank="1" showInputMessage="1" showErrorMessage="1" sqref="P408:P497 P499:P541 P543:P549 P551:P577 P579:P580 P587 P590 P635 P674 P692:P693 P3500 P706:P707" xr:uid="{B4197FFA-91E3-4B1B-BD78-C039BAB01173}">
      <formula1>"TL tuyệt đối"</formula1>
    </dataValidation>
  </dataValidations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 tin chung</vt:lpstr>
      <vt:lpstr>Data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Han2, Lam-Ba</dc:creator>
  <cp:lastModifiedBy>Han2, Lam-Ba</cp:lastModifiedBy>
  <dcterms:created xsi:type="dcterms:W3CDTF">2026-05-12T08:21:28Z</dcterms:created>
  <dcterms:modified xsi:type="dcterms:W3CDTF">2026-05-12T08:22:06Z</dcterms:modified>
</cp:coreProperties>
</file>